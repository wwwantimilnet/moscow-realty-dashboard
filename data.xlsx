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ЭтаКнига" hidePivotFieldList="1"/>
  <mc:AlternateContent xmlns:mc="http://schemas.openxmlformats.org/markup-compatibility/2006">
    <mc:Choice Requires="x15">
      <x15ac:absPath xmlns:x15ac="http://schemas.microsoft.com/office/spreadsheetml/2010/11/ac" url="C:\Users\Dan\Desktop\sf python\"/>
    </mc:Choice>
  </mc:AlternateContent>
  <xr:revisionPtr revIDLastSave="0" documentId="8_{6B35C6F5-5E37-4CF7-A402-105709979191}" xr6:coauthVersionLast="47" xr6:coauthVersionMax="47" xr10:uidLastSave="{00000000-0000-0000-0000-000000000000}"/>
  <bookViews>
    <workbookView xWindow="-108" yWindow="-108" windowWidth="23256" windowHeight="12456" tabRatio="782" activeTab="2" xr2:uid="{00000000-000D-0000-FFFF-FFFF00000000}"/>
  </bookViews>
  <sheets>
    <sheet name="Отчет2" sheetId="21" r:id="rId1"/>
    <sheet name="Лист5" sheetId="7" state="veryHidden" r:id="rId2"/>
    <sheet name="Свод изменений" sheetId="24" r:id="rId3"/>
    <sheet name="Лист1" sheetId="27" state="hidden" r:id="rId4"/>
    <sheet name="К прошлому месяцу" sheetId="20" state="veryHidden" r:id="rId5"/>
    <sheet name="К прошлому году" sheetId="23" state="veryHidden" r:id="rId6"/>
    <sheet name="Динамика" sheetId="25" r:id="rId7"/>
    <sheet name="Объем" sheetId="26" r:id="rId8"/>
    <sheet name="приложение1 цены" sheetId="2" r:id="rId9"/>
    <sheet name="Лист4" sheetId="30" r:id="rId10"/>
    <sheet name="Лист3" sheetId="29" state="hidden" r:id="rId11"/>
    <sheet name="Лист2" sheetId="28" state="hidden" r:id="rId12"/>
    <sheet name="Данные" sheetId="16" r:id="rId13"/>
    <sheet name="отчет" sheetId="1" state="veryHidden" r:id="rId14"/>
  </sheets>
  <externalReferences>
    <externalReference r:id="rId15"/>
    <externalReference r:id="rId16"/>
    <externalReference r:id="rId17"/>
    <externalReference r:id="rId18"/>
  </externalReferences>
  <definedNames>
    <definedName name="_xlchart.v2.0" hidden="1">отчет!$A$61:$A$71</definedName>
    <definedName name="_xlchart.v2.1" hidden="1">отчет!$CI$61:$CI$71</definedName>
    <definedName name="_xlchart.v2.2" hidden="1">отчет!$A$37:$A$47</definedName>
    <definedName name="_xlchart.v2.3" hidden="1">отчет!$BZ$37:$BZ$47</definedName>
    <definedName name="_xlnm._FilterDatabase" localSheetId="12">Данные!$A$1:$D$805</definedName>
    <definedName name="_xlnm._FilterDatabase" localSheetId="8" hidden="1">'приложение1 цены'!$A$2:$EZ$154</definedName>
    <definedName name="Срез_Годы">#N/A</definedName>
    <definedName name="Срез_Период">#N/A</definedName>
  </definedNames>
  <calcPr calcId="191029"/>
  <pivotCaches>
    <pivotCache cacheId="43" r:id="rId19"/>
    <pivotCache cacheId="53"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94" i="16" l="1"/>
  <c r="F794" i="16"/>
  <c r="E795" i="16"/>
  <c r="F795" i="16"/>
  <c r="E796" i="16"/>
  <c r="F796" i="16"/>
  <c r="E797" i="16"/>
  <c r="F797" i="16"/>
  <c r="E798" i="16"/>
  <c r="F798" i="16"/>
  <c r="E799" i="16"/>
  <c r="F799" i="16"/>
  <c r="E800" i="16"/>
  <c r="F800" i="16"/>
  <c r="E801" i="16"/>
  <c r="F801" i="16"/>
  <c r="E802" i="16"/>
  <c r="F802" i="16"/>
  <c r="E803" i="16"/>
  <c r="F803" i="16"/>
  <c r="E804" i="16"/>
  <c r="F804" i="16"/>
  <c r="E805" i="16"/>
  <c r="F805" i="16"/>
  <c r="E782" i="16"/>
  <c r="F782" i="16"/>
  <c r="E783" i="16"/>
  <c r="F783" i="16"/>
  <c r="E784" i="16"/>
  <c r="F784" i="16"/>
  <c r="E785" i="16"/>
  <c r="F785" i="16"/>
  <c r="E786" i="16"/>
  <c r="F786" i="16"/>
  <c r="E787" i="16"/>
  <c r="F787" i="16"/>
  <c r="E788" i="16"/>
  <c r="F788" i="16"/>
  <c r="E789" i="16"/>
  <c r="F789" i="16"/>
  <c r="E790" i="16"/>
  <c r="F790" i="16"/>
  <c r="E791" i="16"/>
  <c r="F791" i="16"/>
  <c r="E792" i="16"/>
  <c r="F792" i="16"/>
  <c r="E793" i="16"/>
  <c r="F793" i="16"/>
  <c r="I42" i="26"/>
  <c r="J42" i="26"/>
  <c r="K42" i="26"/>
  <c r="L42" i="26"/>
  <c r="M42" i="26"/>
  <c r="H42" i="26"/>
  <c r="E770" i="16"/>
  <c r="F770" i="16"/>
  <c r="E771" i="16"/>
  <c r="F771" i="16"/>
  <c r="E772" i="16"/>
  <c r="F772" i="16"/>
  <c r="E773" i="16"/>
  <c r="F773" i="16"/>
  <c r="E774" i="16"/>
  <c r="F774" i="16"/>
  <c r="E775" i="16"/>
  <c r="F775" i="16"/>
  <c r="E776" i="16"/>
  <c r="F776" i="16"/>
  <c r="E777" i="16"/>
  <c r="F777" i="16"/>
  <c r="E778" i="16"/>
  <c r="F778" i="16"/>
  <c r="E779" i="16"/>
  <c r="F779" i="16"/>
  <c r="E780" i="16"/>
  <c r="F780" i="16"/>
  <c r="E781" i="16"/>
  <c r="F781" i="16"/>
  <c r="F758" i="16"/>
  <c r="F759" i="16"/>
  <c r="F760" i="16"/>
  <c r="F761" i="16"/>
  <c r="F762" i="16"/>
  <c r="F763" i="16"/>
  <c r="F764" i="16"/>
  <c r="F765" i="16"/>
  <c r="F766" i="16"/>
  <c r="F767" i="16"/>
  <c r="F768" i="16"/>
  <c r="F769" i="16"/>
  <c r="E758" i="16"/>
  <c r="E759" i="16"/>
  <c r="E760" i="16"/>
  <c r="E761" i="16"/>
  <c r="E762" i="16"/>
  <c r="E763" i="16"/>
  <c r="E764" i="16"/>
  <c r="E765" i="16"/>
  <c r="E766" i="16"/>
  <c r="E767" i="16"/>
  <c r="E768" i="16"/>
  <c r="E769" i="16"/>
  <c r="HO5" i="2"/>
  <c r="HO6" i="2"/>
  <c r="HO7" i="2"/>
  <c r="HO8" i="2"/>
  <c r="HO9" i="2"/>
  <c r="HO10" i="2"/>
  <c r="HO11" i="2"/>
  <c r="HO12" i="2"/>
  <c r="HO13" i="2"/>
  <c r="HO14" i="2"/>
  <c r="HO15" i="2"/>
  <c r="HO16" i="2"/>
  <c r="HO17" i="2"/>
  <c r="HO18" i="2"/>
  <c r="HO19" i="2"/>
  <c r="HO20" i="2"/>
  <c r="HO21" i="2"/>
  <c r="HO22" i="2"/>
  <c r="HO23" i="2"/>
  <c r="HO24" i="2"/>
  <c r="HO25" i="2"/>
  <c r="HO26" i="2"/>
  <c r="HO27" i="2"/>
  <c r="HO28" i="2"/>
  <c r="HO29" i="2"/>
  <c r="HO30" i="2"/>
  <c r="HO31" i="2"/>
  <c r="HO32" i="2"/>
  <c r="HO33" i="2"/>
  <c r="HO34" i="2"/>
  <c r="HO35" i="2"/>
  <c r="HO36" i="2"/>
  <c r="HO37" i="2"/>
  <c r="HO38" i="2"/>
  <c r="HO39" i="2"/>
  <c r="HO40" i="2"/>
  <c r="HO41" i="2"/>
  <c r="HO42" i="2"/>
  <c r="HO43" i="2"/>
  <c r="HO44" i="2"/>
  <c r="HO45" i="2"/>
  <c r="HO46" i="2"/>
  <c r="HO47" i="2"/>
  <c r="HO48" i="2"/>
  <c r="HO49" i="2"/>
  <c r="HO50" i="2"/>
  <c r="HO51" i="2"/>
  <c r="HO52" i="2"/>
  <c r="HO53" i="2"/>
  <c r="HO54" i="2"/>
  <c r="HO55" i="2"/>
  <c r="HO56" i="2"/>
  <c r="HO57" i="2"/>
  <c r="HO58" i="2"/>
  <c r="HO59" i="2"/>
  <c r="HO60" i="2"/>
  <c r="HO61" i="2"/>
  <c r="HO62" i="2"/>
  <c r="HO63" i="2"/>
  <c r="HO64" i="2"/>
  <c r="HO65" i="2"/>
  <c r="HO66" i="2"/>
  <c r="HO67" i="2"/>
  <c r="HO68" i="2"/>
  <c r="HO69" i="2"/>
  <c r="HO70" i="2"/>
  <c r="HO71" i="2"/>
  <c r="HO72" i="2"/>
  <c r="HO73" i="2"/>
  <c r="HO74" i="2"/>
  <c r="HO75" i="2"/>
  <c r="HO76" i="2"/>
  <c r="HO77" i="2"/>
  <c r="HO78" i="2"/>
  <c r="HO79" i="2"/>
  <c r="HO80" i="2"/>
  <c r="HO81" i="2"/>
  <c r="HO82" i="2"/>
  <c r="HO83" i="2"/>
  <c r="HO84" i="2"/>
  <c r="HO85" i="2"/>
  <c r="HO86" i="2"/>
  <c r="HO87" i="2"/>
  <c r="HO88" i="2"/>
  <c r="HO89" i="2"/>
  <c r="HO90" i="2"/>
  <c r="HO91" i="2"/>
  <c r="HO92" i="2"/>
  <c r="HO93" i="2"/>
  <c r="HO94" i="2"/>
  <c r="HO95" i="2"/>
  <c r="HO96" i="2"/>
  <c r="HO97" i="2"/>
  <c r="HO98" i="2"/>
  <c r="HO99" i="2"/>
  <c r="HO100" i="2"/>
  <c r="HO101" i="2"/>
  <c r="HO102" i="2"/>
  <c r="HO103" i="2"/>
  <c r="HO104" i="2"/>
  <c r="HO105" i="2"/>
  <c r="HO106" i="2"/>
  <c r="HO107" i="2"/>
  <c r="HO108" i="2"/>
  <c r="HO109" i="2"/>
  <c r="HO110" i="2"/>
  <c r="HO111" i="2"/>
  <c r="HO112" i="2"/>
  <c r="HO113" i="2"/>
  <c r="HO114" i="2"/>
  <c r="HO115" i="2"/>
  <c r="HO116" i="2"/>
  <c r="HO117" i="2"/>
  <c r="HO118" i="2"/>
  <c r="HO119" i="2"/>
  <c r="HO120" i="2"/>
  <c r="HO121" i="2"/>
  <c r="HO122" i="2"/>
  <c r="HO123" i="2"/>
  <c r="HO124" i="2"/>
  <c r="HO125" i="2"/>
  <c r="HO126" i="2"/>
  <c r="HO127" i="2"/>
  <c r="HO128" i="2"/>
  <c r="HO129" i="2"/>
  <c r="HO130" i="2"/>
  <c r="HO131" i="2"/>
  <c r="HO132" i="2"/>
  <c r="HO133" i="2"/>
  <c r="HO134" i="2"/>
  <c r="HO135" i="2"/>
  <c r="HO136" i="2"/>
  <c r="HO137" i="2"/>
  <c r="HO138" i="2"/>
  <c r="HO139" i="2"/>
  <c r="HO140" i="2"/>
  <c r="HO141" i="2"/>
  <c r="HO142" i="2"/>
  <c r="HO143" i="2"/>
  <c r="HO144" i="2"/>
  <c r="HO145" i="2"/>
  <c r="HO146" i="2"/>
  <c r="HO147" i="2"/>
  <c r="HO148" i="2"/>
  <c r="HO149" i="2"/>
  <c r="HO150" i="2"/>
  <c r="HO151" i="2"/>
  <c r="HO152" i="2"/>
  <c r="HO153" i="2"/>
  <c r="HO154" i="2"/>
  <c r="HO4" i="2"/>
  <c r="HM4" i="2"/>
  <c r="HM5" i="2"/>
  <c r="HM6" i="2"/>
  <c r="HM7" i="2"/>
  <c r="HM8" i="2"/>
  <c r="HM9" i="2"/>
  <c r="HM10" i="2"/>
  <c r="HM11" i="2"/>
  <c r="HM12" i="2"/>
  <c r="HM13" i="2"/>
  <c r="HM14" i="2"/>
  <c r="HM15" i="2"/>
  <c r="HM16" i="2"/>
  <c r="HM17" i="2"/>
  <c r="HM18" i="2"/>
  <c r="HM19" i="2"/>
  <c r="HM20" i="2"/>
  <c r="HM21" i="2"/>
  <c r="HM22" i="2"/>
  <c r="HM23" i="2"/>
  <c r="HM24" i="2"/>
  <c r="HM25" i="2"/>
  <c r="HM26" i="2"/>
  <c r="HM27" i="2"/>
  <c r="HM28" i="2"/>
  <c r="HM29" i="2"/>
  <c r="HM30" i="2"/>
  <c r="HM31" i="2"/>
  <c r="HM32" i="2"/>
  <c r="HM33" i="2"/>
  <c r="HM34" i="2"/>
  <c r="HM35" i="2"/>
  <c r="HM36" i="2"/>
  <c r="HM37" i="2"/>
  <c r="HM38" i="2"/>
  <c r="HM39" i="2"/>
  <c r="HM40" i="2"/>
  <c r="HM41" i="2"/>
  <c r="HM42" i="2"/>
  <c r="HM43" i="2"/>
  <c r="HM44" i="2"/>
  <c r="HM45" i="2"/>
  <c r="HM46" i="2"/>
  <c r="HM47" i="2"/>
  <c r="HM48" i="2"/>
  <c r="HM49" i="2"/>
  <c r="HM50" i="2"/>
  <c r="HM51" i="2"/>
  <c r="HM52" i="2"/>
  <c r="HM53" i="2"/>
  <c r="HM54" i="2"/>
  <c r="HM55" i="2"/>
  <c r="HM56" i="2"/>
  <c r="HM57" i="2"/>
  <c r="HM58" i="2"/>
  <c r="HM59" i="2"/>
  <c r="HM60" i="2"/>
  <c r="HM61" i="2"/>
  <c r="HM62" i="2"/>
  <c r="HM63" i="2"/>
  <c r="HM64" i="2"/>
  <c r="HM65" i="2"/>
  <c r="HM66" i="2"/>
  <c r="HM67" i="2"/>
  <c r="HM68" i="2"/>
  <c r="HM69" i="2"/>
  <c r="HM70" i="2"/>
  <c r="HM71" i="2"/>
  <c r="HM72" i="2"/>
  <c r="HM73" i="2"/>
  <c r="HM74" i="2"/>
  <c r="HM75" i="2"/>
  <c r="HM76" i="2"/>
  <c r="HM77" i="2"/>
  <c r="HM78" i="2"/>
  <c r="HM79" i="2"/>
  <c r="HM80" i="2"/>
  <c r="HM81" i="2"/>
  <c r="HM82" i="2"/>
  <c r="HM83" i="2"/>
  <c r="HM84" i="2"/>
  <c r="HM85" i="2"/>
  <c r="HM86" i="2"/>
  <c r="HM87" i="2"/>
  <c r="HM88" i="2"/>
  <c r="HM89" i="2"/>
  <c r="HM90" i="2"/>
  <c r="HM91" i="2"/>
  <c r="HM92" i="2"/>
  <c r="HM93" i="2"/>
  <c r="HM94" i="2"/>
  <c r="HM95" i="2"/>
  <c r="HM96" i="2"/>
  <c r="HM97" i="2"/>
  <c r="HM98" i="2"/>
  <c r="HM99" i="2"/>
  <c r="HM100" i="2"/>
  <c r="HM101" i="2"/>
  <c r="HM102" i="2"/>
  <c r="HM103" i="2"/>
  <c r="HM104" i="2"/>
  <c r="HM105" i="2"/>
  <c r="HM106" i="2"/>
  <c r="HM107" i="2"/>
  <c r="HM108" i="2"/>
  <c r="HM109" i="2"/>
  <c r="HM110" i="2"/>
  <c r="HM111" i="2"/>
  <c r="HM112" i="2"/>
  <c r="HM113" i="2"/>
  <c r="HM114" i="2"/>
  <c r="HM115" i="2"/>
  <c r="HM116" i="2"/>
  <c r="HM117" i="2"/>
  <c r="HM118" i="2"/>
  <c r="HM119" i="2"/>
  <c r="HM120" i="2"/>
  <c r="HM121" i="2"/>
  <c r="HM122" i="2"/>
  <c r="HM123" i="2"/>
  <c r="HM124" i="2"/>
  <c r="HM125" i="2"/>
  <c r="HM126" i="2"/>
  <c r="HM127" i="2"/>
  <c r="HM128" i="2"/>
  <c r="HM129" i="2"/>
  <c r="HM130" i="2"/>
  <c r="HM131" i="2"/>
  <c r="HM132" i="2"/>
  <c r="HM133" i="2"/>
  <c r="HM134" i="2"/>
  <c r="HM135" i="2"/>
  <c r="HM136" i="2"/>
  <c r="HM137" i="2"/>
  <c r="HM138" i="2"/>
  <c r="HM139" i="2"/>
  <c r="HM140" i="2"/>
  <c r="HM141" i="2"/>
  <c r="HM142" i="2"/>
  <c r="HM143" i="2"/>
  <c r="HM144" i="2"/>
  <c r="HM145" i="2"/>
  <c r="HM146" i="2"/>
  <c r="HM147" i="2"/>
  <c r="HM148" i="2"/>
  <c r="HM149" i="2"/>
  <c r="HM150" i="2"/>
  <c r="HM151" i="2"/>
  <c r="HM152" i="2"/>
  <c r="HM153" i="2"/>
  <c r="HM154" i="2"/>
  <c r="E746" i="16"/>
  <c r="F746" i="16"/>
  <c r="E747" i="16"/>
  <c r="F747" i="16"/>
  <c r="E748" i="16"/>
  <c r="F748" i="16"/>
  <c r="E749" i="16"/>
  <c r="F749" i="16"/>
  <c r="E750" i="16"/>
  <c r="F750" i="16"/>
  <c r="E751" i="16"/>
  <c r="F751" i="16"/>
  <c r="E752" i="16"/>
  <c r="F752" i="16"/>
  <c r="E753" i="16"/>
  <c r="F753" i="16"/>
  <c r="E754" i="16"/>
  <c r="F754" i="16"/>
  <c r="E755" i="16"/>
  <c r="F755" i="16"/>
  <c r="E756" i="16"/>
  <c r="F756" i="16"/>
  <c r="E757" i="16"/>
  <c r="F757" i="16"/>
  <c r="DW18" i="24"/>
  <c r="HK5" i="2"/>
  <c r="HL5" i="2" s="1"/>
  <c r="HK6" i="2"/>
  <c r="HL6" i="2" s="1"/>
  <c r="HK7" i="2"/>
  <c r="HL7" i="2" s="1"/>
  <c r="HK8" i="2"/>
  <c r="HL8" i="2" s="1"/>
  <c r="HK9" i="2"/>
  <c r="HL9" i="2" s="1"/>
  <c r="HK10" i="2"/>
  <c r="HL10" i="2" s="1"/>
  <c r="HK11" i="2"/>
  <c r="HL11" i="2" s="1"/>
  <c r="HK12" i="2"/>
  <c r="HL12" i="2" s="1"/>
  <c r="HK13" i="2"/>
  <c r="HL13" i="2" s="1"/>
  <c r="HK14" i="2"/>
  <c r="HL14" i="2" s="1"/>
  <c r="HK15" i="2"/>
  <c r="HL15" i="2" s="1"/>
  <c r="HK16" i="2"/>
  <c r="HL16" i="2" s="1"/>
  <c r="HK17" i="2"/>
  <c r="HL17" i="2" s="1"/>
  <c r="HK18" i="2"/>
  <c r="HL18" i="2" s="1"/>
  <c r="HK19" i="2"/>
  <c r="HL19" i="2" s="1"/>
  <c r="HK20" i="2"/>
  <c r="HL20" i="2" s="1"/>
  <c r="HK21" i="2"/>
  <c r="HL21" i="2" s="1"/>
  <c r="HK22" i="2"/>
  <c r="HL22" i="2" s="1"/>
  <c r="HK23" i="2"/>
  <c r="HL23" i="2" s="1"/>
  <c r="HK24" i="2"/>
  <c r="HL24" i="2" s="1"/>
  <c r="HK25" i="2"/>
  <c r="HL25" i="2" s="1"/>
  <c r="HK26" i="2"/>
  <c r="HL26" i="2" s="1"/>
  <c r="HK27" i="2"/>
  <c r="HL27" i="2" s="1"/>
  <c r="HK28" i="2"/>
  <c r="HL28" i="2" s="1"/>
  <c r="HK29" i="2"/>
  <c r="HL29" i="2" s="1"/>
  <c r="HK30" i="2"/>
  <c r="HL30" i="2" s="1"/>
  <c r="HK31" i="2"/>
  <c r="HL31" i="2" s="1"/>
  <c r="HK32" i="2"/>
  <c r="HL32" i="2" s="1"/>
  <c r="HK33" i="2"/>
  <c r="HL33" i="2" s="1"/>
  <c r="HK34" i="2"/>
  <c r="HL34" i="2" s="1"/>
  <c r="HK35" i="2"/>
  <c r="HL35" i="2" s="1"/>
  <c r="HK36" i="2"/>
  <c r="HL36" i="2" s="1"/>
  <c r="HK37" i="2"/>
  <c r="HL37" i="2" s="1"/>
  <c r="HK38" i="2"/>
  <c r="HL38" i="2" s="1"/>
  <c r="HK39" i="2"/>
  <c r="HL39" i="2" s="1"/>
  <c r="HK40" i="2"/>
  <c r="HL40" i="2" s="1"/>
  <c r="HK41" i="2"/>
  <c r="HL41" i="2" s="1"/>
  <c r="HK42" i="2"/>
  <c r="HL42" i="2" s="1"/>
  <c r="HK43" i="2"/>
  <c r="HL43" i="2" s="1"/>
  <c r="HK44" i="2"/>
  <c r="HL44" i="2" s="1"/>
  <c r="HK45" i="2"/>
  <c r="HL45" i="2" s="1"/>
  <c r="HK46" i="2"/>
  <c r="HL46" i="2" s="1"/>
  <c r="HK47" i="2"/>
  <c r="HL47" i="2" s="1"/>
  <c r="HK48" i="2"/>
  <c r="HL48" i="2" s="1"/>
  <c r="HK49" i="2"/>
  <c r="HL49" i="2" s="1"/>
  <c r="HK50" i="2"/>
  <c r="HL50" i="2" s="1"/>
  <c r="HK51" i="2"/>
  <c r="HL51" i="2" s="1"/>
  <c r="HK52" i="2"/>
  <c r="HL52" i="2" s="1"/>
  <c r="HK53" i="2"/>
  <c r="HL53" i="2" s="1"/>
  <c r="HK54" i="2"/>
  <c r="HL54" i="2" s="1"/>
  <c r="HK55" i="2"/>
  <c r="HL55" i="2" s="1"/>
  <c r="HK56" i="2"/>
  <c r="HL56" i="2" s="1"/>
  <c r="HK57" i="2"/>
  <c r="HL57" i="2" s="1"/>
  <c r="HK58" i="2"/>
  <c r="HL58" i="2" s="1"/>
  <c r="HK59" i="2"/>
  <c r="HL59" i="2" s="1"/>
  <c r="HK60" i="2"/>
  <c r="HL60" i="2" s="1"/>
  <c r="HK61" i="2"/>
  <c r="HL61" i="2" s="1"/>
  <c r="HK62" i="2"/>
  <c r="HL62" i="2" s="1"/>
  <c r="HK63" i="2"/>
  <c r="HL63" i="2" s="1"/>
  <c r="HK64" i="2"/>
  <c r="HL64" i="2" s="1"/>
  <c r="HK65" i="2"/>
  <c r="HL65" i="2" s="1"/>
  <c r="HK66" i="2"/>
  <c r="HL66" i="2" s="1"/>
  <c r="HK67" i="2"/>
  <c r="HL67" i="2" s="1"/>
  <c r="HK68" i="2"/>
  <c r="HL68" i="2" s="1"/>
  <c r="HK69" i="2"/>
  <c r="HL69" i="2" s="1"/>
  <c r="HK70" i="2"/>
  <c r="HL70" i="2" s="1"/>
  <c r="HK71" i="2"/>
  <c r="HL71" i="2" s="1"/>
  <c r="HK72" i="2"/>
  <c r="HL72" i="2" s="1"/>
  <c r="HK73" i="2"/>
  <c r="HL73" i="2" s="1"/>
  <c r="HK74" i="2"/>
  <c r="HL74" i="2" s="1"/>
  <c r="HK75" i="2"/>
  <c r="HL75" i="2" s="1"/>
  <c r="HK76" i="2"/>
  <c r="HL76" i="2" s="1"/>
  <c r="HK77" i="2"/>
  <c r="HL77" i="2" s="1"/>
  <c r="HK78" i="2"/>
  <c r="HL78" i="2" s="1"/>
  <c r="HK79" i="2"/>
  <c r="HL79" i="2" s="1"/>
  <c r="HK80" i="2"/>
  <c r="HL80" i="2" s="1"/>
  <c r="HK81" i="2"/>
  <c r="HL81" i="2" s="1"/>
  <c r="HK82" i="2"/>
  <c r="HL82" i="2" s="1"/>
  <c r="HK83" i="2"/>
  <c r="HL83" i="2" s="1"/>
  <c r="HK84" i="2"/>
  <c r="HL84" i="2" s="1"/>
  <c r="HK85" i="2"/>
  <c r="HL85" i="2" s="1"/>
  <c r="HK86" i="2"/>
  <c r="HL86" i="2" s="1"/>
  <c r="HK87" i="2"/>
  <c r="HL87" i="2" s="1"/>
  <c r="HK88" i="2"/>
  <c r="HL88" i="2" s="1"/>
  <c r="HK89" i="2"/>
  <c r="HL89" i="2" s="1"/>
  <c r="HK90" i="2"/>
  <c r="HL90" i="2" s="1"/>
  <c r="HK91" i="2"/>
  <c r="HL91" i="2" s="1"/>
  <c r="HK92" i="2"/>
  <c r="HL92" i="2" s="1"/>
  <c r="HK93" i="2"/>
  <c r="HL93" i="2" s="1"/>
  <c r="HK94" i="2"/>
  <c r="HL94" i="2" s="1"/>
  <c r="HK95" i="2"/>
  <c r="HL95" i="2" s="1"/>
  <c r="HK96" i="2"/>
  <c r="HL96" i="2" s="1"/>
  <c r="HK97" i="2"/>
  <c r="HL97" i="2" s="1"/>
  <c r="HK98" i="2"/>
  <c r="HL98" i="2" s="1"/>
  <c r="HK99" i="2"/>
  <c r="HL99" i="2" s="1"/>
  <c r="HK100" i="2"/>
  <c r="HL100" i="2" s="1"/>
  <c r="HK101" i="2"/>
  <c r="HL101" i="2" s="1"/>
  <c r="HK102" i="2"/>
  <c r="HL102" i="2" s="1"/>
  <c r="HK103" i="2"/>
  <c r="HL103" i="2" s="1"/>
  <c r="HK104" i="2"/>
  <c r="HL104" i="2" s="1"/>
  <c r="HK105" i="2"/>
  <c r="HL105" i="2" s="1"/>
  <c r="HK106" i="2"/>
  <c r="HL106" i="2" s="1"/>
  <c r="HK107" i="2"/>
  <c r="HL107" i="2" s="1"/>
  <c r="HK108" i="2"/>
  <c r="HL108" i="2" s="1"/>
  <c r="HK109" i="2"/>
  <c r="HL109" i="2" s="1"/>
  <c r="HK110" i="2"/>
  <c r="HL110" i="2" s="1"/>
  <c r="HK111" i="2"/>
  <c r="HL111" i="2" s="1"/>
  <c r="HK112" i="2"/>
  <c r="HL112" i="2" s="1"/>
  <c r="HK113" i="2"/>
  <c r="HL113" i="2" s="1"/>
  <c r="HK114" i="2"/>
  <c r="HL114" i="2" s="1"/>
  <c r="HK115" i="2"/>
  <c r="HL115" i="2" s="1"/>
  <c r="HK116" i="2"/>
  <c r="HL116" i="2" s="1"/>
  <c r="HK117" i="2"/>
  <c r="HL117" i="2" s="1"/>
  <c r="HK118" i="2"/>
  <c r="HL118" i="2" s="1"/>
  <c r="HK119" i="2"/>
  <c r="HL119" i="2" s="1"/>
  <c r="HK120" i="2"/>
  <c r="HL120" i="2" s="1"/>
  <c r="HK121" i="2"/>
  <c r="HL121" i="2" s="1"/>
  <c r="HK122" i="2"/>
  <c r="HL122" i="2" s="1"/>
  <c r="HK123" i="2"/>
  <c r="HL123" i="2" s="1"/>
  <c r="HK124" i="2"/>
  <c r="HL124" i="2" s="1"/>
  <c r="HK125" i="2"/>
  <c r="HL125" i="2" s="1"/>
  <c r="HK126" i="2"/>
  <c r="HL126" i="2" s="1"/>
  <c r="HK127" i="2"/>
  <c r="HL127" i="2" s="1"/>
  <c r="HK128" i="2"/>
  <c r="HL128" i="2" s="1"/>
  <c r="HK129" i="2"/>
  <c r="HL129" i="2" s="1"/>
  <c r="HK130" i="2"/>
  <c r="HL130" i="2" s="1"/>
  <c r="HK131" i="2"/>
  <c r="HL131" i="2" s="1"/>
  <c r="HK132" i="2"/>
  <c r="HL132" i="2" s="1"/>
  <c r="HK133" i="2"/>
  <c r="HL133" i="2" s="1"/>
  <c r="HK134" i="2"/>
  <c r="HL134" i="2" s="1"/>
  <c r="HK135" i="2"/>
  <c r="HL135" i="2" s="1"/>
  <c r="HK136" i="2"/>
  <c r="HL136" i="2" s="1"/>
  <c r="HK137" i="2"/>
  <c r="HL137" i="2" s="1"/>
  <c r="HK138" i="2"/>
  <c r="HL138" i="2" s="1"/>
  <c r="HK139" i="2"/>
  <c r="HL139" i="2" s="1"/>
  <c r="HK140" i="2"/>
  <c r="HL140" i="2" s="1"/>
  <c r="HK141" i="2"/>
  <c r="HL141" i="2" s="1"/>
  <c r="HK142" i="2"/>
  <c r="HL142" i="2" s="1"/>
  <c r="HK143" i="2"/>
  <c r="HL143" i="2" s="1"/>
  <c r="HK144" i="2"/>
  <c r="HL144" i="2" s="1"/>
  <c r="HK145" i="2"/>
  <c r="HL145" i="2" s="1"/>
  <c r="HK146" i="2"/>
  <c r="HL146" i="2" s="1"/>
  <c r="HK147" i="2"/>
  <c r="HL147" i="2" s="1"/>
  <c r="HK148" i="2"/>
  <c r="HL148" i="2" s="1"/>
  <c r="HK149" i="2"/>
  <c r="HL149" i="2" s="1"/>
  <c r="HK150" i="2"/>
  <c r="HL150" i="2" s="1"/>
  <c r="HK151" i="2"/>
  <c r="HL151" i="2" s="1"/>
  <c r="HK152" i="2"/>
  <c r="HL152" i="2" s="1"/>
  <c r="HK153" i="2"/>
  <c r="HL153" i="2" s="1"/>
  <c r="HK154" i="2"/>
  <c r="HL154" i="2" s="1"/>
  <c r="HK4" i="2"/>
  <c r="HL4" i="2" s="1"/>
  <c r="HI4" i="2"/>
  <c r="HJ4" i="2" s="1"/>
  <c r="HI5" i="2"/>
  <c r="HJ5" i="2" s="1"/>
  <c r="HI6" i="2"/>
  <c r="HJ6" i="2" s="1"/>
  <c r="HI7" i="2"/>
  <c r="HJ7" i="2" s="1"/>
  <c r="HI8" i="2"/>
  <c r="HJ8" i="2" s="1"/>
  <c r="HI9" i="2"/>
  <c r="HJ9" i="2" s="1"/>
  <c r="HI10" i="2"/>
  <c r="HJ10" i="2" s="1"/>
  <c r="HI11" i="2"/>
  <c r="HJ11" i="2" s="1"/>
  <c r="HI12" i="2"/>
  <c r="HJ12" i="2" s="1"/>
  <c r="HI13" i="2"/>
  <c r="HJ13" i="2" s="1"/>
  <c r="HI14" i="2"/>
  <c r="HJ14" i="2" s="1"/>
  <c r="HI15" i="2"/>
  <c r="HJ15" i="2" s="1"/>
  <c r="HI16" i="2"/>
  <c r="HJ16" i="2" s="1"/>
  <c r="HI17" i="2"/>
  <c r="HJ17" i="2" s="1"/>
  <c r="HI18" i="2"/>
  <c r="HJ18" i="2" s="1"/>
  <c r="HI19" i="2"/>
  <c r="HJ19" i="2" s="1"/>
  <c r="HI20" i="2"/>
  <c r="HJ20" i="2" s="1"/>
  <c r="HI21" i="2"/>
  <c r="HJ21" i="2" s="1"/>
  <c r="HI22" i="2"/>
  <c r="HJ22" i="2" s="1"/>
  <c r="HI23" i="2"/>
  <c r="HJ23" i="2" s="1"/>
  <c r="HI24" i="2"/>
  <c r="HJ24" i="2" s="1"/>
  <c r="HI25" i="2"/>
  <c r="HJ25" i="2" s="1"/>
  <c r="HI26" i="2"/>
  <c r="HJ26" i="2" s="1"/>
  <c r="HI27" i="2"/>
  <c r="HJ27" i="2" s="1"/>
  <c r="HI28" i="2"/>
  <c r="HJ28" i="2" s="1"/>
  <c r="HI29" i="2"/>
  <c r="HJ29" i="2" s="1"/>
  <c r="HI30" i="2"/>
  <c r="HJ30" i="2" s="1"/>
  <c r="HI31" i="2"/>
  <c r="HJ31" i="2" s="1"/>
  <c r="HI32" i="2"/>
  <c r="HJ32" i="2" s="1"/>
  <c r="HI33" i="2"/>
  <c r="HJ33" i="2" s="1"/>
  <c r="HI34" i="2"/>
  <c r="HJ34" i="2" s="1"/>
  <c r="HI35" i="2"/>
  <c r="HJ35" i="2" s="1"/>
  <c r="HI36" i="2"/>
  <c r="HJ36" i="2" s="1"/>
  <c r="HI37" i="2"/>
  <c r="HJ37" i="2" s="1"/>
  <c r="HI38" i="2"/>
  <c r="HJ38" i="2" s="1"/>
  <c r="HI39" i="2"/>
  <c r="HJ39" i="2" s="1"/>
  <c r="HI40" i="2"/>
  <c r="HJ40" i="2" s="1"/>
  <c r="HI41" i="2"/>
  <c r="HJ41" i="2" s="1"/>
  <c r="HI42" i="2"/>
  <c r="HJ42" i="2" s="1"/>
  <c r="HI43" i="2"/>
  <c r="HJ43" i="2" s="1"/>
  <c r="HI44" i="2"/>
  <c r="HJ44" i="2" s="1"/>
  <c r="HI45" i="2"/>
  <c r="HJ45" i="2" s="1"/>
  <c r="HI46" i="2"/>
  <c r="HJ46" i="2" s="1"/>
  <c r="HI47" i="2"/>
  <c r="HJ47" i="2" s="1"/>
  <c r="HI48" i="2"/>
  <c r="HJ48" i="2" s="1"/>
  <c r="HI49" i="2"/>
  <c r="HJ49" i="2" s="1"/>
  <c r="HI50" i="2"/>
  <c r="HJ50" i="2" s="1"/>
  <c r="HI51" i="2"/>
  <c r="HJ51" i="2" s="1"/>
  <c r="HI52" i="2"/>
  <c r="HJ52" i="2" s="1"/>
  <c r="HI53" i="2"/>
  <c r="HJ53" i="2" s="1"/>
  <c r="HI54" i="2"/>
  <c r="HJ54" i="2" s="1"/>
  <c r="HI55" i="2"/>
  <c r="HJ55" i="2" s="1"/>
  <c r="HI56" i="2"/>
  <c r="HJ56" i="2" s="1"/>
  <c r="HI57" i="2"/>
  <c r="HJ57" i="2" s="1"/>
  <c r="HI58" i="2"/>
  <c r="HJ58" i="2" s="1"/>
  <c r="HI59" i="2"/>
  <c r="HJ59" i="2" s="1"/>
  <c r="HI60" i="2"/>
  <c r="HJ60" i="2" s="1"/>
  <c r="HI61" i="2"/>
  <c r="HJ61" i="2" s="1"/>
  <c r="HI62" i="2"/>
  <c r="HJ62" i="2" s="1"/>
  <c r="HI63" i="2"/>
  <c r="HJ63" i="2" s="1"/>
  <c r="HI64" i="2"/>
  <c r="HJ64" i="2" s="1"/>
  <c r="HI65" i="2"/>
  <c r="HJ65" i="2" s="1"/>
  <c r="HI66" i="2"/>
  <c r="HJ66" i="2" s="1"/>
  <c r="HI67" i="2"/>
  <c r="HJ67" i="2" s="1"/>
  <c r="HI68" i="2"/>
  <c r="HJ68" i="2" s="1"/>
  <c r="HI69" i="2"/>
  <c r="HJ69" i="2" s="1"/>
  <c r="HI70" i="2"/>
  <c r="HJ70" i="2" s="1"/>
  <c r="HI71" i="2"/>
  <c r="HJ71" i="2" s="1"/>
  <c r="HI72" i="2"/>
  <c r="HJ72" i="2" s="1"/>
  <c r="HI73" i="2"/>
  <c r="HJ73" i="2" s="1"/>
  <c r="HI74" i="2"/>
  <c r="HJ74" i="2" s="1"/>
  <c r="HI75" i="2"/>
  <c r="HJ75" i="2" s="1"/>
  <c r="HI76" i="2"/>
  <c r="HJ76" i="2" s="1"/>
  <c r="HI77" i="2"/>
  <c r="HJ77" i="2" s="1"/>
  <c r="HI78" i="2"/>
  <c r="HJ78" i="2" s="1"/>
  <c r="HI79" i="2"/>
  <c r="HJ79" i="2" s="1"/>
  <c r="HI80" i="2"/>
  <c r="HJ80" i="2" s="1"/>
  <c r="HI81" i="2"/>
  <c r="HJ81" i="2" s="1"/>
  <c r="HI82" i="2"/>
  <c r="HJ82" i="2" s="1"/>
  <c r="HI83" i="2"/>
  <c r="HJ83" i="2" s="1"/>
  <c r="HI84" i="2"/>
  <c r="HJ84" i="2" s="1"/>
  <c r="HI85" i="2"/>
  <c r="HJ85" i="2" s="1"/>
  <c r="HI86" i="2"/>
  <c r="HJ86" i="2" s="1"/>
  <c r="HI87" i="2"/>
  <c r="HJ87" i="2" s="1"/>
  <c r="HI88" i="2"/>
  <c r="HJ88" i="2" s="1"/>
  <c r="HI89" i="2"/>
  <c r="HJ89" i="2" s="1"/>
  <c r="HI90" i="2"/>
  <c r="HJ90" i="2" s="1"/>
  <c r="HI91" i="2"/>
  <c r="HJ91" i="2" s="1"/>
  <c r="HI92" i="2"/>
  <c r="HJ92" i="2" s="1"/>
  <c r="HI93" i="2"/>
  <c r="HJ93" i="2" s="1"/>
  <c r="HI94" i="2"/>
  <c r="HJ94" i="2" s="1"/>
  <c r="HI95" i="2"/>
  <c r="HJ95" i="2" s="1"/>
  <c r="HI96" i="2"/>
  <c r="HJ96" i="2" s="1"/>
  <c r="HI97" i="2"/>
  <c r="HJ97" i="2" s="1"/>
  <c r="HI98" i="2"/>
  <c r="HJ98" i="2" s="1"/>
  <c r="HI99" i="2"/>
  <c r="HJ99" i="2" s="1"/>
  <c r="HI100" i="2"/>
  <c r="HJ100" i="2" s="1"/>
  <c r="HI101" i="2"/>
  <c r="HJ101" i="2" s="1"/>
  <c r="HI102" i="2"/>
  <c r="HJ102" i="2" s="1"/>
  <c r="HI103" i="2"/>
  <c r="HJ103" i="2" s="1"/>
  <c r="HI104" i="2"/>
  <c r="HJ104" i="2" s="1"/>
  <c r="HI105" i="2"/>
  <c r="HJ105" i="2" s="1"/>
  <c r="HI106" i="2"/>
  <c r="HJ106" i="2" s="1"/>
  <c r="HI107" i="2"/>
  <c r="HJ107" i="2" s="1"/>
  <c r="HI108" i="2"/>
  <c r="HJ108" i="2" s="1"/>
  <c r="HI109" i="2"/>
  <c r="HJ109" i="2" s="1"/>
  <c r="HI110" i="2"/>
  <c r="HJ110" i="2" s="1"/>
  <c r="HI111" i="2"/>
  <c r="HJ111" i="2" s="1"/>
  <c r="HI112" i="2"/>
  <c r="HJ112" i="2" s="1"/>
  <c r="HI113" i="2"/>
  <c r="HJ113" i="2" s="1"/>
  <c r="HI114" i="2"/>
  <c r="HJ114" i="2" s="1"/>
  <c r="HI115" i="2"/>
  <c r="HJ115" i="2" s="1"/>
  <c r="HI116" i="2"/>
  <c r="HJ116" i="2" s="1"/>
  <c r="HI117" i="2"/>
  <c r="HJ117" i="2" s="1"/>
  <c r="HI118" i="2"/>
  <c r="HJ118" i="2" s="1"/>
  <c r="HI119" i="2"/>
  <c r="HJ119" i="2" s="1"/>
  <c r="HI120" i="2"/>
  <c r="HJ120" i="2" s="1"/>
  <c r="HI121" i="2"/>
  <c r="HJ121" i="2" s="1"/>
  <c r="HI122" i="2"/>
  <c r="HJ122" i="2" s="1"/>
  <c r="HI123" i="2"/>
  <c r="HJ123" i="2" s="1"/>
  <c r="HI124" i="2"/>
  <c r="HJ124" i="2" s="1"/>
  <c r="HI125" i="2"/>
  <c r="HJ125" i="2" s="1"/>
  <c r="HI126" i="2"/>
  <c r="HJ126" i="2" s="1"/>
  <c r="HI127" i="2"/>
  <c r="HJ127" i="2" s="1"/>
  <c r="HI128" i="2"/>
  <c r="HJ128" i="2" s="1"/>
  <c r="HI129" i="2"/>
  <c r="HJ129" i="2" s="1"/>
  <c r="HI130" i="2"/>
  <c r="HJ130" i="2" s="1"/>
  <c r="HI131" i="2"/>
  <c r="HJ131" i="2" s="1"/>
  <c r="HI132" i="2"/>
  <c r="HJ132" i="2" s="1"/>
  <c r="HI133" i="2"/>
  <c r="HJ133" i="2" s="1"/>
  <c r="HI134" i="2"/>
  <c r="HJ134" i="2" s="1"/>
  <c r="HI135" i="2"/>
  <c r="HJ135" i="2" s="1"/>
  <c r="HI136" i="2"/>
  <c r="HJ136" i="2" s="1"/>
  <c r="HI137" i="2"/>
  <c r="HJ137" i="2" s="1"/>
  <c r="HI138" i="2"/>
  <c r="HJ138" i="2" s="1"/>
  <c r="HI139" i="2"/>
  <c r="HJ139" i="2" s="1"/>
  <c r="HI140" i="2"/>
  <c r="HJ140" i="2" s="1"/>
  <c r="HI141" i="2"/>
  <c r="HJ141" i="2" s="1"/>
  <c r="HI142" i="2"/>
  <c r="HJ142" i="2" s="1"/>
  <c r="HI143" i="2"/>
  <c r="HJ143" i="2" s="1"/>
  <c r="HI144" i="2"/>
  <c r="HJ144" i="2" s="1"/>
  <c r="HI145" i="2"/>
  <c r="HJ145" i="2" s="1"/>
  <c r="HI146" i="2"/>
  <c r="HJ146" i="2" s="1"/>
  <c r="HI147" i="2"/>
  <c r="HJ147" i="2" s="1"/>
  <c r="HI148" i="2"/>
  <c r="HJ148" i="2" s="1"/>
  <c r="HI149" i="2"/>
  <c r="HJ149" i="2" s="1"/>
  <c r="HI150" i="2"/>
  <c r="HJ150" i="2" s="1"/>
  <c r="HI151" i="2"/>
  <c r="HJ151" i="2" s="1"/>
  <c r="HI152" i="2"/>
  <c r="HJ152" i="2" s="1"/>
  <c r="HI153" i="2"/>
  <c r="HJ153" i="2" s="1"/>
  <c r="HI154" i="2"/>
  <c r="HJ154" i="2" s="1"/>
  <c r="DU18" i="24"/>
  <c r="E745" i="16"/>
  <c r="E734" i="16"/>
  <c r="F734" i="16"/>
  <c r="E735" i="16"/>
  <c r="F735" i="16"/>
  <c r="E736" i="16"/>
  <c r="F736" i="16"/>
  <c r="E737" i="16"/>
  <c r="F737" i="16"/>
  <c r="E738" i="16"/>
  <c r="F738" i="16"/>
  <c r="E739" i="16"/>
  <c r="F739" i="16"/>
  <c r="E740" i="16"/>
  <c r="F740" i="16"/>
  <c r="E741" i="16"/>
  <c r="F741" i="16"/>
  <c r="E742" i="16"/>
  <c r="F742" i="16"/>
  <c r="E743" i="16"/>
  <c r="F743" i="16"/>
  <c r="E744" i="16"/>
  <c r="F744" i="16"/>
  <c r="F745" i="16"/>
  <c r="I4" i="27"/>
  <c r="I5" i="27"/>
  <c r="I6" i="27"/>
  <c r="I7" i="27"/>
  <c r="I8" i="27"/>
  <c r="I9" i="27"/>
  <c r="I10" i="27"/>
  <c r="I11" i="27"/>
  <c r="I12" i="27"/>
  <c r="I13" i="27"/>
  <c r="I14" i="27"/>
  <c r="I3" i="27"/>
  <c r="H4" i="27"/>
  <c r="H5" i="27"/>
  <c r="H6" i="27"/>
  <c r="H7" i="27"/>
  <c r="H8" i="27"/>
  <c r="H9" i="27"/>
  <c r="H10" i="27"/>
  <c r="H11" i="27"/>
  <c r="H12" i="27"/>
  <c r="H13" i="27"/>
  <c r="H14" i="27"/>
  <c r="H3" i="27"/>
  <c r="DS18" i="24"/>
  <c r="DQ18" i="24"/>
  <c r="DO18" i="24"/>
  <c r="E722" i="16"/>
  <c r="F722" i="16"/>
  <c r="E723" i="16"/>
  <c r="F723" i="16"/>
  <c r="E724" i="16"/>
  <c r="F724" i="16"/>
  <c r="E725" i="16"/>
  <c r="F725" i="16"/>
  <c r="E726" i="16"/>
  <c r="F726" i="16"/>
  <c r="E727" i="16"/>
  <c r="F727" i="16"/>
  <c r="E728" i="16"/>
  <c r="F728" i="16"/>
  <c r="E729" i="16"/>
  <c r="F729" i="16"/>
  <c r="E730" i="16"/>
  <c r="F730" i="16"/>
  <c r="E731" i="16"/>
  <c r="F731" i="16"/>
  <c r="E732" i="16"/>
  <c r="F732" i="16"/>
  <c r="E733" i="16"/>
  <c r="F733" i="16"/>
  <c r="E710" i="16"/>
  <c r="F710" i="16"/>
  <c r="E711" i="16"/>
  <c r="F711" i="16"/>
  <c r="E712" i="16"/>
  <c r="F712" i="16"/>
  <c r="E713" i="16"/>
  <c r="F713" i="16"/>
  <c r="E714" i="16"/>
  <c r="F714" i="16"/>
  <c r="E715" i="16"/>
  <c r="F715" i="16"/>
  <c r="E716" i="16"/>
  <c r="F716" i="16"/>
  <c r="E717" i="16"/>
  <c r="F717" i="16"/>
  <c r="E718" i="16"/>
  <c r="F718" i="16"/>
  <c r="E719" i="16"/>
  <c r="F719" i="16"/>
  <c r="E720" i="16"/>
  <c r="F720" i="16"/>
  <c r="E721" i="16"/>
  <c r="F721" i="16"/>
  <c r="GZ5" i="2"/>
  <c r="GZ6" i="2"/>
  <c r="GZ7" i="2"/>
  <c r="GZ8" i="2"/>
  <c r="GZ9" i="2"/>
  <c r="GZ10" i="2"/>
  <c r="GZ11" i="2"/>
  <c r="GZ12" i="2"/>
  <c r="GZ13" i="2"/>
  <c r="GZ14" i="2"/>
  <c r="GZ15" i="2"/>
  <c r="GZ16" i="2"/>
  <c r="GZ17" i="2"/>
  <c r="GZ18" i="2"/>
  <c r="GZ19" i="2"/>
  <c r="GZ21" i="2"/>
  <c r="GZ22" i="2"/>
  <c r="GZ23" i="2"/>
  <c r="GZ24" i="2"/>
  <c r="GZ25" i="2"/>
  <c r="GZ26" i="2"/>
  <c r="GZ27" i="2"/>
  <c r="GZ28" i="2"/>
  <c r="GZ29" i="2"/>
  <c r="GZ30" i="2"/>
  <c r="GZ31" i="2"/>
  <c r="GZ32" i="2"/>
  <c r="GZ33" i="2"/>
  <c r="GZ35" i="2"/>
  <c r="GZ36" i="2"/>
  <c r="GZ37" i="2"/>
  <c r="GZ38" i="2"/>
  <c r="GZ39" i="2"/>
  <c r="GZ40" i="2"/>
  <c r="GZ41" i="2"/>
  <c r="GZ42" i="2"/>
  <c r="GZ43" i="2"/>
  <c r="GZ44" i="2"/>
  <c r="GZ45" i="2"/>
  <c r="GZ47" i="2"/>
  <c r="GZ48" i="2"/>
  <c r="GZ49" i="2"/>
  <c r="GZ50" i="2"/>
  <c r="GZ51" i="2"/>
  <c r="GZ52" i="2"/>
  <c r="GZ53" i="2"/>
  <c r="GZ54" i="2"/>
  <c r="GZ55" i="2"/>
  <c r="GZ56" i="2"/>
  <c r="GZ57" i="2"/>
  <c r="GZ58" i="2"/>
  <c r="GZ59" i="2"/>
  <c r="GZ60" i="2"/>
  <c r="GZ61" i="2"/>
  <c r="GZ62" i="2"/>
  <c r="GZ64" i="2"/>
  <c r="GZ65" i="2"/>
  <c r="GZ66" i="2"/>
  <c r="GZ67" i="2"/>
  <c r="GZ68" i="2"/>
  <c r="GZ69" i="2"/>
  <c r="GZ70" i="2"/>
  <c r="GZ71" i="2"/>
  <c r="GZ72" i="2"/>
  <c r="GZ73" i="2"/>
  <c r="GZ74" i="2"/>
  <c r="GZ75" i="2"/>
  <c r="GZ76" i="2"/>
  <c r="GZ77" i="2"/>
  <c r="GZ78" i="2"/>
  <c r="GZ79" i="2"/>
  <c r="GZ80" i="2"/>
  <c r="GZ82" i="2"/>
  <c r="GZ83" i="2"/>
  <c r="GZ84" i="2"/>
  <c r="GZ85" i="2"/>
  <c r="GZ86" i="2"/>
  <c r="GZ87" i="2"/>
  <c r="GZ88" i="2"/>
  <c r="GZ89" i="2"/>
  <c r="GZ91" i="2"/>
  <c r="GZ92" i="2"/>
  <c r="GZ93" i="2"/>
  <c r="GZ94" i="2"/>
  <c r="GZ95" i="2"/>
  <c r="GZ96" i="2"/>
  <c r="GZ97" i="2"/>
  <c r="GZ98" i="2"/>
  <c r="GZ99" i="2"/>
  <c r="GZ100" i="2"/>
  <c r="GZ102" i="2"/>
  <c r="GZ103" i="2"/>
  <c r="GZ104" i="2"/>
  <c r="GZ105" i="2"/>
  <c r="GZ106" i="2"/>
  <c r="GZ107" i="2"/>
  <c r="GZ108" i="2"/>
  <c r="GZ109" i="2"/>
  <c r="GZ110" i="2"/>
  <c r="GZ111" i="2"/>
  <c r="GZ113" i="2"/>
  <c r="GZ114" i="2"/>
  <c r="GZ115" i="2"/>
  <c r="GZ116" i="2"/>
  <c r="GZ117" i="2"/>
  <c r="GZ118" i="2"/>
  <c r="GZ119" i="2"/>
  <c r="GZ120" i="2"/>
  <c r="GZ121" i="2"/>
  <c r="GZ122" i="2"/>
  <c r="GZ123" i="2"/>
  <c r="GZ124" i="2"/>
  <c r="GZ126" i="2"/>
  <c r="GZ127" i="2"/>
  <c r="GZ128" i="2"/>
  <c r="GZ129" i="2"/>
  <c r="GZ130" i="2"/>
  <c r="GZ131" i="2"/>
  <c r="GZ132" i="2"/>
  <c r="GZ133" i="2"/>
  <c r="GZ134" i="2"/>
  <c r="GZ135" i="2"/>
  <c r="GZ136" i="2"/>
  <c r="GZ137" i="2"/>
  <c r="GZ139" i="2"/>
  <c r="GZ140" i="2"/>
  <c r="GZ141" i="2"/>
  <c r="GZ142" i="2"/>
  <c r="GZ143" i="2"/>
  <c r="GZ144" i="2"/>
  <c r="GZ145" i="2"/>
  <c r="GZ146" i="2"/>
  <c r="GZ147" i="2"/>
  <c r="GZ148" i="2"/>
  <c r="GZ149" i="2"/>
  <c r="GZ150" i="2"/>
  <c r="GZ151" i="2"/>
  <c r="GZ152" i="2"/>
  <c r="GZ153" i="2"/>
  <c r="GZ154" i="2"/>
  <c r="GZ4" i="2"/>
  <c r="GV4" i="2"/>
  <c r="GX5" i="2"/>
  <c r="GX6" i="2"/>
  <c r="GX7" i="2"/>
  <c r="GX8" i="2"/>
  <c r="GX9" i="2"/>
  <c r="GX10" i="2"/>
  <c r="GX11" i="2"/>
  <c r="GX12" i="2"/>
  <c r="GX13" i="2"/>
  <c r="GX14" i="2"/>
  <c r="GX15" i="2"/>
  <c r="GX16" i="2"/>
  <c r="GX17" i="2"/>
  <c r="GX18" i="2"/>
  <c r="GX19" i="2"/>
  <c r="GX21" i="2"/>
  <c r="GX22" i="2"/>
  <c r="GX23" i="2"/>
  <c r="GX24" i="2"/>
  <c r="GX25" i="2"/>
  <c r="GX26" i="2"/>
  <c r="GX27" i="2"/>
  <c r="GX28" i="2"/>
  <c r="GX29" i="2"/>
  <c r="GX30" i="2"/>
  <c r="GX31" i="2"/>
  <c r="GX32" i="2"/>
  <c r="GX33" i="2"/>
  <c r="GX35" i="2"/>
  <c r="GX36" i="2"/>
  <c r="GX37" i="2"/>
  <c r="GX38" i="2"/>
  <c r="GX39" i="2"/>
  <c r="GX40" i="2"/>
  <c r="GX41" i="2"/>
  <c r="GX42" i="2"/>
  <c r="GX43" i="2"/>
  <c r="GX44" i="2"/>
  <c r="GX45" i="2"/>
  <c r="GX47" i="2"/>
  <c r="GX48" i="2"/>
  <c r="GX49" i="2"/>
  <c r="GX50" i="2"/>
  <c r="GX51" i="2"/>
  <c r="GX52" i="2"/>
  <c r="GX53" i="2"/>
  <c r="GX54" i="2"/>
  <c r="GX55" i="2"/>
  <c r="GX56" i="2"/>
  <c r="GX57" i="2"/>
  <c r="GX58" i="2"/>
  <c r="GX59" i="2"/>
  <c r="GX60" i="2"/>
  <c r="GX61" i="2"/>
  <c r="GX62" i="2"/>
  <c r="GX64" i="2"/>
  <c r="GX65" i="2"/>
  <c r="GX66" i="2"/>
  <c r="GX67" i="2"/>
  <c r="GX68" i="2"/>
  <c r="GX69" i="2"/>
  <c r="GX70" i="2"/>
  <c r="GX71" i="2"/>
  <c r="GX72" i="2"/>
  <c r="GX73" i="2"/>
  <c r="GX74" i="2"/>
  <c r="GX75" i="2"/>
  <c r="GX76" i="2"/>
  <c r="GX77" i="2"/>
  <c r="GX78" i="2"/>
  <c r="GX79" i="2"/>
  <c r="GX80" i="2"/>
  <c r="GX82" i="2"/>
  <c r="GX83" i="2"/>
  <c r="GX84" i="2"/>
  <c r="GX85" i="2"/>
  <c r="GX86" i="2"/>
  <c r="GX87" i="2"/>
  <c r="GX88" i="2"/>
  <c r="GX89" i="2"/>
  <c r="GX91" i="2"/>
  <c r="GX92" i="2"/>
  <c r="GX93" i="2"/>
  <c r="GX94" i="2"/>
  <c r="GX95" i="2"/>
  <c r="GX96" i="2"/>
  <c r="GX97" i="2"/>
  <c r="GX98" i="2"/>
  <c r="GX99" i="2"/>
  <c r="GX100" i="2"/>
  <c r="GX102" i="2"/>
  <c r="GX103" i="2"/>
  <c r="GX104" i="2"/>
  <c r="GX105" i="2"/>
  <c r="GX106" i="2"/>
  <c r="GX107" i="2"/>
  <c r="GX108" i="2"/>
  <c r="GX109" i="2"/>
  <c r="GX110" i="2"/>
  <c r="GX111" i="2"/>
  <c r="GX113" i="2"/>
  <c r="GX114" i="2"/>
  <c r="GX115" i="2"/>
  <c r="GX116" i="2"/>
  <c r="GX117" i="2"/>
  <c r="GX118" i="2"/>
  <c r="GX119" i="2"/>
  <c r="GX120" i="2"/>
  <c r="GX121" i="2"/>
  <c r="GX122" i="2"/>
  <c r="GX123" i="2"/>
  <c r="GX124" i="2"/>
  <c r="GX126" i="2"/>
  <c r="GX127" i="2"/>
  <c r="GX128" i="2"/>
  <c r="GX129" i="2"/>
  <c r="GX130" i="2"/>
  <c r="GX131" i="2"/>
  <c r="GX132" i="2"/>
  <c r="GX133" i="2"/>
  <c r="GX134" i="2"/>
  <c r="GX135" i="2"/>
  <c r="GX136" i="2"/>
  <c r="GX137" i="2"/>
  <c r="GX139" i="2"/>
  <c r="GX140" i="2"/>
  <c r="GX141" i="2"/>
  <c r="GX142" i="2"/>
  <c r="GX143" i="2"/>
  <c r="GX144" i="2"/>
  <c r="GX145" i="2"/>
  <c r="GX146" i="2"/>
  <c r="GX147" i="2"/>
  <c r="GX148" i="2"/>
  <c r="GX149" i="2"/>
  <c r="GX150" i="2"/>
  <c r="GX151" i="2"/>
  <c r="GX152" i="2"/>
  <c r="GX153" i="2"/>
  <c r="GX154" i="2"/>
  <c r="GX4" i="2"/>
  <c r="GT4" i="2"/>
  <c r="F698" i="16"/>
  <c r="F699" i="16"/>
  <c r="F700" i="16"/>
  <c r="F701" i="16"/>
  <c r="F702" i="16"/>
  <c r="F703" i="16"/>
  <c r="F704" i="16"/>
  <c r="F705" i="16"/>
  <c r="F706" i="16"/>
  <c r="F707" i="16"/>
  <c r="F708" i="16"/>
  <c r="F709" i="16"/>
  <c r="E698" i="16"/>
  <c r="E699" i="16"/>
  <c r="E700" i="16"/>
  <c r="E701" i="16"/>
  <c r="E702" i="16"/>
  <c r="E703" i="16"/>
  <c r="E704" i="16"/>
  <c r="E705" i="16"/>
  <c r="E706" i="16"/>
  <c r="E707" i="16"/>
  <c r="E708" i="16"/>
  <c r="E709" i="16"/>
  <c r="Y46" i="25"/>
  <c r="Z46" i="25"/>
  <c r="AA46" i="25"/>
  <c r="AB46" i="25"/>
  <c r="AC46" i="25"/>
  <c r="AD46" i="25"/>
  <c r="AE46" i="25"/>
  <c r="AF46" i="25"/>
  <c r="X46" i="25"/>
  <c r="HP148" i="2" l="1"/>
  <c r="HP140" i="2"/>
  <c r="HP132" i="2"/>
  <c r="HP124" i="2"/>
  <c r="HP116" i="2"/>
  <c r="HP108" i="2"/>
  <c r="HP100" i="2"/>
  <c r="HP92" i="2"/>
  <c r="HP84" i="2"/>
  <c r="HP76" i="2"/>
  <c r="HP68" i="2"/>
  <c r="HP60" i="2"/>
  <c r="HP52" i="2"/>
  <c r="HP44" i="2"/>
  <c r="HP36" i="2"/>
  <c r="HP28" i="2"/>
  <c r="HP20" i="2"/>
  <c r="HP12" i="2"/>
  <c r="HP154" i="2"/>
  <c r="HP146" i="2"/>
  <c r="HP138" i="2"/>
  <c r="HP130" i="2"/>
  <c r="HP122" i="2"/>
  <c r="HP114" i="2"/>
  <c r="HP106" i="2"/>
  <c r="HP98" i="2"/>
  <c r="HP90" i="2"/>
  <c r="HP82" i="2"/>
  <c r="HP74" i="2"/>
  <c r="HP66" i="2"/>
  <c r="HP58" i="2"/>
  <c r="HP50" i="2"/>
  <c r="HP42" i="2"/>
  <c r="HP34" i="2"/>
  <c r="HP26" i="2"/>
  <c r="HP18" i="2"/>
  <c r="HP10" i="2"/>
  <c r="HP153" i="2"/>
  <c r="HP145" i="2"/>
  <c r="HP137" i="2"/>
  <c r="HP129" i="2"/>
  <c r="HP121" i="2"/>
  <c r="HP113" i="2"/>
  <c r="HP105" i="2"/>
  <c r="HP97" i="2"/>
  <c r="HP89" i="2"/>
  <c r="HP81" i="2"/>
  <c r="HP73" i="2"/>
  <c r="HP65" i="2"/>
  <c r="HP57" i="2"/>
  <c r="HP49" i="2"/>
  <c r="HP41" i="2"/>
  <c r="HP33" i="2"/>
  <c r="HP25" i="2"/>
  <c r="HP17" i="2"/>
  <c r="HP9" i="2"/>
  <c r="HP152" i="2"/>
  <c r="HP144" i="2"/>
  <c r="HP136" i="2"/>
  <c r="HP128" i="2"/>
  <c r="HP120" i="2"/>
  <c r="HP112" i="2"/>
  <c r="HP104" i="2"/>
  <c r="HP96" i="2"/>
  <c r="HP88" i="2"/>
  <c r="HP80" i="2"/>
  <c r="HP72" i="2"/>
  <c r="HP64" i="2"/>
  <c r="HP56" i="2"/>
  <c r="HP48" i="2"/>
  <c r="HP40" i="2"/>
  <c r="HP32" i="2"/>
  <c r="HP24" i="2"/>
  <c r="HP16" i="2"/>
  <c r="HP8" i="2"/>
  <c r="HP151" i="2"/>
  <c r="HP143" i="2"/>
  <c r="HP135" i="2"/>
  <c r="HP127" i="2"/>
  <c r="HP119" i="2"/>
  <c r="HP111" i="2"/>
  <c r="HP103" i="2"/>
  <c r="HP95" i="2"/>
  <c r="HP87" i="2"/>
  <c r="HP79" i="2"/>
  <c r="HP71" i="2"/>
  <c r="HP63" i="2"/>
  <c r="HP55" i="2"/>
  <c r="HP47" i="2"/>
  <c r="HP39" i="2"/>
  <c r="HP31" i="2"/>
  <c r="HP23" i="2"/>
  <c r="HP15" i="2"/>
  <c r="HP7" i="2"/>
  <c r="HP150" i="2"/>
  <c r="HP142" i="2"/>
  <c r="HP134" i="2"/>
  <c r="HP126" i="2"/>
  <c r="HP118" i="2"/>
  <c r="HP110" i="2"/>
  <c r="HP102" i="2"/>
  <c r="HP94" i="2"/>
  <c r="HP86" i="2"/>
  <c r="HP78" i="2"/>
  <c r="HP70" i="2"/>
  <c r="HP62" i="2"/>
  <c r="HP54" i="2"/>
  <c r="HP46" i="2"/>
  <c r="HP38" i="2"/>
  <c r="HP30" i="2"/>
  <c r="HP22" i="2"/>
  <c r="HP14" i="2"/>
  <c r="HP6" i="2"/>
  <c r="HP149" i="2"/>
  <c r="HP141" i="2"/>
  <c r="HP133" i="2"/>
  <c r="HP125" i="2"/>
  <c r="HP117" i="2"/>
  <c r="HP109" i="2"/>
  <c r="HP101" i="2"/>
  <c r="HP93" i="2"/>
  <c r="HP85" i="2"/>
  <c r="HP77" i="2"/>
  <c r="HP69" i="2"/>
  <c r="HP61" i="2"/>
  <c r="HP53" i="2"/>
  <c r="HP45" i="2"/>
  <c r="HP37" i="2"/>
  <c r="HP29" i="2"/>
  <c r="HP21" i="2"/>
  <c r="HP13" i="2"/>
  <c r="HP5" i="2"/>
  <c r="HN150" i="2"/>
  <c r="HN142" i="2"/>
  <c r="HN134" i="2"/>
  <c r="HN126" i="2"/>
  <c r="HN118" i="2"/>
  <c r="HN110" i="2"/>
  <c r="HN102" i="2"/>
  <c r="HN94" i="2"/>
  <c r="HN86" i="2"/>
  <c r="HN78" i="2"/>
  <c r="HN70" i="2"/>
  <c r="HN62" i="2"/>
  <c r="HN54" i="2"/>
  <c r="HN46" i="2"/>
  <c r="HN38" i="2"/>
  <c r="HN30" i="2"/>
  <c r="HN22" i="2"/>
  <c r="HN14" i="2"/>
  <c r="HN6" i="2"/>
  <c r="HN149" i="2"/>
  <c r="HN141" i="2"/>
  <c r="HN133" i="2"/>
  <c r="HN125" i="2"/>
  <c r="HN117" i="2"/>
  <c r="HN109" i="2"/>
  <c r="HN101" i="2"/>
  <c r="HN93" i="2"/>
  <c r="HN85" i="2"/>
  <c r="HN77" i="2"/>
  <c r="HN69" i="2"/>
  <c r="HN61" i="2"/>
  <c r="HN53" i="2"/>
  <c r="HN45" i="2"/>
  <c r="HN37" i="2"/>
  <c r="HN29" i="2"/>
  <c r="HN21" i="2"/>
  <c r="HN13" i="2"/>
  <c r="HN5" i="2"/>
  <c r="HP147" i="2"/>
  <c r="HP139" i="2"/>
  <c r="HP131" i="2"/>
  <c r="HP123" i="2"/>
  <c r="HP115" i="2"/>
  <c r="HP107" i="2"/>
  <c r="HP99" i="2"/>
  <c r="HP91" i="2"/>
  <c r="HP83" i="2"/>
  <c r="HP75" i="2"/>
  <c r="HP67" i="2"/>
  <c r="HP59" i="2"/>
  <c r="HP51" i="2"/>
  <c r="HP43" i="2"/>
  <c r="HP35" i="2"/>
  <c r="HP27" i="2"/>
  <c r="HP19" i="2"/>
  <c r="HP11" i="2"/>
  <c r="HN12" i="2"/>
  <c r="HN147" i="2"/>
  <c r="HN139" i="2"/>
  <c r="HN131" i="2"/>
  <c r="HN123" i="2"/>
  <c r="HN115" i="2"/>
  <c r="HN107" i="2"/>
  <c r="HN99" i="2"/>
  <c r="HN91" i="2"/>
  <c r="HN83" i="2"/>
  <c r="HN75" i="2"/>
  <c r="HN67" i="2"/>
  <c r="HN59" i="2"/>
  <c r="HN51" i="2"/>
  <c r="HN43" i="2"/>
  <c r="HN35" i="2"/>
  <c r="HN27" i="2"/>
  <c r="HN19" i="2"/>
  <c r="HN11" i="2"/>
  <c r="HN154" i="2"/>
  <c r="HN146" i="2"/>
  <c r="HN138" i="2"/>
  <c r="HN130" i="2"/>
  <c r="HN122" i="2"/>
  <c r="HN114" i="2"/>
  <c r="HN106" i="2"/>
  <c r="HN98" i="2"/>
  <c r="HN90" i="2"/>
  <c r="HN82" i="2"/>
  <c r="HN74" i="2"/>
  <c r="HN66" i="2"/>
  <c r="HN58" i="2"/>
  <c r="HN50" i="2"/>
  <c r="HN42" i="2"/>
  <c r="HN34" i="2"/>
  <c r="HN26" i="2"/>
  <c r="HN18" i="2"/>
  <c r="HN10" i="2"/>
  <c r="HN153" i="2"/>
  <c r="HN145" i="2"/>
  <c r="HN137" i="2"/>
  <c r="HN129" i="2"/>
  <c r="HN121" i="2"/>
  <c r="HN113" i="2"/>
  <c r="HN105" i="2"/>
  <c r="HN97" i="2"/>
  <c r="HN89" i="2"/>
  <c r="HN81" i="2"/>
  <c r="HN73" i="2"/>
  <c r="HN65" i="2"/>
  <c r="HN57" i="2"/>
  <c r="HN49" i="2"/>
  <c r="HN41" i="2"/>
  <c r="HN33" i="2"/>
  <c r="HN25" i="2"/>
  <c r="HN17" i="2"/>
  <c r="HN9" i="2"/>
  <c r="HN152" i="2"/>
  <c r="HN144" i="2"/>
  <c r="HN136" i="2"/>
  <c r="HN128" i="2"/>
  <c r="HN120" i="2"/>
  <c r="HN112" i="2"/>
  <c r="HN104" i="2"/>
  <c r="HN96" i="2"/>
  <c r="HN88" i="2"/>
  <c r="HN80" i="2"/>
  <c r="HN72" i="2"/>
  <c r="HN64" i="2"/>
  <c r="HN56" i="2"/>
  <c r="HN48" i="2"/>
  <c r="HN40" i="2"/>
  <c r="HN32" i="2"/>
  <c r="HN24" i="2"/>
  <c r="HN16" i="2"/>
  <c r="HN8" i="2"/>
  <c r="HN151" i="2"/>
  <c r="HN143" i="2"/>
  <c r="HN135" i="2"/>
  <c r="HN127" i="2"/>
  <c r="HN119" i="2"/>
  <c r="HN111" i="2"/>
  <c r="HN103" i="2"/>
  <c r="HN95" i="2"/>
  <c r="HN87" i="2"/>
  <c r="HN79" i="2"/>
  <c r="HN71" i="2"/>
  <c r="HN63" i="2"/>
  <c r="HN55" i="2"/>
  <c r="HN47" i="2"/>
  <c r="HN39" i="2"/>
  <c r="HN31" i="2"/>
  <c r="HN23" i="2"/>
  <c r="HN15" i="2"/>
  <c r="HN7" i="2"/>
  <c r="HN148" i="2"/>
  <c r="HN140" i="2"/>
  <c r="HN132" i="2"/>
  <c r="HN124" i="2"/>
  <c r="HN116" i="2"/>
  <c r="HN108" i="2"/>
  <c r="HN100" i="2"/>
  <c r="HN92" i="2"/>
  <c r="HN84" i="2"/>
  <c r="HN76" i="2"/>
  <c r="HN68" i="2"/>
  <c r="HN60" i="2"/>
  <c r="HN52" i="2"/>
  <c r="HN44" i="2"/>
  <c r="HN36" i="2"/>
  <c r="HN28" i="2"/>
  <c r="HN20" i="2"/>
  <c r="HP4" i="2"/>
  <c r="HN4" i="2"/>
  <c r="DX18" i="24"/>
  <c r="DT18" i="24"/>
  <c r="GT5" i="2"/>
  <c r="GT6" i="2"/>
  <c r="GT7" i="2"/>
  <c r="GT8" i="2"/>
  <c r="GT9" i="2"/>
  <c r="GT10" i="2"/>
  <c r="GT11" i="2"/>
  <c r="GT12" i="2"/>
  <c r="GT13" i="2"/>
  <c r="GT14" i="2"/>
  <c r="GT15" i="2"/>
  <c r="GT16" i="2"/>
  <c r="GT17" i="2"/>
  <c r="GT18" i="2"/>
  <c r="GT19" i="2"/>
  <c r="GT21" i="2"/>
  <c r="GT22" i="2"/>
  <c r="GT23" i="2"/>
  <c r="GT24" i="2"/>
  <c r="GT25" i="2"/>
  <c r="GT26" i="2"/>
  <c r="GT27" i="2"/>
  <c r="GT28" i="2"/>
  <c r="GT29" i="2"/>
  <c r="GT30" i="2"/>
  <c r="GT31" i="2"/>
  <c r="GT32" i="2"/>
  <c r="GT33" i="2"/>
  <c r="GT35" i="2"/>
  <c r="GT36" i="2"/>
  <c r="GT37" i="2"/>
  <c r="GT38" i="2"/>
  <c r="GT39" i="2"/>
  <c r="GT40" i="2"/>
  <c r="GT41" i="2"/>
  <c r="GT42" i="2"/>
  <c r="GT43" i="2"/>
  <c r="GT44" i="2"/>
  <c r="GT45" i="2"/>
  <c r="GT47" i="2"/>
  <c r="GT48" i="2"/>
  <c r="GT49" i="2"/>
  <c r="GT50" i="2"/>
  <c r="GT51" i="2"/>
  <c r="GT52" i="2"/>
  <c r="GT53" i="2"/>
  <c r="GT54" i="2"/>
  <c r="GT55" i="2"/>
  <c r="GT56" i="2"/>
  <c r="GT57" i="2"/>
  <c r="GT58" i="2"/>
  <c r="GT59" i="2"/>
  <c r="GT60" i="2"/>
  <c r="GT61" i="2"/>
  <c r="GT62" i="2"/>
  <c r="GT64" i="2"/>
  <c r="GT65" i="2"/>
  <c r="GT66" i="2"/>
  <c r="GT67" i="2"/>
  <c r="GT68" i="2"/>
  <c r="GT69" i="2"/>
  <c r="GT70" i="2"/>
  <c r="GT71" i="2"/>
  <c r="GT72" i="2"/>
  <c r="GT73" i="2"/>
  <c r="GT74" i="2"/>
  <c r="GT75" i="2"/>
  <c r="GT76" i="2"/>
  <c r="GT77" i="2"/>
  <c r="GT78" i="2"/>
  <c r="GT79" i="2"/>
  <c r="GT80" i="2"/>
  <c r="GT82" i="2"/>
  <c r="GT83" i="2"/>
  <c r="GT84" i="2"/>
  <c r="GT85" i="2"/>
  <c r="GT86" i="2"/>
  <c r="GT87" i="2"/>
  <c r="GT88" i="2"/>
  <c r="GT89" i="2"/>
  <c r="GT91" i="2"/>
  <c r="GT92" i="2"/>
  <c r="GT93" i="2"/>
  <c r="GT94" i="2"/>
  <c r="GT95" i="2"/>
  <c r="GT96" i="2"/>
  <c r="GT97" i="2"/>
  <c r="GT98" i="2"/>
  <c r="GT99" i="2"/>
  <c r="GT100" i="2"/>
  <c r="GT102" i="2"/>
  <c r="GT103" i="2"/>
  <c r="GT104" i="2"/>
  <c r="GT105" i="2"/>
  <c r="GT106" i="2"/>
  <c r="GT107" i="2"/>
  <c r="GT108" i="2"/>
  <c r="GT109" i="2"/>
  <c r="GT110" i="2"/>
  <c r="GT111" i="2"/>
  <c r="GT113" i="2"/>
  <c r="GT114" i="2"/>
  <c r="GT115" i="2"/>
  <c r="GT116" i="2"/>
  <c r="GT117" i="2"/>
  <c r="GT118" i="2"/>
  <c r="GT119" i="2"/>
  <c r="GT120" i="2"/>
  <c r="GT121" i="2"/>
  <c r="GT122" i="2"/>
  <c r="GT123" i="2"/>
  <c r="GT124" i="2"/>
  <c r="GT126" i="2"/>
  <c r="GT127" i="2"/>
  <c r="GT128" i="2"/>
  <c r="GT129" i="2"/>
  <c r="GT130" i="2"/>
  <c r="GT131" i="2"/>
  <c r="GT132" i="2"/>
  <c r="GT133" i="2"/>
  <c r="GT134" i="2"/>
  <c r="GT135" i="2"/>
  <c r="GT136" i="2"/>
  <c r="GT137" i="2"/>
  <c r="GT139" i="2"/>
  <c r="GT140" i="2"/>
  <c r="GT141" i="2"/>
  <c r="GT142" i="2"/>
  <c r="GT143" i="2"/>
  <c r="GT144" i="2"/>
  <c r="GT145" i="2"/>
  <c r="GT146" i="2"/>
  <c r="GT147" i="2"/>
  <c r="GT148" i="2"/>
  <c r="GT149" i="2"/>
  <c r="GT150" i="2"/>
  <c r="GT151" i="2"/>
  <c r="GT152" i="2"/>
  <c r="GT153" i="2"/>
  <c r="GT154" i="2"/>
  <c r="GV5" i="2"/>
  <c r="GV6" i="2"/>
  <c r="GV7" i="2"/>
  <c r="GV8" i="2"/>
  <c r="GV9" i="2"/>
  <c r="GV10" i="2"/>
  <c r="GV11" i="2"/>
  <c r="GV12" i="2"/>
  <c r="GV13" i="2"/>
  <c r="GV14" i="2"/>
  <c r="GV15" i="2"/>
  <c r="GV16" i="2"/>
  <c r="GV17" i="2"/>
  <c r="GV18" i="2"/>
  <c r="GV19" i="2"/>
  <c r="GV21" i="2"/>
  <c r="GV22" i="2"/>
  <c r="GV23" i="2"/>
  <c r="GV24" i="2"/>
  <c r="GV25" i="2"/>
  <c r="GV26" i="2"/>
  <c r="GV27" i="2"/>
  <c r="GV28" i="2"/>
  <c r="GV29" i="2"/>
  <c r="GV30" i="2"/>
  <c r="GV31" i="2"/>
  <c r="GV32" i="2"/>
  <c r="GV33" i="2"/>
  <c r="GV35" i="2"/>
  <c r="GV36" i="2"/>
  <c r="GV37" i="2"/>
  <c r="GV38" i="2"/>
  <c r="GV39" i="2"/>
  <c r="GV40" i="2"/>
  <c r="GV41" i="2"/>
  <c r="GV42" i="2"/>
  <c r="GV43" i="2"/>
  <c r="GV44" i="2"/>
  <c r="GV45" i="2"/>
  <c r="GV47" i="2"/>
  <c r="GV48" i="2"/>
  <c r="GV49" i="2"/>
  <c r="GV50" i="2"/>
  <c r="GV51" i="2"/>
  <c r="GV52" i="2"/>
  <c r="GV53" i="2"/>
  <c r="GV54" i="2"/>
  <c r="GV55" i="2"/>
  <c r="GV56" i="2"/>
  <c r="GV57" i="2"/>
  <c r="GV58" i="2"/>
  <c r="GV59" i="2"/>
  <c r="GV60" i="2"/>
  <c r="GV61" i="2"/>
  <c r="GV62" i="2"/>
  <c r="GV64" i="2"/>
  <c r="GV65" i="2"/>
  <c r="GV66" i="2"/>
  <c r="GV67" i="2"/>
  <c r="GV68" i="2"/>
  <c r="GV69" i="2"/>
  <c r="GV70" i="2"/>
  <c r="GV71" i="2"/>
  <c r="GV72" i="2"/>
  <c r="GV73" i="2"/>
  <c r="GV74" i="2"/>
  <c r="GV75" i="2"/>
  <c r="GV76" i="2"/>
  <c r="GV77" i="2"/>
  <c r="GV78" i="2"/>
  <c r="GV79" i="2"/>
  <c r="GV80" i="2"/>
  <c r="GV82" i="2"/>
  <c r="GV83" i="2"/>
  <c r="GV84" i="2"/>
  <c r="GV85" i="2"/>
  <c r="GV86" i="2"/>
  <c r="GV87" i="2"/>
  <c r="GV88" i="2"/>
  <c r="GV89" i="2"/>
  <c r="GV91" i="2"/>
  <c r="GV92" i="2"/>
  <c r="GV93" i="2"/>
  <c r="GV94" i="2"/>
  <c r="GV95" i="2"/>
  <c r="GV96" i="2"/>
  <c r="GV97" i="2"/>
  <c r="GV98" i="2"/>
  <c r="GV99" i="2"/>
  <c r="GV100" i="2"/>
  <c r="GV102" i="2"/>
  <c r="GV103" i="2"/>
  <c r="GV104" i="2"/>
  <c r="GV105" i="2"/>
  <c r="GV106" i="2"/>
  <c r="GV107" i="2"/>
  <c r="GV108" i="2"/>
  <c r="GV109" i="2"/>
  <c r="GV110" i="2"/>
  <c r="GV111" i="2"/>
  <c r="GV113" i="2"/>
  <c r="GV114" i="2"/>
  <c r="GV115" i="2"/>
  <c r="GV116" i="2"/>
  <c r="GV117" i="2"/>
  <c r="GV118" i="2"/>
  <c r="GV119" i="2"/>
  <c r="GV120" i="2"/>
  <c r="GV121" i="2"/>
  <c r="GV122" i="2"/>
  <c r="GV123" i="2"/>
  <c r="GV124" i="2"/>
  <c r="GV126" i="2"/>
  <c r="GV127" i="2"/>
  <c r="GV128" i="2"/>
  <c r="GV129" i="2"/>
  <c r="GV130" i="2"/>
  <c r="GV131" i="2"/>
  <c r="GV132" i="2"/>
  <c r="GV133" i="2"/>
  <c r="GV134" i="2"/>
  <c r="GV135" i="2"/>
  <c r="GV136" i="2"/>
  <c r="GV137" i="2"/>
  <c r="GV139" i="2"/>
  <c r="GV140" i="2"/>
  <c r="GV141" i="2"/>
  <c r="GV142" i="2"/>
  <c r="GV143" i="2"/>
  <c r="GV144" i="2"/>
  <c r="GV145" i="2"/>
  <c r="GV146" i="2"/>
  <c r="GV147" i="2"/>
  <c r="GV148" i="2"/>
  <c r="GV149" i="2"/>
  <c r="GV150" i="2"/>
  <c r="GV151" i="2"/>
  <c r="GV152" i="2"/>
  <c r="GV153" i="2"/>
  <c r="GV154" i="2"/>
  <c r="DM18" i="24"/>
  <c r="DN18" i="24"/>
  <c r="F686" i="16"/>
  <c r="F687" i="16"/>
  <c r="F688" i="16"/>
  <c r="F689" i="16"/>
  <c r="F690" i="16"/>
  <c r="F691" i="16"/>
  <c r="F692" i="16"/>
  <c r="F693" i="16"/>
  <c r="F694" i="16"/>
  <c r="F695" i="16"/>
  <c r="F696" i="16"/>
  <c r="F697" i="16"/>
  <c r="E689" i="16"/>
  <c r="E688" i="16"/>
  <c r="E687" i="16"/>
  <c r="E686" i="16"/>
  <c r="E690" i="16"/>
  <c r="E691" i="16"/>
  <c r="E692" i="16"/>
  <c r="E693" i="16"/>
  <c r="E694" i="16"/>
  <c r="E695" i="16"/>
  <c r="E696" i="16"/>
  <c r="E697" i="16"/>
  <c r="GR20" i="2"/>
  <c r="GR46" i="2"/>
  <c r="GR81" i="2"/>
  <c r="GR125" i="2"/>
  <c r="E682" i="16"/>
  <c r="E674" i="16"/>
  <c r="GP5" i="2"/>
  <c r="GP6" i="2"/>
  <c r="GP7" i="2"/>
  <c r="GP8" i="2"/>
  <c r="GP9" i="2"/>
  <c r="GP10" i="2"/>
  <c r="GP11" i="2"/>
  <c r="GP12" i="2"/>
  <c r="GP13" i="2"/>
  <c r="GP14" i="2"/>
  <c r="GP15" i="2"/>
  <c r="GP16" i="2"/>
  <c r="GP17" i="2"/>
  <c r="GP18" i="2"/>
  <c r="GP19" i="2"/>
  <c r="GP20" i="2"/>
  <c r="GP21" i="2"/>
  <c r="GP22" i="2"/>
  <c r="GP23" i="2"/>
  <c r="GP24" i="2"/>
  <c r="GP25" i="2"/>
  <c r="GP26" i="2"/>
  <c r="GP27" i="2"/>
  <c r="GP28" i="2"/>
  <c r="GP29" i="2"/>
  <c r="GP30" i="2"/>
  <c r="GP31" i="2"/>
  <c r="GP32" i="2"/>
  <c r="GP33" i="2"/>
  <c r="GP34" i="2"/>
  <c r="GR34" i="2"/>
  <c r="GP35" i="2"/>
  <c r="GP36" i="2"/>
  <c r="GP37" i="2"/>
  <c r="GP38" i="2"/>
  <c r="GP39" i="2"/>
  <c r="GP40" i="2"/>
  <c r="GP41" i="2"/>
  <c r="GP42" i="2"/>
  <c r="GP43" i="2"/>
  <c r="GP44" i="2"/>
  <c r="GP45" i="2"/>
  <c r="GP46" i="2"/>
  <c r="GP47" i="2"/>
  <c r="GP48" i="2"/>
  <c r="GP49" i="2"/>
  <c r="GP50" i="2"/>
  <c r="GP51" i="2"/>
  <c r="GP52" i="2"/>
  <c r="GP53" i="2"/>
  <c r="GP54" i="2"/>
  <c r="GP55" i="2"/>
  <c r="GP56" i="2"/>
  <c r="GP57" i="2"/>
  <c r="GP58" i="2"/>
  <c r="GP59" i="2"/>
  <c r="GP60" i="2"/>
  <c r="GP61" i="2"/>
  <c r="GP62" i="2"/>
  <c r="GP63" i="2"/>
  <c r="GR63" i="2"/>
  <c r="GP64" i="2"/>
  <c r="GP65" i="2"/>
  <c r="GP66" i="2"/>
  <c r="GP67" i="2"/>
  <c r="GP68" i="2"/>
  <c r="GP69" i="2"/>
  <c r="GP70" i="2"/>
  <c r="GP71" i="2"/>
  <c r="GP72" i="2"/>
  <c r="GP73" i="2"/>
  <c r="GP74" i="2"/>
  <c r="GP75" i="2"/>
  <c r="GP76" i="2"/>
  <c r="GP77" i="2"/>
  <c r="GP78" i="2"/>
  <c r="GP79" i="2"/>
  <c r="GP80" i="2"/>
  <c r="GP81" i="2"/>
  <c r="GP82" i="2"/>
  <c r="GP83" i="2"/>
  <c r="GP84" i="2"/>
  <c r="GP85" i="2"/>
  <c r="GP86" i="2"/>
  <c r="GP87" i="2"/>
  <c r="GP88" i="2"/>
  <c r="GP89" i="2"/>
  <c r="GP90" i="2"/>
  <c r="GR90" i="2"/>
  <c r="GP91" i="2"/>
  <c r="GP92" i="2"/>
  <c r="GP93" i="2"/>
  <c r="GP94" i="2"/>
  <c r="GP95" i="2"/>
  <c r="GP96" i="2"/>
  <c r="GP97" i="2"/>
  <c r="GP98" i="2"/>
  <c r="GP99" i="2"/>
  <c r="GP100" i="2"/>
  <c r="GP101" i="2"/>
  <c r="GR101" i="2"/>
  <c r="GP102" i="2"/>
  <c r="GP103" i="2"/>
  <c r="GP104" i="2"/>
  <c r="GP105" i="2"/>
  <c r="GP106" i="2"/>
  <c r="GP107" i="2"/>
  <c r="GP108" i="2"/>
  <c r="GP109" i="2"/>
  <c r="GP110" i="2"/>
  <c r="GP111" i="2"/>
  <c r="GP112" i="2"/>
  <c r="GR112" i="2"/>
  <c r="GP113" i="2"/>
  <c r="GP114" i="2"/>
  <c r="GP115" i="2"/>
  <c r="GP116" i="2"/>
  <c r="GP117" i="2"/>
  <c r="GP118" i="2"/>
  <c r="GP119" i="2"/>
  <c r="GP120" i="2"/>
  <c r="GP121" i="2"/>
  <c r="GP122" i="2"/>
  <c r="GP123" i="2"/>
  <c r="GP124" i="2"/>
  <c r="GP125" i="2"/>
  <c r="GP126" i="2"/>
  <c r="GP127" i="2"/>
  <c r="GP128" i="2"/>
  <c r="GP129" i="2"/>
  <c r="GP130" i="2"/>
  <c r="GP131" i="2"/>
  <c r="GP132" i="2"/>
  <c r="GP133" i="2"/>
  <c r="GP134" i="2"/>
  <c r="GP135" i="2"/>
  <c r="GP136" i="2"/>
  <c r="GP137" i="2"/>
  <c r="GP138" i="2"/>
  <c r="GR138" i="2"/>
  <c r="GP139" i="2"/>
  <c r="GP140" i="2"/>
  <c r="GP141" i="2"/>
  <c r="GP142" i="2"/>
  <c r="GP143" i="2"/>
  <c r="GP144" i="2"/>
  <c r="GP145" i="2"/>
  <c r="GP146" i="2"/>
  <c r="GP147" i="2"/>
  <c r="GP148" i="2"/>
  <c r="GP149" i="2"/>
  <c r="GP150" i="2"/>
  <c r="GP151" i="2"/>
  <c r="GP152" i="2"/>
  <c r="GP153" i="2"/>
  <c r="GP154" i="2"/>
  <c r="GP4" i="2"/>
  <c r="DK18" i="24"/>
  <c r="DL18" i="24"/>
  <c r="F674" i="16"/>
  <c r="E675" i="16"/>
  <c r="F675" i="16"/>
  <c r="E676" i="16"/>
  <c r="F676" i="16"/>
  <c r="E677" i="16"/>
  <c r="F677" i="16"/>
  <c r="E678" i="16"/>
  <c r="F678" i="16"/>
  <c r="E679" i="16"/>
  <c r="F679" i="16"/>
  <c r="E680" i="16"/>
  <c r="F680" i="16"/>
  <c r="E681" i="16"/>
  <c r="F681" i="16"/>
  <c r="F682" i="16"/>
  <c r="E683" i="16"/>
  <c r="F683" i="16"/>
  <c r="E684" i="16"/>
  <c r="F684" i="16"/>
  <c r="E685" i="16"/>
  <c r="F685" i="16"/>
  <c r="GN5" i="2"/>
  <c r="GN6" i="2"/>
  <c r="GN7" i="2"/>
  <c r="GN8" i="2"/>
  <c r="GN9" i="2"/>
  <c r="GN10" i="2"/>
  <c r="GN11" i="2"/>
  <c r="GN12" i="2"/>
  <c r="GN13" i="2"/>
  <c r="GN14" i="2"/>
  <c r="GN15" i="2"/>
  <c r="GN16" i="2"/>
  <c r="GN17" i="2"/>
  <c r="GN18" i="2"/>
  <c r="GN19" i="2"/>
  <c r="GN20" i="2"/>
  <c r="GN21" i="2"/>
  <c r="GN22" i="2"/>
  <c r="GN23" i="2"/>
  <c r="GN24" i="2"/>
  <c r="GN25" i="2"/>
  <c r="GN26" i="2"/>
  <c r="GN27" i="2"/>
  <c r="GN28" i="2"/>
  <c r="GN29" i="2"/>
  <c r="GN30" i="2"/>
  <c r="GN31" i="2"/>
  <c r="GN32" i="2"/>
  <c r="GN33" i="2"/>
  <c r="GN34" i="2"/>
  <c r="GN35" i="2"/>
  <c r="GN36" i="2"/>
  <c r="GN37" i="2"/>
  <c r="GN38" i="2"/>
  <c r="GN39" i="2"/>
  <c r="GN40" i="2"/>
  <c r="GN41" i="2"/>
  <c r="GN42" i="2"/>
  <c r="GN43" i="2"/>
  <c r="GN44" i="2"/>
  <c r="GN45" i="2"/>
  <c r="GN46" i="2"/>
  <c r="GN47" i="2"/>
  <c r="GN48" i="2"/>
  <c r="GN49" i="2"/>
  <c r="GN50" i="2"/>
  <c r="GN51" i="2"/>
  <c r="GN52" i="2"/>
  <c r="GN53" i="2"/>
  <c r="GN54" i="2"/>
  <c r="GN55" i="2"/>
  <c r="GN56" i="2"/>
  <c r="GN57" i="2"/>
  <c r="GN58" i="2"/>
  <c r="GN59" i="2"/>
  <c r="GN60" i="2"/>
  <c r="GN61" i="2"/>
  <c r="GN62" i="2"/>
  <c r="GN63" i="2"/>
  <c r="GN64" i="2"/>
  <c r="GN65" i="2"/>
  <c r="GN66" i="2"/>
  <c r="GN67" i="2"/>
  <c r="GN68" i="2"/>
  <c r="GN69" i="2"/>
  <c r="GN70" i="2"/>
  <c r="GN71" i="2"/>
  <c r="GN72" i="2"/>
  <c r="GN73" i="2"/>
  <c r="GN74" i="2"/>
  <c r="GN75" i="2"/>
  <c r="GN76" i="2"/>
  <c r="GN77" i="2"/>
  <c r="GN78" i="2"/>
  <c r="GN79" i="2"/>
  <c r="GN80" i="2"/>
  <c r="GN81" i="2"/>
  <c r="GN82" i="2"/>
  <c r="GN83" i="2"/>
  <c r="GN84" i="2"/>
  <c r="GN85" i="2"/>
  <c r="GN86" i="2"/>
  <c r="GN87" i="2"/>
  <c r="GN88" i="2"/>
  <c r="GN89" i="2"/>
  <c r="GN90" i="2"/>
  <c r="GN91" i="2"/>
  <c r="GN92" i="2"/>
  <c r="GN93" i="2"/>
  <c r="GN94" i="2"/>
  <c r="GN95" i="2"/>
  <c r="GN96" i="2"/>
  <c r="GN97" i="2"/>
  <c r="GN98" i="2"/>
  <c r="GN99" i="2"/>
  <c r="GN100" i="2"/>
  <c r="GN101" i="2"/>
  <c r="GN102" i="2"/>
  <c r="GN103" i="2"/>
  <c r="GN104" i="2"/>
  <c r="GN105" i="2"/>
  <c r="GN106" i="2"/>
  <c r="GN107" i="2"/>
  <c r="GN108" i="2"/>
  <c r="GN109" i="2"/>
  <c r="GN110" i="2"/>
  <c r="GN111" i="2"/>
  <c r="GN112" i="2"/>
  <c r="GN113" i="2"/>
  <c r="GN114" i="2"/>
  <c r="GN115" i="2"/>
  <c r="GN116" i="2"/>
  <c r="GN117" i="2"/>
  <c r="GN118" i="2"/>
  <c r="GN119" i="2"/>
  <c r="GN120" i="2"/>
  <c r="GN121" i="2"/>
  <c r="GN122" i="2"/>
  <c r="GN123" i="2"/>
  <c r="GN124" i="2"/>
  <c r="GN125" i="2"/>
  <c r="GN126" i="2"/>
  <c r="GN127" i="2"/>
  <c r="GN128" i="2"/>
  <c r="GN129" i="2"/>
  <c r="GN130" i="2"/>
  <c r="GN131" i="2"/>
  <c r="GN132" i="2"/>
  <c r="GN133" i="2"/>
  <c r="GN134" i="2"/>
  <c r="GN135" i="2"/>
  <c r="GN136" i="2"/>
  <c r="GN137" i="2"/>
  <c r="GN138" i="2"/>
  <c r="GN139" i="2"/>
  <c r="GN140" i="2"/>
  <c r="GN141" i="2"/>
  <c r="GN142" i="2"/>
  <c r="GN143" i="2"/>
  <c r="GN144" i="2"/>
  <c r="GN145" i="2"/>
  <c r="GN146" i="2"/>
  <c r="GN147" i="2"/>
  <c r="GN148" i="2"/>
  <c r="GN149" i="2"/>
  <c r="GN150" i="2"/>
  <c r="GN151" i="2"/>
  <c r="GN152" i="2"/>
  <c r="GN153" i="2"/>
  <c r="GN154" i="2"/>
  <c r="GN4" i="2"/>
  <c r="DI18" i="24"/>
  <c r="DJ18" i="24"/>
  <c r="E662" i="16"/>
  <c r="F662" i="16"/>
  <c r="E663" i="16"/>
  <c r="F663" i="16"/>
  <c r="E664" i="16"/>
  <c r="F664" i="16"/>
  <c r="E665" i="16"/>
  <c r="F665" i="16"/>
  <c r="E666" i="16"/>
  <c r="F666" i="16"/>
  <c r="E667" i="16"/>
  <c r="F667" i="16"/>
  <c r="E668" i="16"/>
  <c r="F668" i="16"/>
  <c r="E669" i="16"/>
  <c r="F669" i="16"/>
  <c r="E670" i="16"/>
  <c r="F670" i="16"/>
  <c r="E671" i="16"/>
  <c r="F671" i="16"/>
  <c r="E672" i="16"/>
  <c r="F672" i="16"/>
  <c r="E673" i="16"/>
  <c r="F673" i="16"/>
  <c r="GG5" i="2"/>
  <c r="GL5" i="2" s="1"/>
  <c r="GJ5" i="2"/>
  <c r="GG6" i="2"/>
  <c r="GL6" i="2" s="1"/>
  <c r="GJ6" i="2"/>
  <c r="GG7" i="2"/>
  <c r="GL7" i="2" s="1"/>
  <c r="GJ7" i="2"/>
  <c r="GG8" i="2"/>
  <c r="GL8" i="2" s="1"/>
  <c r="GJ8" i="2"/>
  <c r="GG9" i="2"/>
  <c r="GL9" i="2" s="1"/>
  <c r="GJ9" i="2"/>
  <c r="GG10" i="2"/>
  <c r="GL10" i="2" s="1"/>
  <c r="GJ10" i="2"/>
  <c r="GG11" i="2"/>
  <c r="GL11" i="2" s="1"/>
  <c r="GJ11" i="2"/>
  <c r="GG12" i="2"/>
  <c r="GL12" i="2" s="1"/>
  <c r="GJ12" i="2"/>
  <c r="GG13" i="2"/>
  <c r="GL13" i="2" s="1"/>
  <c r="GJ13" i="2"/>
  <c r="GG14" i="2"/>
  <c r="GL14" i="2" s="1"/>
  <c r="GJ14" i="2"/>
  <c r="GG15" i="2"/>
  <c r="GL15" i="2" s="1"/>
  <c r="GJ15" i="2"/>
  <c r="GG16" i="2"/>
  <c r="GL16" i="2" s="1"/>
  <c r="GJ16" i="2"/>
  <c r="GG17" i="2"/>
  <c r="GL17" i="2" s="1"/>
  <c r="GJ17" i="2"/>
  <c r="GG18" i="2"/>
  <c r="GL18" i="2" s="1"/>
  <c r="GJ18" i="2"/>
  <c r="GG19" i="2"/>
  <c r="GL19" i="2" s="1"/>
  <c r="GJ19" i="2"/>
  <c r="GG20" i="2"/>
  <c r="GL20" i="2" s="1"/>
  <c r="GJ20" i="2"/>
  <c r="GG21" i="2"/>
  <c r="GL21" i="2" s="1"/>
  <c r="GJ21" i="2"/>
  <c r="GG22" i="2"/>
  <c r="GL22" i="2" s="1"/>
  <c r="GJ22" i="2"/>
  <c r="GG23" i="2"/>
  <c r="GL23" i="2" s="1"/>
  <c r="GJ23" i="2"/>
  <c r="GG24" i="2"/>
  <c r="GL24" i="2" s="1"/>
  <c r="GJ24" i="2"/>
  <c r="GG25" i="2"/>
  <c r="GL25" i="2" s="1"/>
  <c r="GJ25" i="2"/>
  <c r="GG26" i="2"/>
  <c r="GL26" i="2" s="1"/>
  <c r="GJ26" i="2"/>
  <c r="GG27" i="2"/>
  <c r="GL27" i="2" s="1"/>
  <c r="GJ27" i="2"/>
  <c r="GG28" i="2"/>
  <c r="GL28" i="2" s="1"/>
  <c r="GJ28" i="2"/>
  <c r="GG29" i="2"/>
  <c r="GL29" i="2" s="1"/>
  <c r="GJ29" i="2"/>
  <c r="GG30" i="2"/>
  <c r="GL30" i="2" s="1"/>
  <c r="GJ30" i="2"/>
  <c r="GG31" i="2"/>
  <c r="GL31" i="2" s="1"/>
  <c r="GJ31" i="2"/>
  <c r="GG32" i="2"/>
  <c r="GL32" i="2" s="1"/>
  <c r="GJ32" i="2"/>
  <c r="GG33" i="2"/>
  <c r="GL33" i="2" s="1"/>
  <c r="GJ33" i="2"/>
  <c r="GG34" i="2"/>
  <c r="GL34" i="2" s="1"/>
  <c r="GJ34" i="2"/>
  <c r="GG35" i="2"/>
  <c r="GL35" i="2" s="1"/>
  <c r="GJ35" i="2"/>
  <c r="GG36" i="2"/>
  <c r="GL36" i="2" s="1"/>
  <c r="GJ36" i="2"/>
  <c r="GG37" i="2"/>
  <c r="GL37" i="2" s="1"/>
  <c r="GJ37" i="2"/>
  <c r="GG38" i="2"/>
  <c r="GL38" i="2" s="1"/>
  <c r="GJ38" i="2"/>
  <c r="GG39" i="2"/>
  <c r="GL39" i="2" s="1"/>
  <c r="GJ39" i="2"/>
  <c r="GG40" i="2"/>
  <c r="GL40" i="2" s="1"/>
  <c r="GJ40" i="2"/>
  <c r="GG41" i="2"/>
  <c r="GL41" i="2" s="1"/>
  <c r="GJ41" i="2"/>
  <c r="GG42" i="2"/>
  <c r="GL42" i="2" s="1"/>
  <c r="GJ42" i="2"/>
  <c r="GG43" i="2"/>
  <c r="GL43" i="2" s="1"/>
  <c r="GJ43" i="2"/>
  <c r="GG44" i="2"/>
  <c r="GL44" i="2" s="1"/>
  <c r="GJ44" i="2"/>
  <c r="GG45" i="2"/>
  <c r="GL45" i="2" s="1"/>
  <c r="GJ45" i="2"/>
  <c r="GG46" i="2"/>
  <c r="GL46" i="2" s="1"/>
  <c r="GJ46" i="2"/>
  <c r="GG47" i="2"/>
  <c r="GL47" i="2" s="1"/>
  <c r="GJ47" i="2"/>
  <c r="GG48" i="2"/>
  <c r="GL48" i="2" s="1"/>
  <c r="GJ48" i="2"/>
  <c r="GG49" i="2"/>
  <c r="GL49" i="2" s="1"/>
  <c r="GJ49" i="2"/>
  <c r="GG50" i="2"/>
  <c r="GL50" i="2" s="1"/>
  <c r="GJ50" i="2"/>
  <c r="GG51" i="2"/>
  <c r="GL51" i="2" s="1"/>
  <c r="GJ51" i="2"/>
  <c r="GG52" i="2"/>
  <c r="GL52" i="2" s="1"/>
  <c r="GJ52" i="2"/>
  <c r="GG53" i="2"/>
  <c r="GL53" i="2" s="1"/>
  <c r="GJ53" i="2"/>
  <c r="GG54" i="2"/>
  <c r="GL54" i="2" s="1"/>
  <c r="GJ54" i="2"/>
  <c r="GG55" i="2"/>
  <c r="GL55" i="2" s="1"/>
  <c r="GJ55" i="2"/>
  <c r="GG56" i="2"/>
  <c r="GL56" i="2" s="1"/>
  <c r="GJ56" i="2"/>
  <c r="GG57" i="2"/>
  <c r="GL57" i="2" s="1"/>
  <c r="GJ57" i="2"/>
  <c r="GG58" i="2"/>
  <c r="GL58" i="2" s="1"/>
  <c r="GJ58" i="2"/>
  <c r="GG59" i="2"/>
  <c r="GL59" i="2" s="1"/>
  <c r="GJ59" i="2"/>
  <c r="GG60" i="2"/>
  <c r="GL60" i="2" s="1"/>
  <c r="GJ60" i="2"/>
  <c r="GG61" i="2"/>
  <c r="GL61" i="2" s="1"/>
  <c r="GJ61" i="2"/>
  <c r="GG62" i="2"/>
  <c r="GL62" i="2" s="1"/>
  <c r="GJ62" i="2"/>
  <c r="GG63" i="2"/>
  <c r="GL63" i="2" s="1"/>
  <c r="GJ63" i="2"/>
  <c r="GG64" i="2"/>
  <c r="GL64" i="2" s="1"/>
  <c r="GJ64" i="2"/>
  <c r="GG65" i="2"/>
  <c r="GL65" i="2" s="1"/>
  <c r="GJ65" i="2"/>
  <c r="GG66" i="2"/>
  <c r="GL66" i="2" s="1"/>
  <c r="GJ66" i="2"/>
  <c r="GG67" i="2"/>
  <c r="GL67" i="2" s="1"/>
  <c r="GJ67" i="2"/>
  <c r="GG68" i="2"/>
  <c r="GL68" i="2" s="1"/>
  <c r="GJ68" i="2"/>
  <c r="GG69" i="2"/>
  <c r="GL69" i="2" s="1"/>
  <c r="GJ69" i="2"/>
  <c r="GG70" i="2"/>
  <c r="GL70" i="2" s="1"/>
  <c r="GJ70" i="2"/>
  <c r="GG71" i="2"/>
  <c r="GL71" i="2" s="1"/>
  <c r="GJ71" i="2"/>
  <c r="GG72" i="2"/>
  <c r="GL72" i="2" s="1"/>
  <c r="GJ72" i="2"/>
  <c r="GG73" i="2"/>
  <c r="GL73" i="2" s="1"/>
  <c r="GJ73" i="2"/>
  <c r="GG74" i="2"/>
  <c r="GL74" i="2" s="1"/>
  <c r="GJ74" i="2"/>
  <c r="GG75" i="2"/>
  <c r="GL75" i="2" s="1"/>
  <c r="GJ75" i="2"/>
  <c r="GG76" i="2"/>
  <c r="GL76" i="2" s="1"/>
  <c r="GJ76" i="2"/>
  <c r="GG77" i="2"/>
  <c r="GL77" i="2" s="1"/>
  <c r="GJ77" i="2"/>
  <c r="GG78" i="2"/>
  <c r="GL78" i="2" s="1"/>
  <c r="GJ78" i="2"/>
  <c r="GG79" i="2"/>
  <c r="GL79" i="2" s="1"/>
  <c r="GJ79" i="2"/>
  <c r="GG80" i="2"/>
  <c r="GL80" i="2" s="1"/>
  <c r="GJ80" i="2"/>
  <c r="GG81" i="2"/>
  <c r="GL81" i="2" s="1"/>
  <c r="GJ81" i="2"/>
  <c r="GG82" i="2"/>
  <c r="GL82" i="2" s="1"/>
  <c r="GJ82" i="2"/>
  <c r="GG83" i="2"/>
  <c r="GL83" i="2" s="1"/>
  <c r="GJ83" i="2"/>
  <c r="GG84" i="2"/>
  <c r="GL84" i="2" s="1"/>
  <c r="GJ84" i="2"/>
  <c r="GG85" i="2"/>
  <c r="GL85" i="2" s="1"/>
  <c r="GJ85" i="2"/>
  <c r="GG86" i="2"/>
  <c r="GL86" i="2" s="1"/>
  <c r="GJ86" i="2"/>
  <c r="GG87" i="2"/>
  <c r="GL87" i="2" s="1"/>
  <c r="GJ87" i="2"/>
  <c r="GG88" i="2"/>
  <c r="GL88" i="2" s="1"/>
  <c r="GJ88" i="2"/>
  <c r="GG89" i="2"/>
  <c r="GL89" i="2" s="1"/>
  <c r="GJ89" i="2"/>
  <c r="GG90" i="2"/>
  <c r="GL90" i="2" s="1"/>
  <c r="GJ90" i="2"/>
  <c r="GG91" i="2"/>
  <c r="GL91" i="2" s="1"/>
  <c r="GJ91" i="2"/>
  <c r="GG92" i="2"/>
  <c r="GL92" i="2" s="1"/>
  <c r="GJ92" i="2"/>
  <c r="GG93" i="2"/>
  <c r="GL93" i="2" s="1"/>
  <c r="GJ93" i="2"/>
  <c r="GG94" i="2"/>
  <c r="GL94" i="2" s="1"/>
  <c r="GJ94" i="2"/>
  <c r="GG95" i="2"/>
  <c r="GL95" i="2" s="1"/>
  <c r="GJ95" i="2"/>
  <c r="GG96" i="2"/>
  <c r="GL96" i="2" s="1"/>
  <c r="GJ96" i="2"/>
  <c r="GG97" i="2"/>
  <c r="GL97" i="2" s="1"/>
  <c r="GJ97" i="2"/>
  <c r="GG98" i="2"/>
  <c r="GL98" i="2" s="1"/>
  <c r="GJ98" i="2"/>
  <c r="GG99" i="2"/>
  <c r="GL99" i="2" s="1"/>
  <c r="GJ99" i="2"/>
  <c r="GG100" i="2"/>
  <c r="GL100" i="2" s="1"/>
  <c r="GJ100" i="2"/>
  <c r="GG101" i="2"/>
  <c r="GL101" i="2" s="1"/>
  <c r="GJ101" i="2"/>
  <c r="GG102" i="2"/>
  <c r="GL102" i="2" s="1"/>
  <c r="GJ102" i="2"/>
  <c r="GG103" i="2"/>
  <c r="GL103" i="2" s="1"/>
  <c r="GJ103" i="2"/>
  <c r="GG104" i="2"/>
  <c r="GL104" i="2" s="1"/>
  <c r="GJ104" i="2"/>
  <c r="GG105" i="2"/>
  <c r="GL105" i="2" s="1"/>
  <c r="GJ105" i="2"/>
  <c r="GG106" i="2"/>
  <c r="GL106" i="2" s="1"/>
  <c r="GJ106" i="2"/>
  <c r="GG107" i="2"/>
  <c r="GL107" i="2" s="1"/>
  <c r="GJ107" i="2"/>
  <c r="GG108" i="2"/>
  <c r="GL108" i="2" s="1"/>
  <c r="GJ108" i="2"/>
  <c r="GG109" i="2"/>
  <c r="GL109" i="2" s="1"/>
  <c r="GJ109" i="2"/>
  <c r="GG110" i="2"/>
  <c r="GL110" i="2" s="1"/>
  <c r="GJ110" i="2"/>
  <c r="GG111" i="2"/>
  <c r="GL111" i="2" s="1"/>
  <c r="GJ111" i="2"/>
  <c r="GG112" i="2"/>
  <c r="GL112" i="2" s="1"/>
  <c r="GJ112" i="2"/>
  <c r="GG113" i="2"/>
  <c r="GL113" i="2" s="1"/>
  <c r="GJ113" i="2"/>
  <c r="GG114" i="2"/>
  <c r="GL114" i="2" s="1"/>
  <c r="GJ114" i="2"/>
  <c r="GG115" i="2"/>
  <c r="GL115" i="2" s="1"/>
  <c r="GJ115" i="2"/>
  <c r="GG116" i="2"/>
  <c r="GL116" i="2" s="1"/>
  <c r="GJ116" i="2"/>
  <c r="GG117" i="2"/>
  <c r="GL117" i="2" s="1"/>
  <c r="GJ117" i="2"/>
  <c r="GG118" i="2"/>
  <c r="GL118" i="2" s="1"/>
  <c r="GJ118" i="2"/>
  <c r="GG119" i="2"/>
  <c r="GL119" i="2" s="1"/>
  <c r="GJ119" i="2"/>
  <c r="GG120" i="2"/>
  <c r="GL120" i="2" s="1"/>
  <c r="GJ120" i="2"/>
  <c r="GG121" i="2"/>
  <c r="GL121" i="2" s="1"/>
  <c r="GJ121" i="2"/>
  <c r="GG122" i="2"/>
  <c r="GL122" i="2" s="1"/>
  <c r="GJ122" i="2"/>
  <c r="GG123" i="2"/>
  <c r="GL123" i="2" s="1"/>
  <c r="GJ123" i="2"/>
  <c r="GG124" i="2"/>
  <c r="GL124" i="2" s="1"/>
  <c r="GJ124" i="2"/>
  <c r="GG125" i="2"/>
  <c r="GL125" i="2" s="1"/>
  <c r="GJ125" i="2"/>
  <c r="GG126" i="2"/>
  <c r="GL126" i="2" s="1"/>
  <c r="GJ126" i="2"/>
  <c r="GG127" i="2"/>
  <c r="GL127" i="2" s="1"/>
  <c r="GJ127" i="2"/>
  <c r="GG128" i="2"/>
  <c r="GL128" i="2" s="1"/>
  <c r="GJ128" i="2"/>
  <c r="GG129" i="2"/>
  <c r="GL129" i="2" s="1"/>
  <c r="GJ129" i="2"/>
  <c r="GG130" i="2"/>
  <c r="GL130" i="2" s="1"/>
  <c r="GJ130" i="2"/>
  <c r="GG131" i="2"/>
  <c r="GL131" i="2" s="1"/>
  <c r="GJ131" i="2"/>
  <c r="GG132" i="2"/>
  <c r="GL132" i="2" s="1"/>
  <c r="GJ132" i="2"/>
  <c r="GG133" i="2"/>
  <c r="GL133" i="2" s="1"/>
  <c r="GJ133" i="2"/>
  <c r="GG134" i="2"/>
  <c r="GL134" i="2" s="1"/>
  <c r="GJ134" i="2"/>
  <c r="GG135" i="2"/>
  <c r="GL135" i="2" s="1"/>
  <c r="GJ135" i="2"/>
  <c r="GG136" i="2"/>
  <c r="GL136" i="2" s="1"/>
  <c r="GJ136" i="2"/>
  <c r="GG137" i="2"/>
  <c r="GL137" i="2" s="1"/>
  <c r="GJ137" i="2"/>
  <c r="GG138" i="2"/>
  <c r="GL138" i="2" s="1"/>
  <c r="GJ138" i="2"/>
  <c r="GG139" i="2"/>
  <c r="GL139" i="2" s="1"/>
  <c r="GJ139" i="2"/>
  <c r="GG140" i="2"/>
  <c r="GL140" i="2" s="1"/>
  <c r="GJ140" i="2"/>
  <c r="GG141" i="2"/>
  <c r="GL141" i="2" s="1"/>
  <c r="GJ141" i="2"/>
  <c r="GG142" i="2"/>
  <c r="GL142" i="2" s="1"/>
  <c r="GJ142" i="2"/>
  <c r="GG143" i="2"/>
  <c r="GL143" i="2" s="1"/>
  <c r="GJ143" i="2"/>
  <c r="GG144" i="2"/>
  <c r="GL144" i="2" s="1"/>
  <c r="GJ144" i="2"/>
  <c r="GG145" i="2"/>
  <c r="GL145" i="2" s="1"/>
  <c r="GJ145" i="2"/>
  <c r="GG146" i="2"/>
  <c r="GL146" i="2" s="1"/>
  <c r="GJ146" i="2"/>
  <c r="GG147" i="2"/>
  <c r="GL147" i="2" s="1"/>
  <c r="GJ147" i="2"/>
  <c r="GG148" i="2"/>
  <c r="GL148" i="2" s="1"/>
  <c r="GJ148" i="2"/>
  <c r="GG149" i="2"/>
  <c r="GL149" i="2" s="1"/>
  <c r="GJ149" i="2"/>
  <c r="GG150" i="2"/>
  <c r="GL150" i="2" s="1"/>
  <c r="GJ150" i="2"/>
  <c r="GG151" i="2"/>
  <c r="GL151" i="2" s="1"/>
  <c r="GJ151" i="2"/>
  <c r="GG152" i="2"/>
  <c r="GL152" i="2" s="1"/>
  <c r="GJ152" i="2"/>
  <c r="GG153" i="2"/>
  <c r="GL153" i="2" s="1"/>
  <c r="GJ153" i="2"/>
  <c r="GG154" i="2"/>
  <c r="GL154" i="2" s="1"/>
  <c r="GJ154" i="2"/>
  <c r="GJ4" i="2"/>
  <c r="GG4" i="2"/>
  <c r="GL4" i="2" s="1"/>
  <c r="DG18" i="24" l="1"/>
  <c r="DH18" i="24"/>
  <c r="E650" i="16"/>
  <c r="F650" i="16"/>
  <c r="E651" i="16"/>
  <c r="F651" i="16"/>
  <c r="E652" i="16"/>
  <c r="F652" i="16"/>
  <c r="E653" i="16"/>
  <c r="F653" i="16"/>
  <c r="E654" i="16"/>
  <c r="F654" i="16"/>
  <c r="E655" i="16"/>
  <c r="F655" i="16"/>
  <c r="E656" i="16"/>
  <c r="F656" i="16"/>
  <c r="E657" i="16"/>
  <c r="F657" i="16"/>
  <c r="E658" i="16"/>
  <c r="F658" i="16"/>
  <c r="E659" i="16"/>
  <c r="F659" i="16"/>
  <c r="E660" i="16"/>
  <c r="F660" i="16"/>
  <c r="E661" i="16"/>
  <c r="F661" i="16"/>
  <c r="GD5" i="2"/>
  <c r="GF5" i="2"/>
  <c r="GD6" i="2"/>
  <c r="GF6" i="2"/>
  <c r="GD7" i="2"/>
  <c r="GF7" i="2"/>
  <c r="GD8" i="2"/>
  <c r="GF8" i="2"/>
  <c r="GD9" i="2"/>
  <c r="GF9" i="2"/>
  <c r="GD10" i="2"/>
  <c r="GF10" i="2"/>
  <c r="GD11" i="2"/>
  <c r="GF11" i="2"/>
  <c r="GD12" i="2"/>
  <c r="GF12" i="2"/>
  <c r="GD13" i="2"/>
  <c r="GF13" i="2"/>
  <c r="GD14" i="2"/>
  <c r="GF14" i="2"/>
  <c r="GD15" i="2"/>
  <c r="GF15" i="2"/>
  <c r="GD16" i="2"/>
  <c r="GF16" i="2"/>
  <c r="GD17" i="2"/>
  <c r="GF17" i="2"/>
  <c r="GD18" i="2"/>
  <c r="GF18" i="2"/>
  <c r="GD19" i="2"/>
  <c r="GF19" i="2"/>
  <c r="GD20" i="2"/>
  <c r="GF20" i="2"/>
  <c r="GD21" i="2"/>
  <c r="GF21" i="2"/>
  <c r="GD22" i="2"/>
  <c r="GF22" i="2"/>
  <c r="GD23" i="2"/>
  <c r="GF23" i="2"/>
  <c r="GD24" i="2"/>
  <c r="GF24" i="2"/>
  <c r="GD25" i="2"/>
  <c r="GF25" i="2"/>
  <c r="GD26" i="2"/>
  <c r="GF26" i="2"/>
  <c r="GD27" i="2"/>
  <c r="GF27" i="2"/>
  <c r="GD28" i="2"/>
  <c r="GF28" i="2"/>
  <c r="GD29" i="2"/>
  <c r="GF29" i="2"/>
  <c r="GD30" i="2"/>
  <c r="GF30" i="2"/>
  <c r="GD31" i="2"/>
  <c r="GF31" i="2"/>
  <c r="GD32" i="2"/>
  <c r="GF32" i="2"/>
  <c r="GD33" i="2"/>
  <c r="GF33" i="2"/>
  <c r="GD34" i="2"/>
  <c r="GF34" i="2"/>
  <c r="GD35" i="2"/>
  <c r="GF35" i="2"/>
  <c r="GD36" i="2"/>
  <c r="GF36" i="2"/>
  <c r="GD37" i="2"/>
  <c r="GF37" i="2"/>
  <c r="GD38" i="2"/>
  <c r="GF38" i="2"/>
  <c r="GD39" i="2"/>
  <c r="GF39" i="2"/>
  <c r="GD40" i="2"/>
  <c r="GF40" i="2"/>
  <c r="GD41" i="2"/>
  <c r="GF41" i="2"/>
  <c r="GD42" i="2"/>
  <c r="GF42" i="2"/>
  <c r="GD43" i="2"/>
  <c r="GF43" i="2"/>
  <c r="GD44" i="2"/>
  <c r="GF44" i="2"/>
  <c r="GD45" i="2"/>
  <c r="GF45" i="2"/>
  <c r="GD46" i="2"/>
  <c r="GF46" i="2"/>
  <c r="GD47" i="2"/>
  <c r="GF47" i="2"/>
  <c r="GD48" i="2"/>
  <c r="GF48" i="2"/>
  <c r="GD49" i="2"/>
  <c r="GF49" i="2"/>
  <c r="GD50" i="2"/>
  <c r="GF50" i="2"/>
  <c r="GD51" i="2"/>
  <c r="GF51" i="2"/>
  <c r="GD52" i="2"/>
  <c r="GF52" i="2"/>
  <c r="GD53" i="2"/>
  <c r="GF53" i="2"/>
  <c r="GD54" i="2"/>
  <c r="GF54" i="2"/>
  <c r="GD55" i="2"/>
  <c r="GF55" i="2"/>
  <c r="GD56" i="2"/>
  <c r="GF56" i="2"/>
  <c r="GD57" i="2"/>
  <c r="GF57" i="2"/>
  <c r="GD58" i="2"/>
  <c r="GF58" i="2"/>
  <c r="GD59" i="2"/>
  <c r="GF59" i="2"/>
  <c r="GD60" i="2"/>
  <c r="GF60" i="2"/>
  <c r="GD61" i="2"/>
  <c r="GF61" i="2"/>
  <c r="GD62" i="2"/>
  <c r="GF62" i="2"/>
  <c r="GD63" i="2"/>
  <c r="GF63" i="2"/>
  <c r="GD64" i="2"/>
  <c r="GF64" i="2"/>
  <c r="GD65" i="2"/>
  <c r="GF65" i="2"/>
  <c r="GD66" i="2"/>
  <c r="GF66" i="2"/>
  <c r="GD67" i="2"/>
  <c r="GF67" i="2"/>
  <c r="GD68" i="2"/>
  <c r="GF68" i="2"/>
  <c r="GD69" i="2"/>
  <c r="GF69" i="2"/>
  <c r="GD70" i="2"/>
  <c r="GF70" i="2"/>
  <c r="GD71" i="2"/>
  <c r="GF71" i="2"/>
  <c r="GD72" i="2"/>
  <c r="GF72" i="2"/>
  <c r="GD73" i="2"/>
  <c r="GF73" i="2"/>
  <c r="GD74" i="2"/>
  <c r="GF74" i="2"/>
  <c r="GD75" i="2"/>
  <c r="GF75" i="2"/>
  <c r="GD76" i="2"/>
  <c r="GF76" i="2"/>
  <c r="GD77" i="2"/>
  <c r="GF77" i="2"/>
  <c r="GD78" i="2"/>
  <c r="GF78" i="2"/>
  <c r="GD79" i="2"/>
  <c r="GF79" i="2"/>
  <c r="GD80" i="2"/>
  <c r="GF80" i="2"/>
  <c r="GD81" i="2"/>
  <c r="GF81" i="2"/>
  <c r="GD82" i="2"/>
  <c r="GF82" i="2"/>
  <c r="GD83" i="2"/>
  <c r="GF83" i="2"/>
  <c r="GD84" i="2"/>
  <c r="GF84" i="2"/>
  <c r="GD85" i="2"/>
  <c r="GF85" i="2"/>
  <c r="GD86" i="2"/>
  <c r="GF86" i="2"/>
  <c r="GD87" i="2"/>
  <c r="GF87" i="2"/>
  <c r="GD88" i="2"/>
  <c r="GF88" i="2"/>
  <c r="GD89" i="2"/>
  <c r="GF89" i="2"/>
  <c r="GD90" i="2"/>
  <c r="GF90" i="2"/>
  <c r="GD91" i="2"/>
  <c r="GF91" i="2"/>
  <c r="GD92" i="2"/>
  <c r="GF92" i="2"/>
  <c r="GD93" i="2"/>
  <c r="GF93" i="2"/>
  <c r="GD94" i="2"/>
  <c r="GF94" i="2"/>
  <c r="GD95" i="2"/>
  <c r="GF95" i="2"/>
  <c r="GD96" i="2"/>
  <c r="GF96" i="2"/>
  <c r="GD97" i="2"/>
  <c r="GF97" i="2"/>
  <c r="GD98" i="2"/>
  <c r="GF98" i="2"/>
  <c r="GD99" i="2"/>
  <c r="GF99" i="2"/>
  <c r="GD100" i="2"/>
  <c r="GF100" i="2"/>
  <c r="GD101" i="2"/>
  <c r="GF101" i="2"/>
  <c r="GD102" i="2"/>
  <c r="GF102" i="2"/>
  <c r="GD103" i="2"/>
  <c r="GF103" i="2"/>
  <c r="GD104" i="2"/>
  <c r="GF104" i="2"/>
  <c r="GD105" i="2"/>
  <c r="GF105" i="2"/>
  <c r="GD106" i="2"/>
  <c r="GF106" i="2"/>
  <c r="GD107" i="2"/>
  <c r="GF107" i="2"/>
  <c r="GD108" i="2"/>
  <c r="GF108" i="2"/>
  <c r="GD109" i="2"/>
  <c r="GF109" i="2"/>
  <c r="GD110" i="2"/>
  <c r="GF110" i="2"/>
  <c r="GD111" i="2"/>
  <c r="GF111" i="2"/>
  <c r="GD112" i="2"/>
  <c r="GF112" i="2"/>
  <c r="GD113" i="2"/>
  <c r="GF113" i="2"/>
  <c r="GD114" i="2"/>
  <c r="GF114" i="2"/>
  <c r="GD115" i="2"/>
  <c r="GF115" i="2"/>
  <c r="GD116" i="2"/>
  <c r="GF116" i="2"/>
  <c r="GD117" i="2"/>
  <c r="GF117" i="2"/>
  <c r="GD118" i="2"/>
  <c r="GF118" i="2"/>
  <c r="GD119" i="2"/>
  <c r="GF119" i="2"/>
  <c r="GD120" i="2"/>
  <c r="GF120" i="2"/>
  <c r="GD121" i="2"/>
  <c r="GF121" i="2"/>
  <c r="GD122" i="2"/>
  <c r="GF122" i="2"/>
  <c r="GD123" i="2"/>
  <c r="GF123" i="2"/>
  <c r="GD124" i="2"/>
  <c r="GF124" i="2"/>
  <c r="GD125" i="2"/>
  <c r="GF125" i="2"/>
  <c r="GD126" i="2"/>
  <c r="GF126" i="2"/>
  <c r="GD127" i="2"/>
  <c r="GF127" i="2"/>
  <c r="GD128" i="2"/>
  <c r="GF128" i="2"/>
  <c r="GD129" i="2"/>
  <c r="GF129" i="2"/>
  <c r="GD130" i="2"/>
  <c r="GF130" i="2"/>
  <c r="GD131" i="2"/>
  <c r="GF131" i="2"/>
  <c r="GD132" i="2"/>
  <c r="GF132" i="2"/>
  <c r="GD133" i="2"/>
  <c r="GF133" i="2"/>
  <c r="GD134" i="2"/>
  <c r="GF134" i="2"/>
  <c r="GD135" i="2"/>
  <c r="GF135" i="2"/>
  <c r="GD136" i="2"/>
  <c r="GF136" i="2"/>
  <c r="GD137" i="2"/>
  <c r="GF137" i="2"/>
  <c r="GD138" i="2"/>
  <c r="GF138" i="2"/>
  <c r="GD139" i="2"/>
  <c r="GF139" i="2"/>
  <c r="GD140" i="2"/>
  <c r="GF140" i="2"/>
  <c r="GD141" i="2"/>
  <c r="GF141" i="2"/>
  <c r="GD142" i="2"/>
  <c r="GF142" i="2"/>
  <c r="GD143" i="2"/>
  <c r="GF143" i="2"/>
  <c r="GD144" i="2"/>
  <c r="GF144" i="2"/>
  <c r="GD145" i="2"/>
  <c r="GF145" i="2"/>
  <c r="GD146" i="2"/>
  <c r="GF146" i="2"/>
  <c r="GD147" i="2"/>
  <c r="GF147" i="2"/>
  <c r="GD148" i="2"/>
  <c r="GF148" i="2"/>
  <c r="GD149" i="2"/>
  <c r="GF149" i="2"/>
  <c r="GD150" i="2"/>
  <c r="GF150" i="2"/>
  <c r="GD151" i="2"/>
  <c r="GF151" i="2"/>
  <c r="GD152" i="2"/>
  <c r="GF152" i="2"/>
  <c r="GD153" i="2"/>
  <c r="GF153" i="2"/>
  <c r="GD154" i="2"/>
  <c r="GF154" i="2"/>
  <c r="GF4" i="2"/>
  <c r="GD4" i="2"/>
  <c r="DE18" i="24"/>
  <c r="DF18" i="24"/>
  <c r="E638" i="16"/>
  <c r="F638" i="16"/>
  <c r="E639" i="16"/>
  <c r="F639" i="16"/>
  <c r="E640" i="16"/>
  <c r="F640" i="16"/>
  <c r="E641" i="16"/>
  <c r="F641" i="16"/>
  <c r="E642" i="16"/>
  <c r="F642" i="16"/>
  <c r="E643" i="16"/>
  <c r="F643" i="16"/>
  <c r="E644" i="16"/>
  <c r="F644" i="16"/>
  <c r="E645" i="16"/>
  <c r="F645" i="16"/>
  <c r="E646" i="16"/>
  <c r="F646" i="16"/>
  <c r="E647" i="16"/>
  <c r="F647" i="16"/>
  <c r="E648" i="16"/>
  <c r="F648" i="16"/>
  <c r="E649" i="16"/>
  <c r="F649" i="16"/>
  <c r="DC18" i="24"/>
  <c r="DD18" i="24"/>
  <c r="FZ5" i="2"/>
  <c r="GB5" i="2"/>
  <c r="FZ6" i="2"/>
  <c r="GB6" i="2"/>
  <c r="FZ7" i="2"/>
  <c r="GB7" i="2"/>
  <c r="FZ8" i="2"/>
  <c r="GB8" i="2"/>
  <c r="FZ9" i="2"/>
  <c r="GB9" i="2"/>
  <c r="FZ10" i="2"/>
  <c r="GB10" i="2"/>
  <c r="FZ11" i="2"/>
  <c r="GB11" i="2"/>
  <c r="FZ12" i="2"/>
  <c r="GB12" i="2"/>
  <c r="FZ13" i="2"/>
  <c r="GB13" i="2"/>
  <c r="FZ14" i="2"/>
  <c r="GB14" i="2"/>
  <c r="FZ15" i="2"/>
  <c r="GB15" i="2"/>
  <c r="FZ16" i="2"/>
  <c r="GB16" i="2"/>
  <c r="FZ17" i="2"/>
  <c r="GB17" i="2"/>
  <c r="FZ18" i="2"/>
  <c r="GB18" i="2"/>
  <c r="FZ19" i="2"/>
  <c r="GB19" i="2"/>
  <c r="FZ20" i="2"/>
  <c r="GB20" i="2"/>
  <c r="FZ21" i="2"/>
  <c r="GB21" i="2"/>
  <c r="FZ22" i="2"/>
  <c r="GB22" i="2"/>
  <c r="FZ23" i="2"/>
  <c r="GB23" i="2"/>
  <c r="FZ24" i="2"/>
  <c r="GB24" i="2"/>
  <c r="FZ25" i="2"/>
  <c r="GB25" i="2"/>
  <c r="FZ26" i="2"/>
  <c r="GB26" i="2"/>
  <c r="FZ27" i="2"/>
  <c r="GB27" i="2"/>
  <c r="FZ28" i="2"/>
  <c r="GB28" i="2"/>
  <c r="FZ29" i="2"/>
  <c r="GB29" i="2"/>
  <c r="FZ30" i="2"/>
  <c r="GB30" i="2"/>
  <c r="FZ31" i="2"/>
  <c r="GB31" i="2"/>
  <c r="FZ32" i="2"/>
  <c r="GB32" i="2"/>
  <c r="FZ33" i="2"/>
  <c r="GB33" i="2"/>
  <c r="FZ34" i="2"/>
  <c r="GB34" i="2"/>
  <c r="FZ35" i="2"/>
  <c r="GB35" i="2"/>
  <c r="FZ36" i="2"/>
  <c r="GB36" i="2"/>
  <c r="FZ37" i="2"/>
  <c r="GB37" i="2"/>
  <c r="FZ38" i="2"/>
  <c r="GB38" i="2"/>
  <c r="FZ39" i="2"/>
  <c r="GB39" i="2"/>
  <c r="FZ40" i="2"/>
  <c r="GB40" i="2"/>
  <c r="FZ41" i="2"/>
  <c r="GB41" i="2"/>
  <c r="FZ42" i="2"/>
  <c r="GB42" i="2"/>
  <c r="FZ43" i="2"/>
  <c r="GB43" i="2"/>
  <c r="FZ44" i="2"/>
  <c r="GB44" i="2"/>
  <c r="FZ45" i="2"/>
  <c r="GB45" i="2"/>
  <c r="FZ46" i="2"/>
  <c r="GB46" i="2"/>
  <c r="FZ47" i="2"/>
  <c r="GB47" i="2"/>
  <c r="FZ48" i="2"/>
  <c r="GB48" i="2"/>
  <c r="FZ49" i="2"/>
  <c r="GB49" i="2"/>
  <c r="FZ50" i="2"/>
  <c r="GB50" i="2"/>
  <c r="FZ51" i="2"/>
  <c r="GB51" i="2"/>
  <c r="FZ52" i="2"/>
  <c r="GB52" i="2"/>
  <c r="FZ53" i="2"/>
  <c r="GB53" i="2"/>
  <c r="FZ54" i="2"/>
  <c r="GB54" i="2"/>
  <c r="FZ55" i="2"/>
  <c r="GB55" i="2"/>
  <c r="FZ56" i="2"/>
  <c r="GB56" i="2"/>
  <c r="FZ57" i="2"/>
  <c r="GB57" i="2"/>
  <c r="FZ58" i="2"/>
  <c r="GB58" i="2"/>
  <c r="FZ59" i="2"/>
  <c r="GB59" i="2"/>
  <c r="FZ60" i="2"/>
  <c r="GB60" i="2"/>
  <c r="FZ61" i="2"/>
  <c r="GB61" i="2"/>
  <c r="FZ62" i="2"/>
  <c r="GB62" i="2"/>
  <c r="FZ63" i="2"/>
  <c r="GB63" i="2"/>
  <c r="FZ64" i="2"/>
  <c r="GB64" i="2"/>
  <c r="FZ65" i="2"/>
  <c r="GB65" i="2"/>
  <c r="FZ66" i="2"/>
  <c r="GB66" i="2"/>
  <c r="FZ67" i="2"/>
  <c r="GB67" i="2"/>
  <c r="FZ68" i="2"/>
  <c r="GB68" i="2"/>
  <c r="FZ69" i="2"/>
  <c r="GB69" i="2"/>
  <c r="FZ70" i="2"/>
  <c r="GB70" i="2"/>
  <c r="FZ71" i="2"/>
  <c r="GB71" i="2"/>
  <c r="FZ72" i="2"/>
  <c r="GB72" i="2"/>
  <c r="FZ73" i="2"/>
  <c r="GB73" i="2"/>
  <c r="FZ74" i="2"/>
  <c r="GB74" i="2"/>
  <c r="FZ75" i="2"/>
  <c r="GB75" i="2"/>
  <c r="FZ76" i="2"/>
  <c r="GB76" i="2"/>
  <c r="FZ77" i="2"/>
  <c r="GB77" i="2"/>
  <c r="FZ78" i="2"/>
  <c r="GB78" i="2"/>
  <c r="FZ79" i="2"/>
  <c r="GB79" i="2"/>
  <c r="FZ80" i="2"/>
  <c r="GB80" i="2"/>
  <c r="FZ81" i="2"/>
  <c r="GB81" i="2"/>
  <c r="FZ82" i="2"/>
  <c r="GB82" i="2"/>
  <c r="FZ83" i="2"/>
  <c r="GB83" i="2"/>
  <c r="FZ84" i="2"/>
  <c r="GB84" i="2"/>
  <c r="FZ85" i="2"/>
  <c r="GB85" i="2"/>
  <c r="FZ86" i="2"/>
  <c r="GB86" i="2"/>
  <c r="FZ87" i="2"/>
  <c r="GB87" i="2"/>
  <c r="FZ88" i="2"/>
  <c r="GB88" i="2"/>
  <c r="FZ89" i="2"/>
  <c r="GB89" i="2"/>
  <c r="FZ90" i="2"/>
  <c r="GB90" i="2"/>
  <c r="FZ91" i="2"/>
  <c r="GB91" i="2"/>
  <c r="FZ92" i="2"/>
  <c r="GB92" i="2"/>
  <c r="FZ93" i="2"/>
  <c r="GB93" i="2"/>
  <c r="FZ94" i="2"/>
  <c r="GB94" i="2"/>
  <c r="FZ95" i="2"/>
  <c r="GB95" i="2"/>
  <c r="FZ96" i="2"/>
  <c r="GB96" i="2"/>
  <c r="FZ97" i="2"/>
  <c r="GB97" i="2"/>
  <c r="FZ98" i="2"/>
  <c r="GB98" i="2"/>
  <c r="FZ99" i="2"/>
  <c r="GB99" i="2"/>
  <c r="FZ100" i="2"/>
  <c r="GB100" i="2"/>
  <c r="FZ101" i="2"/>
  <c r="GB101" i="2"/>
  <c r="FZ102" i="2"/>
  <c r="GB102" i="2"/>
  <c r="FZ103" i="2"/>
  <c r="GB103" i="2"/>
  <c r="FZ104" i="2"/>
  <c r="GB104" i="2"/>
  <c r="FZ105" i="2"/>
  <c r="GB105" i="2"/>
  <c r="FZ106" i="2"/>
  <c r="GB106" i="2"/>
  <c r="FZ107" i="2"/>
  <c r="GB107" i="2"/>
  <c r="FZ108" i="2"/>
  <c r="GB108" i="2"/>
  <c r="FZ109" i="2"/>
  <c r="GB109" i="2"/>
  <c r="FZ110" i="2"/>
  <c r="GB110" i="2"/>
  <c r="FZ111" i="2"/>
  <c r="GB111" i="2"/>
  <c r="FZ112" i="2"/>
  <c r="GB112" i="2"/>
  <c r="FZ113" i="2"/>
  <c r="GB113" i="2"/>
  <c r="FZ114" i="2"/>
  <c r="GB114" i="2"/>
  <c r="FZ115" i="2"/>
  <c r="GB115" i="2"/>
  <c r="FZ116" i="2"/>
  <c r="GB116" i="2"/>
  <c r="FZ117" i="2"/>
  <c r="GB117" i="2"/>
  <c r="FZ118" i="2"/>
  <c r="GB118" i="2"/>
  <c r="FZ119" i="2"/>
  <c r="GB119" i="2"/>
  <c r="FZ120" i="2"/>
  <c r="GB120" i="2"/>
  <c r="FZ121" i="2"/>
  <c r="GB121" i="2"/>
  <c r="FZ122" i="2"/>
  <c r="GB122" i="2"/>
  <c r="FZ123" i="2"/>
  <c r="GB123" i="2"/>
  <c r="FZ124" i="2"/>
  <c r="GB124" i="2"/>
  <c r="FZ125" i="2"/>
  <c r="GB125" i="2"/>
  <c r="FZ126" i="2"/>
  <c r="GB126" i="2"/>
  <c r="FZ127" i="2"/>
  <c r="GB127" i="2"/>
  <c r="FZ128" i="2"/>
  <c r="GB128" i="2"/>
  <c r="FZ129" i="2"/>
  <c r="GB129" i="2"/>
  <c r="FZ130" i="2"/>
  <c r="GB130" i="2"/>
  <c r="FZ131" i="2"/>
  <c r="GB131" i="2"/>
  <c r="FZ132" i="2"/>
  <c r="GB132" i="2"/>
  <c r="FZ133" i="2"/>
  <c r="GB133" i="2"/>
  <c r="FZ134" i="2"/>
  <c r="GB134" i="2"/>
  <c r="FZ135" i="2"/>
  <c r="GB135" i="2"/>
  <c r="FZ136" i="2"/>
  <c r="GB136" i="2"/>
  <c r="FZ137" i="2"/>
  <c r="GB137" i="2"/>
  <c r="FZ138" i="2"/>
  <c r="GB138" i="2"/>
  <c r="FZ139" i="2"/>
  <c r="GB139" i="2"/>
  <c r="FZ140" i="2"/>
  <c r="GB140" i="2"/>
  <c r="FZ141" i="2"/>
  <c r="GB141" i="2"/>
  <c r="FZ142" i="2"/>
  <c r="GB142" i="2"/>
  <c r="FZ143" i="2"/>
  <c r="GB143" i="2"/>
  <c r="FZ144" i="2"/>
  <c r="GB144" i="2"/>
  <c r="FZ145" i="2"/>
  <c r="GB145" i="2"/>
  <c r="FZ146" i="2"/>
  <c r="GB146" i="2"/>
  <c r="FZ147" i="2"/>
  <c r="GB147" i="2"/>
  <c r="FZ148" i="2"/>
  <c r="GB148" i="2"/>
  <c r="FZ149" i="2"/>
  <c r="GB149" i="2"/>
  <c r="FZ150" i="2"/>
  <c r="GB150" i="2"/>
  <c r="FZ151" i="2"/>
  <c r="GB151" i="2"/>
  <c r="FZ152" i="2"/>
  <c r="GB152" i="2"/>
  <c r="FZ153" i="2"/>
  <c r="GB153" i="2"/>
  <c r="FZ154" i="2"/>
  <c r="GB154" i="2"/>
  <c r="GB4" i="2"/>
  <c r="FZ4" i="2"/>
  <c r="E626" i="16"/>
  <c r="F626" i="16"/>
  <c r="E627" i="16"/>
  <c r="F627" i="16"/>
  <c r="E628" i="16"/>
  <c r="F628" i="16"/>
  <c r="E629" i="16"/>
  <c r="F629" i="16"/>
  <c r="E630" i="16"/>
  <c r="F630" i="16"/>
  <c r="E631" i="16"/>
  <c r="F631" i="16"/>
  <c r="E632" i="16"/>
  <c r="F632" i="16"/>
  <c r="E633" i="16"/>
  <c r="F633" i="16"/>
  <c r="E634" i="16"/>
  <c r="F634" i="16"/>
  <c r="E635" i="16"/>
  <c r="F635" i="16"/>
  <c r="E636" i="16"/>
  <c r="F636" i="16"/>
  <c r="E637" i="16"/>
  <c r="F637" i="16"/>
  <c r="FX12" i="2"/>
  <c r="FX13" i="2"/>
  <c r="FX14" i="2"/>
  <c r="FX15" i="2"/>
  <c r="FX16" i="2"/>
  <c r="FX17" i="2"/>
  <c r="FX18" i="2"/>
  <c r="FX19" i="2"/>
  <c r="FX20" i="2"/>
  <c r="FX26" i="2"/>
  <c r="FX30" i="2"/>
  <c r="FX31" i="2"/>
  <c r="FX32" i="2"/>
  <c r="FX34" i="2"/>
  <c r="FX35" i="2"/>
  <c r="FX36" i="2"/>
  <c r="FX43" i="2"/>
  <c r="FX44" i="2"/>
  <c r="FX45" i="2"/>
  <c r="FX46" i="2"/>
  <c r="FX47" i="2"/>
  <c r="FX48" i="2"/>
  <c r="FX49" i="2"/>
  <c r="FX50" i="2"/>
  <c r="FX51" i="2"/>
  <c r="FX52" i="2"/>
  <c r="FX60" i="2"/>
  <c r="FX61" i="2"/>
  <c r="FX62" i="2"/>
  <c r="FX63" i="2"/>
  <c r="FX64" i="2"/>
  <c r="FX65" i="2"/>
  <c r="FX66" i="2"/>
  <c r="FX67" i="2"/>
  <c r="FX68" i="2"/>
  <c r="FX77" i="2"/>
  <c r="FX78" i="2"/>
  <c r="FX79" i="2"/>
  <c r="FX82" i="2"/>
  <c r="FX83" i="2"/>
  <c r="FX84" i="2"/>
  <c r="FX92" i="2"/>
  <c r="FX93" i="2"/>
  <c r="FX94" i="2"/>
  <c r="FX95" i="2"/>
  <c r="FX96" i="2"/>
  <c r="FX97" i="2"/>
  <c r="FX98" i="2"/>
  <c r="FX99" i="2"/>
  <c r="FX100" i="2"/>
  <c r="FX109" i="2"/>
  <c r="FX110" i="2"/>
  <c r="FX111" i="2"/>
  <c r="FX112" i="2"/>
  <c r="FX113" i="2"/>
  <c r="FX114" i="2"/>
  <c r="FX115" i="2"/>
  <c r="FX116" i="2"/>
  <c r="FX128" i="2"/>
  <c r="FX130" i="2"/>
  <c r="FX131" i="2"/>
  <c r="FX132" i="2"/>
  <c r="FX138" i="2"/>
  <c r="FX139" i="2"/>
  <c r="FX140" i="2"/>
  <c r="FX141" i="2"/>
  <c r="FX142" i="2"/>
  <c r="FX143" i="2"/>
  <c r="FX144" i="2"/>
  <c r="FX145" i="2"/>
  <c r="FX146" i="2"/>
  <c r="FX147" i="2"/>
  <c r="FX148" i="2"/>
  <c r="FV7" i="2"/>
  <c r="FV9" i="2"/>
  <c r="FV10" i="2"/>
  <c r="FV11" i="2"/>
  <c r="FV12" i="2"/>
  <c r="FV13" i="2"/>
  <c r="FV15" i="2"/>
  <c r="FV16" i="2"/>
  <c r="FV17" i="2"/>
  <c r="FV18" i="2"/>
  <c r="FV19" i="2"/>
  <c r="FV20" i="2"/>
  <c r="FV21" i="2"/>
  <c r="FV22" i="2"/>
  <c r="FV23" i="2"/>
  <c r="FV25" i="2"/>
  <c r="FV26" i="2"/>
  <c r="FV27" i="2"/>
  <c r="FV28" i="2"/>
  <c r="FV29" i="2"/>
  <c r="FV31" i="2"/>
  <c r="FV32" i="2"/>
  <c r="FV33" i="2"/>
  <c r="FV34" i="2"/>
  <c r="FV35" i="2"/>
  <c r="FV36" i="2"/>
  <c r="FV41" i="2"/>
  <c r="FV42" i="2"/>
  <c r="FV43" i="2"/>
  <c r="FV44" i="2"/>
  <c r="FV45" i="2"/>
  <c r="FV49" i="2"/>
  <c r="FV50" i="2"/>
  <c r="FV51" i="2"/>
  <c r="FV52" i="2"/>
  <c r="FV57" i="2"/>
  <c r="FV58" i="2"/>
  <c r="FV59" i="2"/>
  <c r="FV60" i="2"/>
  <c r="FV61" i="2"/>
  <c r="FV68" i="2"/>
  <c r="FV69" i="2"/>
  <c r="FV70" i="2"/>
  <c r="FV71" i="2"/>
  <c r="FV72" i="2"/>
  <c r="FV73" i="2"/>
  <c r="FV74" i="2"/>
  <c r="FV75" i="2"/>
  <c r="FV76" i="2"/>
  <c r="FV77" i="2"/>
  <c r="FV80" i="2"/>
  <c r="FV81" i="2"/>
  <c r="FV82" i="2"/>
  <c r="FV83" i="2"/>
  <c r="FV84" i="2"/>
  <c r="FV88" i="2"/>
  <c r="FV90" i="2"/>
  <c r="FV91" i="2"/>
  <c r="FV92" i="2"/>
  <c r="FV93" i="2"/>
  <c r="FV95" i="2"/>
  <c r="FV96" i="2"/>
  <c r="FV97" i="2"/>
  <c r="FV98" i="2"/>
  <c r="FV99" i="2"/>
  <c r="FV100" i="2"/>
  <c r="FV103" i="2"/>
  <c r="FV104" i="2"/>
  <c r="FV105" i="2"/>
  <c r="FV106" i="2"/>
  <c r="FV107" i="2"/>
  <c r="FV108" i="2"/>
  <c r="FV109" i="2"/>
  <c r="FV110" i="2"/>
  <c r="FV111" i="2"/>
  <c r="FV112" i="2"/>
  <c r="FV113" i="2"/>
  <c r="FV114" i="2"/>
  <c r="FV115" i="2"/>
  <c r="FV116" i="2"/>
  <c r="FV117" i="2"/>
  <c r="FV118" i="2"/>
  <c r="FV119" i="2"/>
  <c r="FV120" i="2"/>
  <c r="FV121" i="2"/>
  <c r="FV122" i="2"/>
  <c r="FV123" i="2"/>
  <c r="FV124" i="2"/>
  <c r="FV125" i="2"/>
  <c r="FV129" i="2"/>
  <c r="FV130" i="2"/>
  <c r="FV131" i="2"/>
  <c r="FV132" i="2"/>
  <c r="FV135" i="2"/>
  <c r="FV136" i="2"/>
  <c r="FV137" i="2"/>
  <c r="FV138" i="2"/>
  <c r="FV139" i="2"/>
  <c r="FV140" i="2"/>
  <c r="FV141" i="2"/>
  <c r="FV145" i="2"/>
  <c r="FV146" i="2"/>
  <c r="FV148" i="2"/>
  <c r="FV149" i="2"/>
  <c r="FV150" i="2"/>
  <c r="FV151" i="2"/>
  <c r="FV153" i="2"/>
  <c r="FV154" i="2"/>
  <c r="FV4" i="2"/>
  <c r="F619" i="16"/>
  <c r="F622" i="16"/>
  <c r="F623" i="16"/>
  <c r="F614" i="16"/>
  <c r="E621" i="16"/>
  <c r="E623" i="16"/>
  <c r="E624" i="16"/>
  <c r="E625" i="16"/>
  <c r="E614" i="16"/>
  <c r="FX151" i="2"/>
  <c r="FX153" i="2"/>
  <c r="FV8" i="2"/>
  <c r="FV24" i="2"/>
  <c r="FV56" i="2"/>
  <c r="FV144" i="2"/>
  <c r="FV147" i="2"/>
  <c r="FV152" i="2"/>
  <c r="FX5" i="2"/>
  <c r="FX6" i="2"/>
  <c r="FX7" i="2"/>
  <c r="FX8" i="2"/>
  <c r="FX9" i="2"/>
  <c r="FX10" i="2"/>
  <c r="FX11" i="2"/>
  <c r="FX21" i="2"/>
  <c r="FX22" i="2"/>
  <c r="FX23" i="2"/>
  <c r="FX24" i="2"/>
  <c r="FX25" i="2"/>
  <c r="FX27" i="2"/>
  <c r="FX28" i="2"/>
  <c r="FX29" i="2"/>
  <c r="FX33" i="2"/>
  <c r="FX37" i="2"/>
  <c r="FX38" i="2"/>
  <c r="FX39" i="2"/>
  <c r="FX40" i="2"/>
  <c r="FX41" i="2"/>
  <c r="FX42" i="2"/>
  <c r="FX53" i="2"/>
  <c r="FX54" i="2"/>
  <c r="FX55" i="2"/>
  <c r="FX56" i="2"/>
  <c r="FX57" i="2"/>
  <c r="FX58" i="2"/>
  <c r="FX59" i="2"/>
  <c r="FX69" i="2"/>
  <c r="FX70" i="2"/>
  <c r="FX71" i="2"/>
  <c r="FX72" i="2"/>
  <c r="FX73" i="2"/>
  <c r="FX74" i="2"/>
  <c r="FX75" i="2"/>
  <c r="FX76" i="2"/>
  <c r="FX80" i="2"/>
  <c r="FX81" i="2"/>
  <c r="FX85" i="2"/>
  <c r="FX86" i="2"/>
  <c r="FX87" i="2"/>
  <c r="FX88" i="2"/>
  <c r="FX89" i="2"/>
  <c r="FX90" i="2"/>
  <c r="FX91" i="2"/>
  <c r="FX101" i="2"/>
  <c r="FX102" i="2"/>
  <c r="FX103" i="2"/>
  <c r="FX104" i="2"/>
  <c r="FX105" i="2"/>
  <c r="FX106" i="2"/>
  <c r="FX107" i="2"/>
  <c r="FX108" i="2"/>
  <c r="FX117" i="2"/>
  <c r="FX118" i="2"/>
  <c r="FX119" i="2"/>
  <c r="FX120" i="2"/>
  <c r="FX121" i="2"/>
  <c r="FX122" i="2"/>
  <c r="FX123" i="2"/>
  <c r="FX124" i="2"/>
  <c r="FX125" i="2"/>
  <c r="FX126" i="2"/>
  <c r="FX127" i="2"/>
  <c r="FX129" i="2"/>
  <c r="FX133" i="2"/>
  <c r="FX134" i="2"/>
  <c r="FX135" i="2"/>
  <c r="FX136" i="2"/>
  <c r="FX137" i="2"/>
  <c r="FX149" i="2"/>
  <c r="FX150" i="2"/>
  <c r="FX152" i="2"/>
  <c r="FX154" i="2"/>
  <c r="FX4" i="2"/>
  <c r="FV5" i="2"/>
  <c r="FV6" i="2"/>
  <c r="FV14" i="2"/>
  <c r="FV30" i="2"/>
  <c r="FV37" i="2"/>
  <c r="FV38" i="2"/>
  <c r="FV39" i="2"/>
  <c r="FV40" i="2"/>
  <c r="FV46" i="2"/>
  <c r="FV47" i="2"/>
  <c r="FV48" i="2"/>
  <c r="FV53" i="2"/>
  <c r="FV54" i="2"/>
  <c r="FV55" i="2"/>
  <c r="FV62" i="2"/>
  <c r="FV63" i="2"/>
  <c r="FV64" i="2"/>
  <c r="FV65" i="2"/>
  <c r="FV66" i="2"/>
  <c r="FV67" i="2"/>
  <c r="FV78" i="2"/>
  <c r="FV79" i="2"/>
  <c r="FV85" i="2"/>
  <c r="FV86" i="2"/>
  <c r="FV87" i="2"/>
  <c r="FV89" i="2"/>
  <c r="FV94" i="2"/>
  <c r="FV101" i="2"/>
  <c r="FV102" i="2"/>
  <c r="FV126" i="2"/>
  <c r="FV127" i="2"/>
  <c r="FV128" i="2"/>
  <c r="FV133" i="2"/>
  <c r="FV134" i="2"/>
  <c r="FV142" i="2"/>
  <c r="FV143" i="2"/>
  <c r="F615" i="16"/>
  <c r="F624" i="16"/>
  <c r="E619" i="16"/>
  <c r="DA18" i="24"/>
  <c r="DB18" i="24"/>
  <c r="E615" i="16"/>
  <c r="E616" i="16"/>
  <c r="F616" i="16"/>
  <c r="E617" i="16"/>
  <c r="F617" i="16"/>
  <c r="E618" i="16"/>
  <c r="F618" i="16"/>
  <c r="E620" i="16"/>
  <c r="F620" i="16"/>
  <c r="F621" i="16"/>
  <c r="E622" i="16"/>
  <c r="F625" i="16"/>
  <c r="CY18" i="24"/>
  <c r="CZ18" i="24"/>
  <c r="FT6" i="2"/>
  <c r="FT8" i="2"/>
  <c r="FT10" i="2"/>
  <c r="FT12" i="2"/>
  <c r="FT14" i="2"/>
  <c r="FT16" i="2"/>
  <c r="FT18" i="2"/>
  <c r="FT20" i="2"/>
  <c r="FT22" i="2"/>
  <c r="FT24" i="2"/>
  <c r="FT26" i="2"/>
  <c r="FT28" i="2"/>
  <c r="FT30" i="2"/>
  <c r="FT32" i="2"/>
  <c r="FT34" i="2"/>
  <c r="FT36" i="2"/>
  <c r="FT38" i="2"/>
  <c r="FT40" i="2"/>
  <c r="FT42" i="2"/>
  <c r="FT44" i="2"/>
  <c r="FT46" i="2"/>
  <c r="FT48" i="2"/>
  <c r="FT50" i="2"/>
  <c r="FT52" i="2"/>
  <c r="FT54" i="2"/>
  <c r="FT56" i="2"/>
  <c r="FT58" i="2"/>
  <c r="FT60" i="2"/>
  <c r="FT62" i="2"/>
  <c r="FT64" i="2"/>
  <c r="FT66" i="2"/>
  <c r="FT68" i="2"/>
  <c r="FT70" i="2"/>
  <c r="FT72" i="2"/>
  <c r="FT74" i="2"/>
  <c r="FT76" i="2"/>
  <c r="FT78" i="2"/>
  <c r="FT80" i="2"/>
  <c r="FT82" i="2"/>
  <c r="FT84" i="2"/>
  <c r="FT86" i="2"/>
  <c r="FT88" i="2"/>
  <c r="FT90" i="2"/>
  <c r="FT92" i="2"/>
  <c r="FT94" i="2"/>
  <c r="FT96" i="2"/>
  <c r="FT98" i="2"/>
  <c r="FT100" i="2"/>
  <c r="FT102" i="2"/>
  <c r="FT104" i="2"/>
  <c r="FT106" i="2"/>
  <c r="FT108" i="2"/>
  <c r="FT110" i="2"/>
  <c r="FT112" i="2"/>
  <c r="FT114" i="2"/>
  <c r="FT116" i="2"/>
  <c r="FT118" i="2"/>
  <c r="FT120" i="2"/>
  <c r="FT122" i="2"/>
  <c r="FT124" i="2"/>
  <c r="FT126" i="2"/>
  <c r="FT128" i="2"/>
  <c r="FT130" i="2"/>
  <c r="FT132" i="2"/>
  <c r="FT134" i="2"/>
  <c r="FT136" i="2"/>
  <c r="FT138" i="2"/>
  <c r="FT140" i="2"/>
  <c r="FT142" i="2"/>
  <c r="FT144" i="2"/>
  <c r="FT146" i="2"/>
  <c r="FT148" i="2"/>
  <c r="FT150" i="2"/>
  <c r="FT152" i="2"/>
  <c r="FT154" i="2"/>
  <c r="FT5" i="2"/>
  <c r="FT7" i="2"/>
  <c r="FT9" i="2"/>
  <c r="FT11" i="2"/>
  <c r="FT13" i="2"/>
  <c r="FT15" i="2"/>
  <c r="FT17" i="2"/>
  <c r="FT19" i="2"/>
  <c r="FT21" i="2"/>
  <c r="FT23" i="2"/>
  <c r="FT25" i="2"/>
  <c r="FT27" i="2"/>
  <c r="FT29" i="2"/>
  <c r="FT31" i="2"/>
  <c r="FT33" i="2"/>
  <c r="FT35" i="2"/>
  <c r="FT37" i="2"/>
  <c r="FT39" i="2"/>
  <c r="FT41" i="2"/>
  <c r="FT43" i="2"/>
  <c r="FT45" i="2"/>
  <c r="FT47" i="2"/>
  <c r="FT49" i="2"/>
  <c r="FT51" i="2"/>
  <c r="FT53" i="2"/>
  <c r="FT55" i="2"/>
  <c r="FT57" i="2"/>
  <c r="FT59" i="2"/>
  <c r="FT61" i="2"/>
  <c r="FT63" i="2"/>
  <c r="FT65" i="2"/>
  <c r="FT67" i="2"/>
  <c r="FT69" i="2"/>
  <c r="FT71" i="2"/>
  <c r="FT73" i="2"/>
  <c r="FT75" i="2"/>
  <c r="FT77" i="2"/>
  <c r="FT79" i="2"/>
  <c r="FT81" i="2"/>
  <c r="FT83" i="2"/>
  <c r="FT85" i="2"/>
  <c r="FT87" i="2"/>
  <c r="FT89" i="2"/>
  <c r="FT91" i="2"/>
  <c r="FT93" i="2"/>
  <c r="FT95" i="2"/>
  <c r="FT97" i="2"/>
  <c r="FT99" i="2"/>
  <c r="FT101" i="2"/>
  <c r="FT103" i="2"/>
  <c r="FT105" i="2"/>
  <c r="FT107" i="2"/>
  <c r="FT109" i="2"/>
  <c r="FT111" i="2"/>
  <c r="FT113" i="2"/>
  <c r="FT115" i="2"/>
  <c r="FT117" i="2"/>
  <c r="FT119" i="2"/>
  <c r="FT121" i="2"/>
  <c r="FT123" i="2"/>
  <c r="FT125" i="2"/>
  <c r="FT127" i="2"/>
  <c r="FT129" i="2"/>
  <c r="FT131" i="2"/>
  <c r="FT133" i="2"/>
  <c r="FT135" i="2"/>
  <c r="FT137" i="2"/>
  <c r="FT139" i="2"/>
  <c r="FT141" i="2"/>
  <c r="FT143" i="2"/>
  <c r="FT145" i="2"/>
  <c r="FT147" i="2"/>
  <c r="FT149" i="2"/>
  <c r="FT151" i="2"/>
  <c r="FT153" i="2"/>
  <c r="FR5" i="2"/>
  <c r="FR9" i="2"/>
  <c r="FR13" i="2"/>
  <c r="FR17" i="2"/>
  <c r="FR21" i="2"/>
  <c r="FT4" i="2"/>
  <c r="FR6" i="2"/>
  <c r="FR7" i="2"/>
  <c r="FR8" i="2"/>
  <c r="FR10" i="2"/>
  <c r="FR11" i="2"/>
  <c r="FR12" i="2"/>
  <c r="FR14" i="2"/>
  <c r="FR15" i="2"/>
  <c r="FR16" i="2"/>
  <c r="FR18" i="2"/>
  <c r="FR19" i="2"/>
  <c r="FR20" i="2"/>
  <c r="FR22" i="2"/>
  <c r="FR23" i="2"/>
  <c r="FR24" i="2"/>
  <c r="FR25" i="2"/>
  <c r="FR26" i="2"/>
  <c r="FR27" i="2"/>
  <c r="FR28" i="2"/>
  <c r="FR29" i="2"/>
  <c r="FR30" i="2"/>
  <c r="FR31" i="2"/>
  <c r="FR32" i="2"/>
  <c r="FR33" i="2"/>
  <c r="FR34" i="2"/>
  <c r="FR35" i="2"/>
  <c r="FR36" i="2"/>
  <c r="FR37" i="2"/>
  <c r="FR38" i="2"/>
  <c r="FR39" i="2"/>
  <c r="FR40" i="2"/>
  <c r="FR41" i="2"/>
  <c r="FR42" i="2"/>
  <c r="FR43" i="2"/>
  <c r="FR44" i="2"/>
  <c r="FR45" i="2"/>
  <c r="FR46" i="2"/>
  <c r="FR47" i="2"/>
  <c r="FR48" i="2"/>
  <c r="FR49" i="2"/>
  <c r="FR50" i="2"/>
  <c r="FR51" i="2"/>
  <c r="FR52" i="2"/>
  <c r="FR53" i="2"/>
  <c r="FR54" i="2"/>
  <c r="FR55" i="2"/>
  <c r="FR56" i="2"/>
  <c r="FR57" i="2"/>
  <c r="FR58" i="2"/>
  <c r="FR59" i="2"/>
  <c r="FR60" i="2"/>
  <c r="FR61" i="2"/>
  <c r="FR62" i="2"/>
  <c r="FR63" i="2"/>
  <c r="FR64" i="2"/>
  <c r="FR65" i="2"/>
  <c r="FR66" i="2"/>
  <c r="FR67" i="2"/>
  <c r="FR68" i="2"/>
  <c r="FR69" i="2"/>
  <c r="FR70" i="2"/>
  <c r="FR71" i="2"/>
  <c r="FR72" i="2"/>
  <c r="FR73" i="2"/>
  <c r="FR74" i="2"/>
  <c r="FR75" i="2"/>
  <c r="FR76" i="2"/>
  <c r="FR77" i="2"/>
  <c r="FR78" i="2"/>
  <c r="FR79" i="2"/>
  <c r="FR80" i="2"/>
  <c r="FR81" i="2"/>
  <c r="FR82" i="2"/>
  <c r="FR83" i="2"/>
  <c r="FR84" i="2"/>
  <c r="FR85" i="2"/>
  <c r="FR86" i="2"/>
  <c r="FR87" i="2"/>
  <c r="FR88" i="2"/>
  <c r="FR89" i="2"/>
  <c r="FR90" i="2"/>
  <c r="FR91" i="2"/>
  <c r="FR92" i="2"/>
  <c r="FR93" i="2"/>
  <c r="FR94" i="2"/>
  <c r="FR95" i="2"/>
  <c r="FR96" i="2"/>
  <c r="FR97" i="2"/>
  <c r="FR98" i="2"/>
  <c r="FR99" i="2"/>
  <c r="FR100" i="2"/>
  <c r="FR101" i="2"/>
  <c r="FR102" i="2"/>
  <c r="FR103" i="2"/>
  <c r="FR104" i="2"/>
  <c r="FR105" i="2"/>
  <c r="FR106" i="2"/>
  <c r="FR107" i="2"/>
  <c r="FR108" i="2"/>
  <c r="FR109" i="2"/>
  <c r="FR110" i="2"/>
  <c r="FR111" i="2"/>
  <c r="FR112" i="2"/>
  <c r="FR113" i="2"/>
  <c r="FR114" i="2"/>
  <c r="FR115" i="2"/>
  <c r="FR116" i="2"/>
  <c r="FR117" i="2"/>
  <c r="FR118" i="2"/>
  <c r="FR119" i="2"/>
  <c r="FR120" i="2"/>
  <c r="FR121" i="2"/>
  <c r="FR122" i="2"/>
  <c r="FR123" i="2"/>
  <c r="FR124" i="2"/>
  <c r="FR125" i="2"/>
  <c r="FR126" i="2"/>
  <c r="FR127" i="2"/>
  <c r="FR128" i="2"/>
  <c r="FR129" i="2"/>
  <c r="FR130" i="2"/>
  <c r="FR131" i="2"/>
  <c r="FR132" i="2"/>
  <c r="FR133" i="2"/>
  <c r="FR134" i="2"/>
  <c r="FR135" i="2"/>
  <c r="FR136" i="2"/>
  <c r="FR137" i="2"/>
  <c r="FR138" i="2"/>
  <c r="FR139" i="2"/>
  <c r="FR140" i="2"/>
  <c r="FR141" i="2"/>
  <c r="FR142" i="2"/>
  <c r="FR143" i="2"/>
  <c r="FR144" i="2"/>
  <c r="FR145" i="2"/>
  <c r="FR146" i="2"/>
  <c r="FR147" i="2"/>
  <c r="FR148" i="2"/>
  <c r="FR149" i="2"/>
  <c r="FR150" i="2"/>
  <c r="FR151" i="2"/>
  <c r="FR152" i="2"/>
  <c r="FR153" i="2"/>
  <c r="FR154" i="2"/>
  <c r="FR4" i="2"/>
  <c r="E602" i="16"/>
  <c r="F602" i="16"/>
  <c r="E603" i="16"/>
  <c r="F603" i="16"/>
  <c r="E604" i="16"/>
  <c r="F604" i="16"/>
  <c r="E605" i="16"/>
  <c r="F605" i="16"/>
  <c r="E606" i="16"/>
  <c r="F606" i="16"/>
  <c r="E607" i="16"/>
  <c r="F607" i="16"/>
  <c r="E608" i="16"/>
  <c r="F608" i="16"/>
  <c r="E609" i="16"/>
  <c r="F609" i="16"/>
  <c r="E610" i="16"/>
  <c r="F610" i="16"/>
  <c r="E611" i="16"/>
  <c r="F611" i="16"/>
  <c r="E612" i="16"/>
  <c r="F612" i="16"/>
  <c r="E613" i="16"/>
  <c r="F613" i="16"/>
  <c r="CW18" i="24"/>
  <c r="CX18" i="24"/>
  <c r="FN5" i="2"/>
  <c r="FP5" i="2"/>
  <c r="FN6" i="2"/>
  <c r="FP6" i="2"/>
  <c r="FN7" i="2"/>
  <c r="FP7" i="2"/>
  <c r="FN8" i="2"/>
  <c r="FP8" i="2"/>
  <c r="FN9" i="2"/>
  <c r="FP9" i="2"/>
  <c r="FN10" i="2"/>
  <c r="FP10" i="2"/>
  <c r="FN11" i="2"/>
  <c r="FP11" i="2"/>
  <c r="FN12" i="2"/>
  <c r="FP12" i="2"/>
  <c r="FN13" i="2"/>
  <c r="FP13" i="2"/>
  <c r="FN14" i="2"/>
  <c r="FP14" i="2"/>
  <c r="FN15" i="2"/>
  <c r="FP15" i="2"/>
  <c r="FN16" i="2"/>
  <c r="FP16" i="2"/>
  <c r="FN17" i="2"/>
  <c r="FP17" i="2"/>
  <c r="FN18" i="2"/>
  <c r="FP18" i="2"/>
  <c r="FN19" i="2"/>
  <c r="FP19" i="2"/>
  <c r="FN20" i="2"/>
  <c r="FP20" i="2"/>
  <c r="FN21" i="2"/>
  <c r="FP21" i="2"/>
  <c r="FN22" i="2"/>
  <c r="FP22" i="2"/>
  <c r="FN23" i="2"/>
  <c r="FP23" i="2"/>
  <c r="FN24" i="2"/>
  <c r="FP24" i="2"/>
  <c r="FN25" i="2"/>
  <c r="FP25" i="2"/>
  <c r="FN26" i="2"/>
  <c r="FP26" i="2"/>
  <c r="FN27" i="2"/>
  <c r="FP27" i="2"/>
  <c r="FN28" i="2"/>
  <c r="FP28" i="2"/>
  <c r="FN29" i="2"/>
  <c r="FP29" i="2"/>
  <c r="FN30" i="2"/>
  <c r="FP30" i="2"/>
  <c r="FN31" i="2"/>
  <c r="FP31" i="2"/>
  <c r="FN32" i="2"/>
  <c r="FP32" i="2"/>
  <c r="FN33" i="2"/>
  <c r="FP33" i="2"/>
  <c r="FN34" i="2"/>
  <c r="FP34" i="2"/>
  <c r="FN35" i="2"/>
  <c r="FP35" i="2"/>
  <c r="FN36" i="2"/>
  <c r="FP36" i="2"/>
  <c r="FN37" i="2"/>
  <c r="FP37" i="2"/>
  <c r="FN38" i="2"/>
  <c r="FP38" i="2"/>
  <c r="FN39" i="2"/>
  <c r="FP39" i="2"/>
  <c r="FN40" i="2"/>
  <c r="FP40" i="2"/>
  <c r="FN41" i="2"/>
  <c r="FP41" i="2"/>
  <c r="FN42" i="2"/>
  <c r="FP42" i="2"/>
  <c r="FN43" i="2"/>
  <c r="FP43" i="2"/>
  <c r="FN44" i="2"/>
  <c r="FP44" i="2"/>
  <c r="FN45" i="2"/>
  <c r="FP45" i="2"/>
  <c r="FN46" i="2"/>
  <c r="FP46" i="2"/>
  <c r="FN47" i="2"/>
  <c r="FP47" i="2"/>
  <c r="FN48" i="2"/>
  <c r="FP48" i="2"/>
  <c r="FN49" i="2"/>
  <c r="FP49" i="2"/>
  <c r="FN50" i="2"/>
  <c r="FP50" i="2"/>
  <c r="FN51" i="2"/>
  <c r="FP51" i="2"/>
  <c r="FN52" i="2"/>
  <c r="FP52" i="2"/>
  <c r="FN53" i="2"/>
  <c r="FP53" i="2"/>
  <c r="FN54" i="2"/>
  <c r="FP54" i="2"/>
  <c r="FN55" i="2"/>
  <c r="FP55" i="2"/>
  <c r="FN56" i="2"/>
  <c r="FP56" i="2"/>
  <c r="FN57" i="2"/>
  <c r="FP57" i="2"/>
  <c r="FN58" i="2"/>
  <c r="FP58" i="2"/>
  <c r="FN59" i="2"/>
  <c r="FP59" i="2"/>
  <c r="FN60" i="2"/>
  <c r="FP60" i="2"/>
  <c r="FN61" i="2"/>
  <c r="FP61" i="2"/>
  <c r="FN62" i="2"/>
  <c r="FP62" i="2"/>
  <c r="FN63" i="2"/>
  <c r="FP63" i="2"/>
  <c r="FN64" i="2"/>
  <c r="FP64" i="2"/>
  <c r="FN65" i="2"/>
  <c r="FP65" i="2"/>
  <c r="FN66" i="2"/>
  <c r="FP66" i="2"/>
  <c r="FN67" i="2"/>
  <c r="FP67" i="2"/>
  <c r="FN68" i="2"/>
  <c r="FP68" i="2"/>
  <c r="FN69" i="2"/>
  <c r="FP69" i="2"/>
  <c r="FN70" i="2"/>
  <c r="FP70" i="2"/>
  <c r="FN71" i="2"/>
  <c r="FP71" i="2"/>
  <c r="FN72" i="2"/>
  <c r="FP72" i="2"/>
  <c r="FN73" i="2"/>
  <c r="FP73" i="2"/>
  <c r="FN74" i="2"/>
  <c r="FP74" i="2"/>
  <c r="FN75" i="2"/>
  <c r="FP75" i="2"/>
  <c r="FN76" i="2"/>
  <c r="FP76" i="2"/>
  <c r="FN77" i="2"/>
  <c r="FP77" i="2"/>
  <c r="FN78" i="2"/>
  <c r="FP78" i="2"/>
  <c r="FN79" i="2"/>
  <c r="FP79" i="2"/>
  <c r="FN80" i="2"/>
  <c r="FP80" i="2"/>
  <c r="FN81" i="2"/>
  <c r="FP81" i="2"/>
  <c r="FN82" i="2"/>
  <c r="FP82" i="2"/>
  <c r="FN83" i="2"/>
  <c r="FP83" i="2"/>
  <c r="FN84" i="2"/>
  <c r="FP84" i="2"/>
  <c r="FN85" i="2"/>
  <c r="FP85" i="2"/>
  <c r="FN86" i="2"/>
  <c r="FP86" i="2"/>
  <c r="FN87" i="2"/>
  <c r="FP87" i="2"/>
  <c r="FN88" i="2"/>
  <c r="FP88" i="2"/>
  <c r="FN89" i="2"/>
  <c r="FP89" i="2"/>
  <c r="FN90" i="2"/>
  <c r="FP90" i="2"/>
  <c r="FN91" i="2"/>
  <c r="FP91" i="2"/>
  <c r="FN92" i="2"/>
  <c r="FP92" i="2"/>
  <c r="FN93" i="2"/>
  <c r="FP93" i="2"/>
  <c r="FN94" i="2"/>
  <c r="FP94" i="2"/>
  <c r="FN95" i="2"/>
  <c r="FP95" i="2"/>
  <c r="FN96" i="2"/>
  <c r="FP96" i="2"/>
  <c r="FN97" i="2"/>
  <c r="FP97" i="2"/>
  <c r="FN98" i="2"/>
  <c r="FP98" i="2"/>
  <c r="FN99" i="2"/>
  <c r="FP99" i="2"/>
  <c r="FN100" i="2"/>
  <c r="FP100" i="2"/>
  <c r="FN101" i="2"/>
  <c r="FP101" i="2"/>
  <c r="FN102" i="2"/>
  <c r="FP102" i="2"/>
  <c r="FN103" i="2"/>
  <c r="FP103" i="2"/>
  <c r="FN104" i="2"/>
  <c r="FP104" i="2"/>
  <c r="FN105" i="2"/>
  <c r="FP105" i="2"/>
  <c r="FN106" i="2"/>
  <c r="FP106" i="2"/>
  <c r="FN107" i="2"/>
  <c r="FP107" i="2"/>
  <c r="FN108" i="2"/>
  <c r="FP108" i="2"/>
  <c r="FN109" i="2"/>
  <c r="FP109" i="2"/>
  <c r="FN110" i="2"/>
  <c r="FP110" i="2"/>
  <c r="FN111" i="2"/>
  <c r="FP111" i="2"/>
  <c r="FN112" i="2"/>
  <c r="FP112" i="2"/>
  <c r="FN113" i="2"/>
  <c r="FP113" i="2"/>
  <c r="FN114" i="2"/>
  <c r="FP114" i="2"/>
  <c r="FN115" i="2"/>
  <c r="FP115" i="2"/>
  <c r="FN116" i="2"/>
  <c r="FP116" i="2"/>
  <c r="FN117" i="2"/>
  <c r="FP117" i="2"/>
  <c r="FN118" i="2"/>
  <c r="FP118" i="2"/>
  <c r="FN119" i="2"/>
  <c r="FP119" i="2"/>
  <c r="FN120" i="2"/>
  <c r="FP120" i="2"/>
  <c r="FN121" i="2"/>
  <c r="FP121" i="2"/>
  <c r="FN122" i="2"/>
  <c r="FP122" i="2"/>
  <c r="FN123" i="2"/>
  <c r="FP123" i="2"/>
  <c r="FN124" i="2"/>
  <c r="FP124" i="2"/>
  <c r="FN125" i="2"/>
  <c r="FP125" i="2"/>
  <c r="FN126" i="2"/>
  <c r="FP126" i="2"/>
  <c r="FN127" i="2"/>
  <c r="FP127" i="2"/>
  <c r="FN128" i="2"/>
  <c r="FP128" i="2"/>
  <c r="FN129" i="2"/>
  <c r="FP129" i="2"/>
  <c r="FN130" i="2"/>
  <c r="FP130" i="2"/>
  <c r="FN131" i="2"/>
  <c r="FP131" i="2"/>
  <c r="FN132" i="2"/>
  <c r="FP132" i="2"/>
  <c r="FN133" i="2"/>
  <c r="FP133" i="2"/>
  <c r="FN134" i="2"/>
  <c r="FP134" i="2"/>
  <c r="FN135" i="2"/>
  <c r="FP135" i="2"/>
  <c r="FN136" i="2"/>
  <c r="FP136" i="2"/>
  <c r="FN137" i="2"/>
  <c r="FP137" i="2"/>
  <c r="FN138" i="2"/>
  <c r="FP138" i="2"/>
  <c r="FN139" i="2"/>
  <c r="FP139" i="2"/>
  <c r="FN140" i="2"/>
  <c r="FP140" i="2"/>
  <c r="FN141" i="2"/>
  <c r="FP141" i="2"/>
  <c r="FN142" i="2"/>
  <c r="FP142" i="2"/>
  <c r="FN143" i="2"/>
  <c r="FP143" i="2"/>
  <c r="FN144" i="2"/>
  <c r="FP144" i="2"/>
  <c r="FN145" i="2"/>
  <c r="FP145" i="2"/>
  <c r="FN146" i="2"/>
  <c r="FP146" i="2"/>
  <c r="FN147" i="2"/>
  <c r="FP147" i="2"/>
  <c r="FN148" i="2"/>
  <c r="FP148" i="2"/>
  <c r="FN149" i="2"/>
  <c r="FP149" i="2"/>
  <c r="FN150" i="2"/>
  <c r="FP150" i="2"/>
  <c r="FN151" i="2"/>
  <c r="FP151" i="2"/>
  <c r="FN152" i="2"/>
  <c r="FP152" i="2"/>
  <c r="FN153" i="2"/>
  <c r="FP153" i="2"/>
  <c r="FN154" i="2"/>
  <c r="FP154" i="2"/>
  <c r="FP4" i="2"/>
  <c r="FN4" i="2"/>
  <c r="F590" i="16"/>
  <c r="F591" i="16"/>
  <c r="F592" i="16"/>
  <c r="F593" i="16"/>
  <c r="F594" i="16"/>
  <c r="F595" i="16"/>
  <c r="F596" i="16"/>
  <c r="F597" i="16"/>
  <c r="F598" i="16"/>
  <c r="F599" i="16"/>
  <c r="F600" i="16"/>
  <c r="F601" i="16"/>
  <c r="E590" i="16"/>
  <c r="E591" i="16"/>
  <c r="E592" i="16"/>
  <c r="E593" i="16"/>
  <c r="E594" i="16"/>
  <c r="E595" i="16"/>
  <c r="E596" i="16"/>
  <c r="E597" i="16"/>
  <c r="E598" i="16"/>
  <c r="E599" i="16"/>
  <c r="E600" i="16"/>
  <c r="E601" i="16"/>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AG18" i="24"/>
  <c r="AH18" i="24"/>
  <c r="AI18" i="24"/>
  <c r="AJ18" i="24"/>
  <c r="AK18" i="24"/>
  <c r="AL18" i="24"/>
  <c r="AM18" i="24"/>
  <c r="AN18" i="24"/>
  <c r="AO18" i="24"/>
  <c r="AP18" i="24"/>
  <c r="AQ18" i="24"/>
  <c r="AR18" i="24"/>
  <c r="AS18" i="24"/>
  <c r="AT18" i="24"/>
  <c r="AU18" i="24"/>
  <c r="AV18" i="24"/>
  <c r="CU18" i="24"/>
  <c r="CV18" i="24"/>
  <c r="FJ5" i="2"/>
  <c r="FL5" i="2"/>
  <c r="FJ6" i="2"/>
  <c r="FL6" i="2"/>
  <c r="FJ7" i="2"/>
  <c r="FL7" i="2"/>
  <c r="FJ8" i="2"/>
  <c r="FL8" i="2"/>
  <c r="FJ9" i="2"/>
  <c r="FL9" i="2"/>
  <c r="FJ10" i="2"/>
  <c r="FL10" i="2"/>
  <c r="FJ11" i="2"/>
  <c r="FL11" i="2"/>
  <c r="FJ12" i="2"/>
  <c r="FL12" i="2"/>
  <c r="FJ13" i="2"/>
  <c r="FL13" i="2"/>
  <c r="FJ14" i="2"/>
  <c r="FL14" i="2"/>
  <c r="FJ15" i="2"/>
  <c r="FL15" i="2"/>
  <c r="FJ16" i="2"/>
  <c r="FL16" i="2"/>
  <c r="FJ17" i="2"/>
  <c r="FL17" i="2"/>
  <c r="FJ18" i="2"/>
  <c r="FL18" i="2"/>
  <c r="FJ19" i="2"/>
  <c r="FL19" i="2"/>
  <c r="FJ20" i="2"/>
  <c r="FL20" i="2"/>
  <c r="FJ21" i="2"/>
  <c r="FL21" i="2"/>
  <c r="FJ22" i="2"/>
  <c r="FL22" i="2"/>
  <c r="FJ23" i="2"/>
  <c r="FL23" i="2"/>
  <c r="FJ24" i="2"/>
  <c r="FL24" i="2"/>
  <c r="FJ25" i="2"/>
  <c r="FL25" i="2"/>
  <c r="FJ26" i="2"/>
  <c r="FL26" i="2"/>
  <c r="FJ27" i="2"/>
  <c r="FL27" i="2"/>
  <c r="FJ28" i="2"/>
  <c r="FL28" i="2"/>
  <c r="FJ29" i="2"/>
  <c r="FL29" i="2"/>
  <c r="FJ30" i="2"/>
  <c r="FL30" i="2"/>
  <c r="FJ31" i="2"/>
  <c r="FL31" i="2"/>
  <c r="FJ32" i="2"/>
  <c r="FL32" i="2"/>
  <c r="FJ33" i="2"/>
  <c r="FL33" i="2"/>
  <c r="FJ34" i="2"/>
  <c r="FL34" i="2"/>
  <c r="FJ35" i="2"/>
  <c r="FL35" i="2"/>
  <c r="FJ36" i="2"/>
  <c r="FL36" i="2"/>
  <c r="FJ37" i="2"/>
  <c r="FL37" i="2"/>
  <c r="FJ38" i="2"/>
  <c r="FL38" i="2"/>
  <c r="FJ39" i="2"/>
  <c r="FL39" i="2"/>
  <c r="FJ40" i="2"/>
  <c r="FL40" i="2"/>
  <c r="FJ41" i="2"/>
  <c r="FL41" i="2"/>
  <c r="FJ42" i="2"/>
  <c r="FL42" i="2"/>
  <c r="FJ43" i="2"/>
  <c r="FL43" i="2"/>
  <c r="FJ44" i="2"/>
  <c r="FL44" i="2"/>
  <c r="FJ45" i="2"/>
  <c r="FL45" i="2"/>
  <c r="FJ46" i="2"/>
  <c r="FL46" i="2"/>
  <c r="FJ47" i="2"/>
  <c r="FL47" i="2"/>
  <c r="FJ48" i="2"/>
  <c r="FL48" i="2"/>
  <c r="FJ49" i="2"/>
  <c r="FL49" i="2"/>
  <c r="FJ50" i="2"/>
  <c r="FL50" i="2"/>
  <c r="FJ51" i="2"/>
  <c r="FL51" i="2"/>
  <c r="FJ52" i="2"/>
  <c r="FL52" i="2"/>
  <c r="FJ53" i="2"/>
  <c r="FL53" i="2"/>
  <c r="FJ54" i="2"/>
  <c r="FL54" i="2"/>
  <c r="FJ55" i="2"/>
  <c r="FL55" i="2"/>
  <c r="FJ56" i="2"/>
  <c r="FL56" i="2"/>
  <c r="FJ57" i="2"/>
  <c r="FL57" i="2"/>
  <c r="FJ58" i="2"/>
  <c r="FL58" i="2"/>
  <c r="FJ59" i="2"/>
  <c r="FL59" i="2"/>
  <c r="FJ60" i="2"/>
  <c r="FL60" i="2"/>
  <c r="FJ61" i="2"/>
  <c r="FL61" i="2"/>
  <c r="FJ62" i="2"/>
  <c r="FL62" i="2"/>
  <c r="FJ63" i="2"/>
  <c r="FL63" i="2"/>
  <c r="FJ64" i="2"/>
  <c r="FL64" i="2"/>
  <c r="FJ65" i="2"/>
  <c r="FL65" i="2"/>
  <c r="FJ66" i="2"/>
  <c r="FL66" i="2"/>
  <c r="FJ67" i="2"/>
  <c r="FL67" i="2"/>
  <c r="FJ68" i="2"/>
  <c r="FL68" i="2"/>
  <c r="FJ69" i="2"/>
  <c r="FL69" i="2"/>
  <c r="FJ70" i="2"/>
  <c r="FL70" i="2"/>
  <c r="FJ71" i="2"/>
  <c r="FL71" i="2"/>
  <c r="FJ72" i="2"/>
  <c r="FL72" i="2"/>
  <c r="FJ73" i="2"/>
  <c r="FL73" i="2"/>
  <c r="FJ74" i="2"/>
  <c r="FL74" i="2"/>
  <c r="FJ75" i="2"/>
  <c r="FL75" i="2"/>
  <c r="FJ76" i="2"/>
  <c r="FL76" i="2"/>
  <c r="FJ77" i="2"/>
  <c r="FL77" i="2"/>
  <c r="FJ78" i="2"/>
  <c r="FL78" i="2"/>
  <c r="FJ79" i="2"/>
  <c r="FL79" i="2"/>
  <c r="FJ80" i="2"/>
  <c r="FL80" i="2"/>
  <c r="FJ81" i="2"/>
  <c r="FL81" i="2"/>
  <c r="FJ82" i="2"/>
  <c r="FL82" i="2"/>
  <c r="FJ83" i="2"/>
  <c r="FL83" i="2"/>
  <c r="FJ84" i="2"/>
  <c r="FL84" i="2"/>
  <c r="FJ85" i="2"/>
  <c r="FL85" i="2"/>
  <c r="FJ86" i="2"/>
  <c r="FL86" i="2"/>
  <c r="FJ87" i="2"/>
  <c r="FL87" i="2"/>
  <c r="FJ88" i="2"/>
  <c r="FL88" i="2"/>
  <c r="FJ89" i="2"/>
  <c r="FL89" i="2"/>
  <c r="FJ90" i="2"/>
  <c r="FL90" i="2"/>
  <c r="FJ91" i="2"/>
  <c r="FL91" i="2"/>
  <c r="FJ92" i="2"/>
  <c r="FL92" i="2"/>
  <c r="FJ93" i="2"/>
  <c r="FL93" i="2"/>
  <c r="FJ94" i="2"/>
  <c r="FL94" i="2"/>
  <c r="FJ95" i="2"/>
  <c r="FL95" i="2"/>
  <c r="FJ96" i="2"/>
  <c r="FL96" i="2"/>
  <c r="FJ97" i="2"/>
  <c r="FL97" i="2"/>
  <c r="FJ98" i="2"/>
  <c r="FL98" i="2"/>
  <c r="FJ99" i="2"/>
  <c r="FL99" i="2"/>
  <c r="FJ100" i="2"/>
  <c r="FL100" i="2"/>
  <c r="FJ101" i="2"/>
  <c r="FL101" i="2"/>
  <c r="FJ102" i="2"/>
  <c r="FL102" i="2"/>
  <c r="FJ103" i="2"/>
  <c r="FL103" i="2"/>
  <c r="FJ104" i="2"/>
  <c r="FL104" i="2"/>
  <c r="FJ105" i="2"/>
  <c r="FL105" i="2"/>
  <c r="FJ106" i="2"/>
  <c r="FL106" i="2"/>
  <c r="FJ107" i="2"/>
  <c r="FL107" i="2"/>
  <c r="FJ108" i="2"/>
  <c r="FL108" i="2"/>
  <c r="FJ109" i="2"/>
  <c r="FL109" i="2"/>
  <c r="FJ110" i="2"/>
  <c r="FL110" i="2"/>
  <c r="FJ111" i="2"/>
  <c r="FL111" i="2"/>
  <c r="FJ112" i="2"/>
  <c r="FL112" i="2"/>
  <c r="FJ113" i="2"/>
  <c r="FL113" i="2"/>
  <c r="FJ114" i="2"/>
  <c r="FL114" i="2"/>
  <c r="FJ115" i="2"/>
  <c r="FL115" i="2"/>
  <c r="FJ116" i="2"/>
  <c r="FL116" i="2"/>
  <c r="FJ117" i="2"/>
  <c r="FL117" i="2"/>
  <c r="FJ118" i="2"/>
  <c r="FL118" i="2"/>
  <c r="FJ119" i="2"/>
  <c r="FL119" i="2"/>
  <c r="FJ120" i="2"/>
  <c r="FL120" i="2"/>
  <c r="FJ121" i="2"/>
  <c r="FL121" i="2"/>
  <c r="FJ122" i="2"/>
  <c r="FL122" i="2"/>
  <c r="FJ123" i="2"/>
  <c r="FL123" i="2"/>
  <c r="FJ124" i="2"/>
  <c r="FL124" i="2"/>
  <c r="FJ125" i="2"/>
  <c r="FL125" i="2"/>
  <c r="FJ126" i="2"/>
  <c r="FL126" i="2"/>
  <c r="FJ127" i="2"/>
  <c r="FL127" i="2"/>
  <c r="FJ128" i="2"/>
  <c r="FL128" i="2"/>
  <c r="FJ129" i="2"/>
  <c r="FL129" i="2"/>
  <c r="FJ130" i="2"/>
  <c r="FL130" i="2"/>
  <c r="FJ131" i="2"/>
  <c r="FL131" i="2"/>
  <c r="FJ132" i="2"/>
  <c r="FL132" i="2"/>
  <c r="FJ133" i="2"/>
  <c r="FL133" i="2"/>
  <c r="FJ134" i="2"/>
  <c r="FL134" i="2"/>
  <c r="FJ135" i="2"/>
  <c r="FL135" i="2"/>
  <c r="FJ136" i="2"/>
  <c r="FL136" i="2"/>
  <c r="FJ137" i="2"/>
  <c r="FL137" i="2"/>
  <c r="FJ138" i="2"/>
  <c r="FL138" i="2"/>
  <c r="FJ139" i="2"/>
  <c r="FL139" i="2"/>
  <c r="FJ140" i="2"/>
  <c r="FL140" i="2"/>
  <c r="FJ141" i="2"/>
  <c r="FL141" i="2"/>
  <c r="FJ142" i="2"/>
  <c r="FL142" i="2"/>
  <c r="FJ143" i="2"/>
  <c r="FL143" i="2"/>
  <c r="FJ144" i="2"/>
  <c r="FL144" i="2"/>
  <c r="FJ145" i="2"/>
  <c r="FL145" i="2"/>
  <c r="FJ146" i="2"/>
  <c r="FL146" i="2"/>
  <c r="FJ147" i="2"/>
  <c r="FL147" i="2"/>
  <c r="FJ148" i="2"/>
  <c r="FL148" i="2"/>
  <c r="FJ149" i="2"/>
  <c r="FL149" i="2"/>
  <c r="FJ150" i="2"/>
  <c r="FL150" i="2"/>
  <c r="FJ151" i="2"/>
  <c r="FL151" i="2"/>
  <c r="FJ152" i="2"/>
  <c r="FL152" i="2"/>
  <c r="FJ153" i="2"/>
  <c r="FL153" i="2"/>
  <c r="FJ154" i="2"/>
  <c r="FL154" i="2"/>
  <c r="FL4" i="2"/>
  <c r="FJ4" i="2"/>
  <c r="F578" i="16"/>
  <c r="F579" i="16"/>
  <c r="F580" i="16"/>
  <c r="F581" i="16"/>
  <c r="F582" i="16"/>
  <c r="F583" i="16"/>
  <c r="F584" i="16"/>
  <c r="F585" i="16"/>
  <c r="F586" i="16"/>
  <c r="F587" i="16"/>
  <c r="F588" i="16"/>
  <c r="F589" i="16"/>
  <c r="E578" i="16"/>
  <c r="E579" i="16"/>
  <c r="E580" i="16"/>
  <c r="E581" i="16"/>
  <c r="E582" i="16"/>
  <c r="E583" i="16"/>
  <c r="E584" i="16"/>
  <c r="E585" i="16"/>
  <c r="E586" i="16"/>
  <c r="E587" i="16"/>
  <c r="E588" i="16"/>
  <c r="E589" i="16"/>
  <c r="FH5" i="2"/>
  <c r="FH6" i="2"/>
  <c r="FH7" i="2"/>
  <c r="FH8" i="2"/>
  <c r="FH9" i="2"/>
  <c r="FH10" i="2"/>
  <c r="FH11" i="2"/>
  <c r="FH12" i="2"/>
  <c r="FH13" i="2"/>
  <c r="FH14" i="2"/>
  <c r="FH15" i="2"/>
  <c r="FH16" i="2"/>
  <c r="FH17" i="2"/>
  <c r="FH18" i="2"/>
  <c r="FH19" i="2"/>
  <c r="FH20" i="2"/>
  <c r="FH21" i="2"/>
  <c r="FH22" i="2"/>
  <c r="FH23" i="2"/>
  <c r="FH24" i="2"/>
  <c r="FH25" i="2"/>
  <c r="FH26" i="2"/>
  <c r="FH27" i="2"/>
  <c r="FH28" i="2"/>
  <c r="FH29" i="2"/>
  <c r="FH30" i="2"/>
  <c r="FH31" i="2"/>
  <c r="FH32" i="2"/>
  <c r="FH33" i="2"/>
  <c r="FH34" i="2"/>
  <c r="FH35" i="2"/>
  <c r="FH36" i="2"/>
  <c r="FH37" i="2"/>
  <c r="FH38" i="2"/>
  <c r="FH39" i="2"/>
  <c r="FH40" i="2"/>
  <c r="FH41" i="2"/>
  <c r="FH42" i="2"/>
  <c r="FH43" i="2"/>
  <c r="FH44" i="2"/>
  <c r="FH45" i="2"/>
  <c r="FH46" i="2"/>
  <c r="FH47" i="2"/>
  <c r="FH48" i="2"/>
  <c r="FH49" i="2"/>
  <c r="FH50" i="2"/>
  <c r="FH51" i="2"/>
  <c r="FH52" i="2"/>
  <c r="FH53" i="2"/>
  <c r="FH54" i="2"/>
  <c r="FH55" i="2"/>
  <c r="FH56" i="2"/>
  <c r="FH57" i="2"/>
  <c r="FH58" i="2"/>
  <c r="FH59" i="2"/>
  <c r="FH60" i="2"/>
  <c r="FH61" i="2"/>
  <c r="FH62" i="2"/>
  <c r="FH63" i="2"/>
  <c r="FH64" i="2"/>
  <c r="FH65" i="2"/>
  <c r="FH66" i="2"/>
  <c r="FH67" i="2"/>
  <c r="FH68" i="2"/>
  <c r="FH69" i="2"/>
  <c r="FH70" i="2"/>
  <c r="FH71" i="2"/>
  <c r="FH72" i="2"/>
  <c r="FH73" i="2"/>
  <c r="FH74" i="2"/>
  <c r="FH75" i="2"/>
  <c r="FH76" i="2"/>
  <c r="FH77" i="2"/>
  <c r="FH78" i="2"/>
  <c r="FH79" i="2"/>
  <c r="FH80" i="2"/>
  <c r="FH81" i="2"/>
  <c r="FH82" i="2"/>
  <c r="FH83" i="2"/>
  <c r="FH84" i="2"/>
  <c r="FH85" i="2"/>
  <c r="FH86" i="2"/>
  <c r="FH87" i="2"/>
  <c r="FH88" i="2"/>
  <c r="FH89" i="2"/>
  <c r="FH90" i="2"/>
  <c r="FH91" i="2"/>
  <c r="FH92" i="2"/>
  <c r="FH93" i="2"/>
  <c r="FH94" i="2"/>
  <c r="FH95" i="2"/>
  <c r="FH96" i="2"/>
  <c r="FH97" i="2"/>
  <c r="FH98" i="2"/>
  <c r="FH99" i="2"/>
  <c r="FH100" i="2"/>
  <c r="FH101" i="2"/>
  <c r="FH102" i="2"/>
  <c r="FH103" i="2"/>
  <c r="FH104" i="2"/>
  <c r="FH105" i="2"/>
  <c r="FH106" i="2"/>
  <c r="FH107" i="2"/>
  <c r="FH108" i="2"/>
  <c r="FH109" i="2"/>
  <c r="FH110" i="2"/>
  <c r="FH111" i="2"/>
  <c r="FH112" i="2"/>
  <c r="FH113" i="2"/>
  <c r="FH114" i="2"/>
  <c r="FH115" i="2"/>
  <c r="FH116" i="2"/>
  <c r="FH117" i="2"/>
  <c r="FH118" i="2"/>
  <c r="FH119" i="2"/>
  <c r="FH120" i="2"/>
  <c r="FH121" i="2"/>
  <c r="FH122" i="2"/>
  <c r="FH123" i="2"/>
  <c r="FH124" i="2"/>
  <c r="FH125" i="2"/>
  <c r="FH126" i="2"/>
  <c r="FH127" i="2"/>
  <c r="FH128" i="2"/>
  <c r="FH129" i="2"/>
  <c r="FH130" i="2"/>
  <c r="FH131" i="2"/>
  <c r="FH132" i="2"/>
  <c r="FH133" i="2"/>
  <c r="FH134" i="2"/>
  <c r="FH135" i="2"/>
  <c r="FH136" i="2"/>
  <c r="FH137" i="2"/>
  <c r="FH138" i="2"/>
  <c r="FH139" i="2"/>
  <c r="FH140" i="2"/>
  <c r="FH141" i="2"/>
  <c r="FH142" i="2"/>
  <c r="FH143" i="2"/>
  <c r="FH144" i="2"/>
  <c r="FH145" i="2"/>
  <c r="FH146" i="2"/>
  <c r="FH147" i="2"/>
  <c r="FH148" i="2"/>
  <c r="FH149" i="2"/>
  <c r="FH150" i="2"/>
  <c r="FH151" i="2"/>
  <c r="FH152" i="2"/>
  <c r="FH153" i="2"/>
  <c r="FH154" i="2"/>
  <c r="FH4" i="2"/>
  <c r="FF5" i="2"/>
  <c r="FF6" i="2"/>
  <c r="FF7" i="2"/>
  <c r="FF8" i="2"/>
  <c r="FF9" i="2"/>
  <c r="FF10" i="2"/>
  <c r="FF11" i="2"/>
  <c r="FF12" i="2"/>
  <c r="FF13" i="2"/>
  <c r="FF14" i="2"/>
  <c r="FF15" i="2"/>
  <c r="FF16" i="2"/>
  <c r="FF17" i="2"/>
  <c r="FF18" i="2"/>
  <c r="FF19" i="2"/>
  <c r="FF20" i="2"/>
  <c r="FF21" i="2"/>
  <c r="FF22" i="2"/>
  <c r="FF23" i="2"/>
  <c r="FF24" i="2"/>
  <c r="FF25" i="2"/>
  <c r="FF26" i="2"/>
  <c r="FF27" i="2"/>
  <c r="FF28" i="2"/>
  <c r="FF29" i="2"/>
  <c r="FF30" i="2"/>
  <c r="FF31" i="2"/>
  <c r="FF32" i="2"/>
  <c r="FF33" i="2"/>
  <c r="FF34" i="2"/>
  <c r="FF35" i="2"/>
  <c r="FF36" i="2"/>
  <c r="FF37" i="2"/>
  <c r="FF38" i="2"/>
  <c r="FF39" i="2"/>
  <c r="FF40" i="2"/>
  <c r="FF41" i="2"/>
  <c r="FF42" i="2"/>
  <c r="FF43" i="2"/>
  <c r="FF44" i="2"/>
  <c r="FF45" i="2"/>
  <c r="FF46" i="2"/>
  <c r="FF47" i="2"/>
  <c r="FF48" i="2"/>
  <c r="FF49" i="2"/>
  <c r="FF50" i="2"/>
  <c r="FF51" i="2"/>
  <c r="FF52" i="2"/>
  <c r="FF53" i="2"/>
  <c r="FF54" i="2"/>
  <c r="FF55" i="2"/>
  <c r="FF56" i="2"/>
  <c r="FF57" i="2"/>
  <c r="FF58" i="2"/>
  <c r="FF59" i="2"/>
  <c r="FF60" i="2"/>
  <c r="FF61" i="2"/>
  <c r="FF62" i="2"/>
  <c r="FF63" i="2"/>
  <c r="FF64" i="2"/>
  <c r="FF65" i="2"/>
  <c r="FF66" i="2"/>
  <c r="FF67" i="2"/>
  <c r="FF68" i="2"/>
  <c r="FF69" i="2"/>
  <c r="FF70" i="2"/>
  <c r="FF71" i="2"/>
  <c r="FF72" i="2"/>
  <c r="FF73" i="2"/>
  <c r="FF74" i="2"/>
  <c r="FF75" i="2"/>
  <c r="FF76" i="2"/>
  <c r="FF77" i="2"/>
  <c r="FF78" i="2"/>
  <c r="FF79" i="2"/>
  <c r="FF80" i="2"/>
  <c r="FF81" i="2"/>
  <c r="FF82" i="2"/>
  <c r="FF83" i="2"/>
  <c r="FF84" i="2"/>
  <c r="FF85" i="2"/>
  <c r="FF86" i="2"/>
  <c r="FF87" i="2"/>
  <c r="FF88" i="2"/>
  <c r="FF89" i="2"/>
  <c r="FF90" i="2"/>
  <c r="FF91" i="2"/>
  <c r="FF92" i="2"/>
  <c r="FF93" i="2"/>
  <c r="FF94" i="2"/>
  <c r="FF95" i="2"/>
  <c r="FF96" i="2"/>
  <c r="FF97" i="2"/>
  <c r="FF98" i="2"/>
  <c r="FF99" i="2"/>
  <c r="FF100" i="2"/>
  <c r="FF101" i="2"/>
  <c r="FF102" i="2"/>
  <c r="FF103" i="2"/>
  <c r="FF104" i="2"/>
  <c r="FF105" i="2"/>
  <c r="FF106" i="2"/>
  <c r="FF107" i="2"/>
  <c r="FF108" i="2"/>
  <c r="FF109" i="2"/>
  <c r="FF110" i="2"/>
  <c r="FF111" i="2"/>
  <c r="FF112" i="2"/>
  <c r="FF113" i="2"/>
  <c r="FF114" i="2"/>
  <c r="FF115" i="2"/>
  <c r="FF116" i="2"/>
  <c r="FF117" i="2"/>
  <c r="FF118" i="2"/>
  <c r="FF119" i="2"/>
  <c r="FF120" i="2"/>
  <c r="FF121" i="2"/>
  <c r="FF122" i="2"/>
  <c r="FF123" i="2"/>
  <c r="FF124" i="2"/>
  <c r="FF125" i="2"/>
  <c r="FF126" i="2"/>
  <c r="FF127" i="2"/>
  <c r="FF128" i="2"/>
  <c r="FF129" i="2"/>
  <c r="FF130" i="2"/>
  <c r="FF131" i="2"/>
  <c r="FF132" i="2"/>
  <c r="FF133" i="2"/>
  <c r="FF134" i="2"/>
  <c r="FF135" i="2"/>
  <c r="FF136" i="2"/>
  <c r="FF137" i="2"/>
  <c r="FF138" i="2"/>
  <c r="FF139" i="2"/>
  <c r="FF140" i="2"/>
  <c r="FF141" i="2"/>
  <c r="FF142" i="2"/>
  <c r="FF143" i="2"/>
  <c r="FF144" i="2"/>
  <c r="FF145" i="2"/>
  <c r="FF146" i="2"/>
  <c r="FF147" i="2"/>
  <c r="FF148" i="2"/>
  <c r="FF149" i="2"/>
  <c r="FF150" i="2"/>
  <c r="FF151" i="2"/>
  <c r="FF152" i="2"/>
  <c r="FF153" i="2"/>
  <c r="FF154" i="2"/>
  <c r="FF4" i="2"/>
  <c r="CS18" i="24" l="1"/>
  <c r="CT18" i="24"/>
  <c r="F566" i="16"/>
  <c r="F567" i="16"/>
  <c r="F568" i="16"/>
  <c r="F569" i="16"/>
  <c r="F570" i="16"/>
  <c r="F571" i="16"/>
  <c r="F572" i="16"/>
  <c r="F573" i="16"/>
  <c r="F574" i="16"/>
  <c r="F575" i="16"/>
  <c r="F576" i="16"/>
  <c r="F577" i="16"/>
  <c r="E566" i="16"/>
  <c r="E567" i="16"/>
  <c r="E568" i="16"/>
  <c r="E569" i="16"/>
  <c r="E570" i="16"/>
  <c r="E571" i="16"/>
  <c r="E572" i="16"/>
  <c r="E573" i="16"/>
  <c r="E574" i="16"/>
  <c r="E575" i="16"/>
  <c r="E576" i="16"/>
  <c r="E577" i="16"/>
  <c r="FB4" i="2"/>
  <c r="FB5" i="2"/>
  <c r="FD5" i="2"/>
  <c r="FB6" i="2"/>
  <c r="FD6" i="2"/>
  <c r="FB7" i="2"/>
  <c r="FD7" i="2"/>
  <c r="FB8" i="2"/>
  <c r="FD8" i="2"/>
  <c r="FB9" i="2"/>
  <c r="FD9" i="2"/>
  <c r="FB10" i="2"/>
  <c r="FD10" i="2"/>
  <c r="FB11" i="2"/>
  <c r="FD11" i="2"/>
  <c r="FB12" i="2"/>
  <c r="FD12" i="2"/>
  <c r="FB13" i="2"/>
  <c r="FD13" i="2"/>
  <c r="FB14" i="2"/>
  <c r="FD14" i="2"/>
  <c r="FB15" i="2"/>
  <c r="FD15" i="2"/>
  <c r="FB16" i="2"/>
  <c r="FD16" i="2"/>
  <c r="FB17" i="2"/>
  <c r="FD17" i="2"/>
  <c r="FB18" i="2"/>
  <c r="FD18" i="2"/>
  <c r="FB19" i="2"/>
  <c r="FD19" i="2"/>
  <c r="FB20" i="2"/>
  <c r="FD20" i="2"/>
  <c r="FB21" i="2"/>
  <c r="FD21" i="2"/>
  <c r="FB22" i="2"/>
  <c r="FD22" i="2"/>
  <c r="FB23" i="2"/>
  <c r="FD23" i="2"/>
  <c r="FB24" i="2"/>
  <c r="FD24" i="2"/>
  <c r="FB25" i="2"/>
  <c r="FD25" i="2"/>
  <c r="FB26" i="2"/>
  <c r="FD26" i="2"/>
  <c r="FB27" i="2"/>
  <c r="FD27" i="2"/>
  <c r="FB28" i="2"/>
  <c r="FD28" i="2"/>
  <c r="FB29" i="2"/>
  <c r="FD29" i="2"/>
  <c r="FB30" i="2"/>
  <c r="FD30" i="2"/>
  <c r="FB31" i="2"/>
  <c r="FD31" i="2"/>
  <c r="FB32" i="2"/>
  <c r="FD32" i="2"/>
  <c r="FB33" i="2"/>
  <c r="FD33" i="2"/>
  <c r="FB34" i="2"/>
  <c r="FD34" i="2"/>
  <c r="FB35" i="2"/>
  <c r="FD35" i="2"/>
  <c r="FB36" i="2"/>
  <c r="FD36" i="2"/>
  <c r="FB37" i="2"/>
  <c r="FD37" i="2"/>
  <c r="FB38" i="2"/>
  <c r="FD38" i="2"/>
  <c r="FB39" i="2"/>
  <c r="FD39" i="2"/>
  <c r="FB40" i="2"/>
  <c r="FD40" i="2"/>
  <c r="FB41" i="2"/>
  <c r="FD41" i="2"/>
  <c r="FB42" i="2"/>
  <c r="FD42" i="2"/>
  <c r="FB43" i="2"/>
  <c r="FD43" i="2"/>
  <c r="FB44" i="2"/>
  <c r="FD44" i="2"/>
  <c r="FB45" i="2"/>
  <c r="FD45" i="2"/>
  <c r="FB46" i="2"/>
  <c r="FD46" i="2"/>
  <c r="FB47" i="2"/>
  <c r="FD47" i="2"/>
  <c r="FB48" i="2"/>
  <c r="FD48" i="2"/>
  <c r="FB49" i="2"/>
  <c r="FD49" i="2"/>
  <c r="FB50" i="2"/>
  <c r="FD50" i="2"/>
  <c r="FB51" i="2"/>
  <c r="FD51" i="2"/>
  <c r="FB52" i="2"/>
  <c r="FD52" i="2"/>
  <c r="FB53" i="2"/>
  <c r="FD53" i="2"/>
  <c r="FB54" i="2"/>
  <c r="FD54" i="2"/>
  <c r="FB55" i="2"/>
  <c r="FD55" i="2"/>
  <c r="FB56" i="2"/>
  <c r="FD56" i="2"/>
  <c r="FB57" i="2"/>
  <c r="FD57" i="2"/>
  <c r="FB58" i="2"/>
  <c r="FD58" i="2"/>
  <c r="FB59" i="2"/>
  <c r="FD59" i="2"/>
  <c r="FB60" i="2"/>
  <c r="FD60" i="2"/>
  <c r="FB61" i="2"/>
  <c r="FD61" i="2"/>
  <c r="FB62" i="2"/>
  <c r="FD62" i="2"/>
  <c r="FB63" i="2"/>
  <c r="FD63" i="2"/>
  <c r="FB64" i="2"/>
  <c r="FD64" i="2"/>
  <c r="FB65" i="2"/>
  <c r="FD65" i="2"/>
  <c r="FB66" i="2"/>
  <c r="FD66" i="2"/>
  <c r="FB67" i="2"/>
  <c r="FD67" i="2"/>
  <c r="FB68" i="2"/>
  <c r="FD68" i="2"/>
  <c r="FB69" i="2"/>
  <c r="FD69" i="2"/>
  <c r="FB70" i="2"/>
  <c r="FD70" i="2"/>
  <c r="FB71" i="2"/>
  <c r="FD71" i="2"/>
  <c r="FB72" i="2"/>
  <c r="FD72" i="2"/>
  <c r="FB73" i="2"/>
  <c r="FD73" i="2"/>
  <c r="FB74" i="2"/>
  <c r="FD74" i="2"/>
  <c r="FB75" i="2"/>
  <c r="FD75" i="2"/>
  <c r="FB76" i="2"/>
  <c r="FD76" i="2"/>
  <c r="FB77" i="2"/>
  <c r="FD77" i="2"/>
  <c r="FB78" i="2"/>
  <c r="FD78" i="2"/>
  <c r="FB79" i="2"/>
  <c r="FD79" i="2"/>
  <c r="FB80" i="2"/>
  <c r="FD80" i="2"/>
  <c r="FB81" i="2"/>
  <c r="FD81" i="2"/>
  <c r="FB82" i="2"/>
  <c r="FD82" i="2"/>
  <c r="FB83" i="2"/>
  <c r="FD83" i="2"/>
  <c r="FB84" i="2"/>
  <c r="FD84" i="2"/>
  <c r="FB85" i="2"/>
  <c r="FD85" i="2"/>
  <c r="FB86" i="2"/>
  <c r="FD86" i="2"/>
  <c r="FB87" i="2"/>
  <c r="FD87" i="2"/>
  <c r="FB88" i="2"/>
  <c r="FD88" i="2"/>
  <c r="FB89" i="2"/>
  <c r="FD89" i="2"/>
  <c r="FB90" i="2"/>
  <c r="FD90" i="2"/>
  <c r="FB91" i="2"/>
  <c r="FD91" i="2"/>
  <c r="FB92" i="2"/>
  <c r="FD92" i="2"/>
  <c r="FB93" i="2"/>
  <c r="FD93" i="2"/>
  <c r="FB94" i="2"/>
  <c r="FD94" i="2"/>
  <c r="FB95" i="2"/>
  <c r="FD95" i="2"/>
  <c r="FB96" i="2"/>
  <c r="FD96" i="2"/>
  <c r="FB97" i="2"/>
  <c r="FD97" i="2"/>
  <c r="FB98" i="2"/>
  <c r="FD98" i="2"/>
  <c r="FB99" i="2"/>
  <c r="FD99" i="2"/>
  <c r="FB100" i="2"/>
  <c r="FD100" i="2"/>
  <c r="FB101" i="2"/>
  <c r="FD101" i="2"/>
  <c r="FB102" i="2"/>
  <c r="FD102" i="2"/>
  <c r="FB103" i="2"/>
  <c r="FD103" i="2"/>
  <c r="FB104" i="2"/>
  <c r="FD104" i="2"/>
  <c r="FB105" i="2"/>
  <c r="FD105" i="2"/>
  <c r="FB106" i="2"/>
  <c r="FD106" i="2"/>
  <c r="FB107" i="2"/>
  <c r="FD107" i="2"/>
  <c r="FB108" i="2"/>
  <c r="FD108" i="2"/>
  <c r="FB109" i="2"/>
  <c r="FD109" i="2"/>
  <c r="FB110" i="2"/>
  <c r="FD110" i="2"/>
  <c r="FB111" i="2"/>
  <c r="FD111" i="2"/>
  <c r="FB112" i="2"/>
  <c r="FD112" i="2"/>
  <c r="FB113" i="2"/>
  <c r="FD113" i="2"/>
  <c r="FB114" i="2"/>
  <c r="FD114" i="2"/>
  <c r="FB115" i="2"/>
  <c r="FD115" i="2"/>
  <c r="FB116" i="2"/>
  <c r="FD116" i="2"/>
  <c r="FB117" i="2"/>
  <c r="FD117" i="2"/>
  <c r="FB118" i="2"/>
  <c r="FD118" i="2"/>
  <c r="FB119" i="2"/>
  <c r="FD119" i="2"/>
  <c r="FB120" i="2"/>
  <c r="FD120" i="2"/>
  <c r="FB121" i="2"/>
  <c r="FD121" i="2"/>
  <c r="FB122" i="2"/>
  <c r="FD122" i="2"/>
  <c r="FB123" i="2"/>
  <c r="FD123" i="2"/>
  <c r="FB124" i="2"/>
  <c r="FD124" i="2"/>
  <c r="FB125" i="2"/>
  <c r="FD125" i="2"/>
  <c r="FB126" i="2"/>
  <c r="FD126" i="2"/>
  <c r="FB127" i="2"/>
  <c r="FD127" i="2"/>
  <c r="FB128" i="2"/>
  <c r="FD128" i="2"/>
  <c r="FB129" i="2"/>
  <c r="FD129" i="2"/>
  <c r="FB130" i="2"/>
  <c r="FD130" i="2"/>
  <c r="FB131" i="2"/>
  <c r="FD131" i="2"/>
  <c r="FB132" i="2"/>
  <c r="FD132" i="2"/>
  <c r="FB133" i="2"/>
  <c r="FD133" i="2"/>
  <c r="FB134" i="2"/>
  <c r="FD134" i="2"/>
  <c r="FB135" i="2"/>
  <c r="FD135" i="2"/>
  <c r="FB136" i="2"/>
  <c r="FD136" i="2"/>
  <c r="FB137" i="2"/>
  <c r="FD137" i="2"/>
  <c r="FB138" i="2"/>
  <c r="FD138" i="2"/>
  <c r="FB139" i="2"/>
  <c r="FD139" i="2"/>
  <c r="FB140" i="2"/>
  <c r="FD140" i="2"/>
  <c r="FB141" i="2"/>
  <c r="FD141" i="2"/>
  <c r="FB142" i="2"/>
  <c r="FD142" i="2"/>
  <c r="FB143" i="2"/>
  <c r="FD143" i="2"/>
  <c r="FB144" i="2"/>
  <c r="FD144" i="2"/>
  <c r="FB145" i="2"/>
  <c r="FD145" i="2"/>
  <c r="FB146" i="2"/>
  <c r="FD146" i="2"/>
  <c r="FB147" i="2"/>
  <c r="FD147" i="2"/>
  <c r="FB148" i="2"/>
  <c r="FD148" i="2"/>
  <c r="FB149" i="2"/>
  <c r="FD149" i="2"/>
  <c r="FB150" i="2"/>
  <c r="FD150" i="2"/>
  <c r="FB151" i="2"/>
  <c r="FD151" i="2"/>
  <c r="FB152" i="2"/>
  <c r="FD152" i="2"/>
  <c r="FB153" i="2"/>
  <c r="FD153" i="2"/>
  <c r="FB154" i="2"/>
  <c r="FD154" i="2"/>
  <c r="FD4" i="2"/>
  <c r="CQ18" i="24" l="1"/>
  <c r="CR18" i="24"/>
  <c r="F554" i="16"/>
  <c r="F555" i="16"/>
  <c r="F556" i="16"/>
  <c r="F557" i="16"/>
  <c r="F558" i="16"/>
  <c r="F559" i="16"/>
  <c r="F560" i="16"/>
  <c r="F561" i="16"/>
  <c r="F562" i="16"/>
  <c r="F563" i="16"/>
  <c r="F564" i="16"/>
  <c r="F565" i="16"/>
  <c r="E554" i="16"/>
  <c r="E555" i="16"/>
  <c r="E556" i="16"/>
  <c r="E557" i="16"/>
  <c r="E558" i="16"/>
  <c r="E559" i="16"/>
  <c r="E560" i="16"/>
  <c r="E561" i="16"/>
  <c r="E562" i="16"/>
  <c r="E563" i="16"/>
  <c r="E564" i="16"/>
  <c r="E565" i="16"/>
  <c r="EX5" i="2"/>
  <c r="EZ5" i="2"/>
  <c r="EX6" i="2"/>
  <c r="EZ6" i="2"/>
  <c r="EX7" i="2"/>
  <c r="EZ7" i="2"/>
  <c r="EX8" i="2"/>
  <c r="EZ8" i="2"/>
  <c r="EX9" i="2"/>
  <c r="EZ9" i="2"/>
  <c r="EX10" i="2"/>
  <c r="EZ10" i="2"/>
  <c r="EX11" i="2"/>
  <c r="EZ11" i="2"/>
  <c r="EX12" i="2"/>
  <c r="EZ12" i="2"/>
  <c r="EX13" i="2"/>
  <c r="EZ13" i="2"/>
  <c r="EX14" i="2"/>
  <c r="EZ14" i="2"/>
  <c r="EX15" i="2"/>
  <c r="EZ15" i="2"/>
  <c r="EX16" i="2"/>
  <c r="EZ16" i="2"/>
  <c r="EX17" i="2"/>
  <c r="EZ17" i="2"/>
  <c r="EX18" i="2"/>
  <c r="EZ18" i="2"/>
  <c r="EX19" i="2"/>
  <c r="EZ19" i="2"/>
  <c r="EX20" i="2"/>
  <c r="EZ20" i="2"/>
  <c r="EX21" i="2"/>
  <c r="EZ21" i="2"/>
  <c r="EX22" i="2"/>
  <c r="EZ22" i="2"/>
  <c r="EX23" i="2"/>
  <c r="EZ23" i="2"/>
  <c r="EX24" i="2"/>
  <c r="EZ24" i="2"/>
  <c r="EX25" i="2"/>
  <c r="EZ25" i="2"/>
  <c r="EX26" i="2"/>
  <c r="EZ26" i="2"/>
  <c r="EX27" i="2"/>
  <c r="EZ27" i="2"/>
  <c r="EX28" i="2"/>
  <c r="EZ28" i="2"/>
  <c r="EX29" i="2"/>
  <c r="EZ29" i="2"/>
  <c r="EX30" i="2"/>
  <c r="EZ30" i="2"/>
  <c r="EX31" i="2"/>
  <c r="EZ31" i="2"/>
  <c r="EX32" i="2"/>
  <c r="EZ32" i="2"/>
  <c r="EX33" i="2"/>
  <c r="EZ33" i="2"/>
  <c r="EX34" i="2"/>
  <c r="EZ34" i="2"/>
  <c r="EX35" i="2"/>
  <c r="EZ35" i="2"/>
  <c r="EX36" i="2"/>
  <c r="EZ36" i="2"/>
  <c r="EX37" i="2"/>
  <c r="EZ37" i="2"/>
  <c r="EX38" i="2"/>
  <c r="EZ38" i="2"/>
  <c r="EX39" i="2"/>
  <c r="EZ39" i="2"/>
  <c r="EX40" i="2"/>
  <c r="EZ40" i="2"/>
  <c r="EX41" i="2"/>
  <c r="EZ41" i="2"/>
  <c r="EX42" i="2"/>
  <c r="EZ42" i="2"/>
  <c r="EX43" i="2"/>
  <c r="EZ43" i="2"/>
  <c r="EX44" i="2"/>
  <c r="EZ44" i="2"/>
  <c r="EX45" i="2"/>
  <c r="EZ45" i="2"/>
  <c r="EX46" i="2"/>
  <c r="EZ46" i="2"/>
  <c r="EX47" i="2"/>
  <c r="EZ47" i="2"/>
  <c r="EX48" i="2"/>
  <c r="EZ48" i="2"/>
  <c r="EX49" i="2"/>
  <c r="EZ49" i="2"/>
  <c r="EX50" i="2"/>
  <c r="EZ50" i="2"/>
  <c r="EX51" i="2"/>
  <c r="EZ51" i="2"/>
  <c r="EX52" i="2"/>
  <c r="EZ52" i="2"/>
  <c r="EX53" i="2"/>
  <c r="EZ53" i="2"/>
  <c r="EX54" i="2"/>
  <c r="EZ54" i="2"/>
  <c r="EX55" i="2"/>
  <c r="EZ55" i="2"/>
  <c r="EX56" i="2"/>
  <c r="EZ56" i="2"/>
  <c r="EX57" i="2"/>
  <c r="EZ57" i="2"/>
  <c r="EX58" i="2"/>
  <c r="EZ58" i="2"/>
  <c r="EX59" i="2"/>
  <c r="EZ59" i="2"/>
  <c r="EX60" i="2"/>
  <c r="EZ60" i="2"/>
  <c r="EX61" i="2"/>
  <c r="EZ61" i="2"/>
  <c r="EX62" i="2"/>
  <c r="EZ62" i="2"/>
  <c r="EX63" i="2"/>
  <c r="EZ63" i="2"/>
  <c r="EX64" i="2"/>
  <c r="EZ64" i="2"/>
  <c r="EX65" i="2"/>
  <c r="EZ65" i="2"/>
  <c r="EX66" i="2"/>
  <c r="EZ66" i="2"/>
  <c r="EX67" i="2"/>
  <c r="EZ67" i="2"/>
  <c r="EX68" i="2"/>
  <c r="EZ68" i="2"/>
  <c r="EX69" i="2"/>
  <c r="EZ69" i="2"/>
  <c r="EX70" i="2"/>
  <c r="EZ70" i="2"/>
  <c r="EX71" i="2"/>
  <c r="EZ71" i="2"/>
  <c r="EX72" i="2"/>
  <c r="EZ72" i="2"/>
  <c r="EX73" i="2"/>
  <c r="EZ73" i="2"/>
  <c r="EX74" i="2"/>
  <c r="EZ74" i="2"/>
  <c r="EX75" i="2"/>
  <c r="EZ75" i="2"/>
  <c r="EX76" i="2"/>
  <c r="EZ76" i="2"/>
  <c r="EX77" i="2"/>
  <c r="EZ77" i="2"/>
  <c r="EX78" i="2"/>
  <c r="EZ78" i="2"/>
  <c r="EX79" i="2"/>
  <c r="EZ79" i="2"/>
  <c r="EX80" i="2"/>
  <c r="EZ80" i="2"/>
  <c r="EX81" i="2"/>
  <c r="EZ81" i="2"/>
  <c r="EX82" i="2"/>
  <c r="EZ82" i="2"/>
  <c r="EX83" i="2"/>
  <c r="EZ83" i="2"/>
  <c r="EX84" i="2"/>
  <c r="EZ84" i="2"/>
  <c r="EX85" i="2"/>
  <c r="EZ85" i="2"/>
  <c r="EX86" i="2"/>
  <c r="EZ86" i="2"/>
  <c r="EX87" i="2"/>
  <c r="EZ87" i="2"/>
  <c r="EX88" i="2"/>
  <c r="EZ88" i="2"/>
  <c r="EX89" i="2"/>
  <c r="EZ89" i="2"/>
  <c r="EX90" i="2"/>
  <c r="EZ90" i="2"/>
  <c r="EX91" i="2"/>
  <c r="EZ91" i="2"/>
  <c r="EX92" i="2"/>
  <c r="EZ92" i="2"/>
  <c r="EX93" i="2"/>
  <c r="EZ93" i="2"/>
  <c r="EX94" i="2"/>
  <c r="EZ94" i="2"/>
  <c r="EX95" i="2"/>
  <c r="EZ95" i="2"/>
  <c r="EX96" i="2"/>
  <c r="EZ96" i="2"/>
  <c r="EX97" i="2"/>
  <c r="EZ97" i="2"/>
  <c r="EX98" i="2"/>
  <c r="EZ98" i="2"/>
  <c r="EX99" i="2"/>
  <c r="EZ99" i="2"/>
  <c r="EX100" i="2"/>
  <c r="EZ100" i="2"/>
  <c r="EX101" i="2"/>
  <c r="EZ101" i="2"/>
  <c r="EX102" i="2"/>
  <c r="EZ102" i="2"/>
  <c r="EX103" i="2"/>
  <c r="EZ103" i="2"/>
  <c r="EX104" i="2"/>
  <c r="EZ104" i="2"/>
  <c r="EX105" i="2"/>
  <c r="EZ105" i="2"/>
  <c r="EX106" i="2"/>
  <c r="EZ106" i="2"/>
  <c r="EX107" i="2"/>
  <c r="EZ107" i="2"/>
  <c r="EX108" i="2"/>
  <c r="EZ108" i="2"/>
  <c r="EX109" i="2"/>
  <c r="EZ109" i="2"/>
  <c r="EX110" i="2"/>
  <c r="EZ110" i="2"/>
  <c r="EX111" i="2"/>
  <c r="EZ111" i="2"/>
  <c r="EX112" i="2"/>
  <c r="EZ112" i="2"/>
  <c r="EX113" i="2"/>
  <c r="EZ113" i="2"/>
  <c r="EX114" i="2"/>
  <c r="EZ114" i="2"/>
  <c r="EX115" i="2"/>
  <c r="EZ115" i="2"/>
  <c r="EX116" i="2"/>
  <c r="EZ116" i="2"/>
  <c r="EX117" i="2"/>
  <c r="EZ117" i="2"/>
  <c r="EX118" i="2"/>
  <c r="EZ118" i="2"/>
  <c r="EX119" i="2"/>
  <c r="EZ119" i="2"/>
  <c r="EX120" i="2"/>
  <c r="EZ120" i="2"/>
  <c r="EX121" i="2"/>
  <c r="EZ121" i="2"/>
  <c r="EX122" i="2"/>
  <c r="EZ122" i="2"/>
  <c r="EX123" i="2"/>
  <c r="EZ123" i="2"/>
  <c r="EX124" i="2"/>
  <c r="EZ124" i="2"/>
  <c r="EX125" i="2"/>
  <c r="EZ125" i="2"/>
  <c r="EX126" i="2"/>
  <c r="EZ126" i="2"/>
  <c r="EX127" i="2"/>
  <c r="EZ127" i="2"/>
  <c r="EX128" i="2"/>
  <c r="EZ128" i="2"/>
  <c r="EX129" i="2"/>
  <c r="EZ129" i="2"/>
  <c r="EX130" i="2"/>
  <c r="EZ130" i="2"/>
  <c r="EX131" i="2"/>
  <c r="EZ131" i="2"/>
  <c r="EX132" i="2"/>
  <c r="EZ132" i="2"/>
  <c r="EX133" i="2"/>
  <c r="EZ133" i="2"/>
  <c r="EX134" i="2"/>
  <c r="EZ134" i="2"/>
  <c r="EX135" i="2"/>
  <c r="EZ135" i="2"/>
  <c r="EX136" i="2"/>
  <c r="EZ136" i="2"/>
  <c r="EX137" i="2"/>
  <c r="EZ137" i="2"/>
  <c r="EX138" i="2"/>
  <c r="EZ138" i="2"/>
  <c r="EX139" i="2"/>
  <c r="EZ139" i="2"/>
  <c r="EX140" i="2"/>
  <c r="EZ140" i="2"/>
  <c r="EX141" i="2"/>
  <c r="EZ141" i="2"/>
  <c r="EX142" i="2"/>
  <c r="EZ142" i="2"/>
  <c r="EX143" i="2"/>
  <c r="EZ143" i="2"/>
  <c r="EX144" i="2"/>
  <c r="EZ144" i="2"/>
  <c r="EX145" i="2"/>
  <c r="EZ145" i="2"/>
  <c r="EX146" i="2"/>
  <c r="EZ146" i="2"/>
  <c r="EX147" i="2"/>
  <c r="EZ147" i="2"/>
  <c r="EX148" i="2"/>
  <c r="EZ148" i="2"/>
  <c r="EX149" i="2"/>
  <c r="EZ149" i="2"/>
  <c r="EX150" i="2"/>
  <c r="EZ150" i="2"/>
  <c r="EX151" i="2"/>
  <c r="EZ151" i="2"/>
  <c r="EX152" i="2"/>
  <c r="EZ152" i="2"/>
  <c r="EX153" i="2"/>
  <c r="EZ153" i="2"/>
  <c r="EX154" i="2"/>
  <c r="EZ154" i="2"/>
  <c r="EZ4" i="2"/>
  <c r="EX4" i="2"/>
  <c r="CO18" i="24"/>
  <c r="CP18" i="24"/>
  <c r="F542" i="16"/>
  <c r="F543" i="16"/>
  <c r="F544" i="16"/>
  <c r="F545" i="16"/>
  <c r="F546" i="16"/>
  <c r="F547" i="16"/>
  <c r="F548" i="16"/>
  <c r="F549" i="16"/>
  <c r="F550" i="16"/>
  <c r="F551" i="16"/>
  <c r="F552" i="16"/>
  <c r="F553" i="16"/>
  <c r="E542" i="16"/>
  <c r="E543" i="16"/>
  <c r="E544" i="16"/>
  <c r="E545" i="16"/>
  <c r="E546" i="16"/>
  <c r="E547" i="16"/>
  <c r="E548" i="16"/>
  <c r="E549" i="16"/>
  <c r="E550" i="16"/>
  <c r="E551" i="16"/>
  <c r="E552" i="16"/>
  <c r="E553" i="16"/>
  <c r="ET5" i="2"/>
  <c r="EV5" i="2"/>
  <c r="ET6" i="2"/>
  <c r="EV6" i="2"/>
  <c r="ET7" i="2"/>
  <c r="EV7" i="2"/>
  <c r="ET8" i="2"/>
  <c r="EV8" i="2"/>
  <c r="ET9" i="2"/>
  <c r="EV9" i="2"/>
  <c r="ET10" i="2"/>
  <c r="EV10" i="2"/>
  <c r="ET11" i="2"/>
  <c r="EV11" i="2"/>
  <c r="ET12" i="2"/>
  <c r="EV12" i="2"/>
  <c r="ET13" i="2"/>
  <c r="EV13" i="2"/>
  <c r="ET14" i="2"/>
  <c r="EV14" i="2"/>
  <c r="ET15" i="2"/>
  <c r="EV15" i="2"/>
  <c r="ET16" i="2"/>
  <c r="EV16" i="2"/>
  <c r="ET17" i="2"/>
  <c r="EV17" i="2"/>
  <c r="ET18" i="2"/>
  <c r="EV18" i="2"/>
  <c r="ET19" i="2"/>
  <c r="EV19" i="2"/>
  <c r="ET20" i="2"/>
  <c r="EV20" i="2"/>
  <c r="ET21" i="2"/>
  <c r="EV21" i="2"/>
  <c r="ET22" i="2"/>
  <c r="EV22" i="2"/>
  <c r="ET23" i="2"/>
  <c r="EV23" i="2"/>
  <c r="ET24" i="2"/>
  <c r="EV24" i="2"/>
  <c r="ET25" i="2"/>
  <c r="EV25" i="2"/>
  <c r="ET26" i="2"/>
  <c r="EV26" i="2"/>
  <c r="ET27" i="2"/>
  <c r="EV27" i="2"/>
  <c r="ET28" i="2"/>
  <c r="EV28" i="2"/>
  <c r="ET29" i="2"/>
  <c r="EV29" i="2"/>
  <c r="ET30" i="2"/>
  <c r="EV30" i="2"/>
  <c r="ET31" i="2"/>
  <c r="EV31" i="2"/>
  <c r="ET32" i="2"/>
  <c r="EV32" i="2"/>
  <c r="ET33" i="2"/>
  <c r="EV33" i="2"/>
  <c r="ET34" i="2"/>
  <c r="EV34" i="2"/>
  <c r="ET35" i="2"/>
  <c r="EV35" i="2"/>
  <c r="ET36" i="2"/>
  <c r="EV36" i="2"/>
  <c r="ET37" i="2"/>
  <c r="EV37" i="2"/>
  <c r="ET38" i="2"/>
  <c r="EV38" i="2"/>
  <c r="ET39" i="2"/>
  <c r="EV39" i="2"/>
  <c r="ET40" i="2"/>
  <c r="EV40" i="2"/>
  <c r="ET41" i="2"/>
  <c r="EV41" i="2"/>
  <c r="ET42" i="2"/>
  <c r="EV42" i="2"/>
  <c r="ET43" i="2"/>
  <c r="EV43" i="2"/>
  <c r="ET44" i="2"/>
  <c r="EV44" i="2"/>
  <c r="ET45" i="2"/>
  <c r="EV45" i="2"/>
  <c r="ET46" i="2"/>
  <c r="EV46" i="2"/>
  <c r="ET47" i="2"/>
  <c r="EV47" i="2"/>
  <c r="ET48" i="2"/>
  <c r="EV48" i="2"/>
  <c r="ET49" i="2"/>
  <c r="EV49" i="2"/>
  <c r="ET50" i="2"/>
  <c r="EV50" i="2"/>
  <c r="ET51" i="2"/>
  <c r="EV51" i="2"/>
  <c r="ET52" i="2"/>
  <c r="EV52" i="2"/>
  <c r="ET53" i="2"/>
  <c r="EV53" i="2"/>
  <c r="ET54" i="2"/>
  <c r="EV54" i="2"/>
  <c r="ET55" i="2"/>
  <c r="EV55" i="2"/>
  <c r="ET56" i="2"/>
  <c r="EV56" i="2"/>
  <c r="ET57" i="2"/>
  <c r="EV57" i="2"/>
  <c r="ET58" i="2"/>
  <c r="EV58" i="2"/>
  <c r="ET59" i="2"/>
  <c r="EV59" i="2"/>
  <c r="ET60" i="2"/>
  <c r="EV60" i="2"/>
  <c r="ET61" i="2"/>
  <c r="EV61" i="2"/>
  <c r="ET62" i="2"/>
  <c r="EV62" i="2"/>
  <c r="ET63" i="2"/>
  <c r="EV63" i="2"/>
  <c r="ET64" i="2"/>
  <c r="EV64" i="2"/>
  <c r="ET65" i="2"/>
  <c r="EV65" i="2"/>
  <c r="ET66" i="2"/>
  <c r="EV66" i="2"/>
  <c r="ET67" i="2"/>
  <c r="EV67" i="2"/>
  <c r="ET68" i="2"/>
  <c r="EV68" i="2"/>
  <c r="ET69" i="2"/>
  <c r="EV69" i="2"/>
  <c r="ET70" i="2"/>
  <c r="EV70" i="2"/>
  <c r="ET71" i="2"/>
  <c r="EV71" i="2"/>
  <c r="ET72" i="2"/>
  <c r="EV72" i="2"/>
  <c r="ET73" i="2"/>
  <c r="EV73" i="2"/>
  <c r="ET74" i="2"/>
  <c r="EV74" i="2"/>
  <c r="ET75" i="2"/>
  <c r="EV75" i="2"/>
  <c r="ET76" i="2"/>
  <c r="EV76" i="2"/>
  <c r="ET77" i="2"/>
  <c r="EV77" i="2"/>
  <c r="ET78" i="2"/>
  <c r="EV78" i="2"/>
  <c r="ET79" i="2"/>
  <c r="EV79" i="2"/>
  <c r="ET80" i="2"/>
  <c r="EV80" i="2"/>
  <c r="ET81" i="2"/>
  <c r="EV81" i="2"/>
  <c r="ET82" i="2"/>
  <c r="EV82" i="2"/>
  <c r="ET83" i="2"/>
  <c r="EV83" i="2"/>
  <c r="ET84" i="2"/>
  <c r="EV84" i="2"/>
  <c r="ET85" i="2"/>
  <c r="EV85" i="2"/>
  <c r="ET86" i="2"/>
  <c r="EV86" i="2"/>
  <c r="ET87" i="2"/>
  <c r="EV87" i="2"/>
  <c r="ET88" i="2"/>
  <c r="EV88" i="2"/>
  <c r="ET89" i="2"/>
  <c r="EV89" i="2"/>
  <c r="ET90" i="2"/>
  <c r="EV90" i="2"/>
  <c r="ET91" i="2"/>
  <c r="EV91" i="2"/>
  <c r="ET92" i="2"/>
  <c r="EV92" i="2"/>
  <c r="ET93" i="2"/>
  <c r="EV93" i="2"/>
  <c r="ET94" i="2"/>
  <c r="EV94" i="2"/>
  <c r="ET95" i="2"/>
  <c r="EV95" i="2"/>
  <c r="ET96" i="2"/>
  <c r="EV96" i="2"/>
  <c r="ET97" i="2"/>
  <c r="EV97" i="2"/>
  <c r="ET98" i="2"/>
  <c r="EV98" i="2"/>
  <c r="ET99" i="2"/>
  <c r="EV99" i="2"/>
  <c r="ET100" i="2"/>
  <c r="EV100" i="2"/>
  <c r="ET101" i="2"/>
  <c r="EV101" i="2"/>
  <c r="ET102" i="2"/>
  <c r="EV102" i="2"/>
  <c r="ET103" i="2"/>
  <c r="EV103" i="2"/>
  <c r="ET104" i="2"/>
  <c r="EV104" i="2"/>
  <c r="ET105" i="2"/>
  <c r="EV105" i="2"/>
  <c r="ET106" i="2"/>
  <c r="EV106" i="2"/>
  <c r="ET107" i="2"/>
  <c r="EV107" i="2"/>
  <c r="ET108" i="2"/>
  <c r="EV108" i="2"/>
  <c r="ET109" i="2"/>
  <c r="EV109" i="2"/>
  <c r="ET110" i="2"/>
  <c r="EV110" i="2"/>
  <c r="ET111" i="2"/>
  <c r="EV111" i="2"/>
  <c r="ET112" i="2"/>
  <c r="EV112" i="2"/>
  <c r="ET113" i="2"/>
  <c r="EV113" i="2"/>
  <c r="ET114" i="2"/>
  <c r="EV114" i="2"/>
  <c r="ET115" i="2"/>
  <c r="EV115" i="2"/>
  <c r="ET116" i="2"/>
  <c r="EV116" i="2"/>
  <c r="ET117" i="2"/>
  <c r="EV117" i="2"/>
  <c r="ET118" i="2"/>
  <c r="EV118" i="2"/>
  <c r="ET119" i="2"/>
  <c r="EV119" i="2"/>
  <c r="ET120" i="2"/>
  <c r="EV120" i="2"/>
  <c r="ET121" i="2"/>
  <c r="EV121" i="2"/>
  <c r="ET122" i="2"/>
  <c r="EV122" i="2"/>
  <c r="ET123" i="2"/>
  <c r="EV123" i="2"/>
  <c r="ET124" i="2"/>
  <c r="EV124" i="2"/>
  <c r="ET125" i="2"/>
  <c r="EV125" i="2"/>
  <c r="ET126" i="2"/>
  <c r="EV126" i="2"/>
  <c r="ET127" i="2"/>
  <c r="EV127" i="2"/>
  <c r="ET128" i="2"/>
  <c r="EV128" i="2"/>
  <c r="ET129" i="2"/>
  <c r="EV129" i="2"/>
  <c r="ET130" i="2"/>
  <c r="EV130" i="2"/>
  <c r="ET131" i="2"/>
  <c r="EV131" i="2"/>
  <c r="ET132" i="2"/>
  <c r="EV132" i="2"/>
  <c r="ET133" i="2"/>
  <c r="EV133" i="2"/>
  <c r="ET134" i="2"/>
  <c r="EV134" i="2"/>
  <c r="ET135" i="2"/>
  <c r="EV135" i="2"/>
  <c r="ET136" i="2"/>
  <c r="EV136" i="2"/>
  <c r="ET137" i="2"/>
  <c r="EV137" i="2"/>
  <c r="ET138" i="2"/>
  <c r="EV138" i="2"/>
  <c r="ET139" i="2"/>
  <c r="EV139" i="2"/>
  <c r="ET140" i="2"/>
  <c r="EV140" i="2"/>
  <c r="ET141" i="2"/>
  <c r="EV141" i="2"/>
  <c r="ET142" i="2"/>
  <c r="EV142" i="2"/>
  <c r="ET143" i="2"/>
  <c r="EV143" i="2"/>
  <c r="ET144" i="2"/>
  <c r="EV144" i="2"/>
  <c r="ET145" i="2"/>
  <c r="EV145" i="2"/>
  <c r="ET146" i="2"/>
  <c r="EV146" i="2"/>
  <c r="ET147" i="2"/>
  <c r="EV147" i="2"/>
  <c r="ET148" i="2"/>
  <c r="EV148" i="2"/>
  <c r="ET149" i="2"/>
  <c r="EV149" i="2"/>
  <c r="ET150" i="2"/>
  <c r="EV150" i="2"/>
  <c r="ET151" i="2"/>
  <c r="EV151" i="2"/>
  <c r="ET152" i="2"/>
  <c r="EV152" i="2"/>
  <c r="ET153" i="2"/>
  <c r="EV153" i="2"/>
  <c r="ET154" i="2"/>
  <c r="EV154" i="2"/>
  <c r="ET4" i="2"/>
  <c r="EV4" i="2"/>
  <c r="CM18" i="24"/>
  <c r="CN18" i="24"/>
  <c r="E530" i="16"/>
  <c r="F530" i="16"/>
  <c r="E531" i="16"/>
  <c r="F531" i="16"/>
  <c r="E532" i="16"/>
  <c r="F532" i="16"/>
  <c r="E533" i="16"/>
  <c r="F533" i="16"/>
  <c r="E534" i="16"/>
  <c r="F534" i="16"/>
  <c r="E535" i="16"/>
  <c r="F535" i="16"/>
  <c r="E536" i="16"/>
  <c r="F536" i="16"/>
  <c r="E537" i="16"/>
  <c r="F537" i="16"/>
  <c r="E538" i="16"/>
  <c r="F538" i="16"/>
  <c r="E539" i="16"/>
  <c r="F539" i="16"/>
  <c r="E540" i="16"/>
  <c r="F540" i="16"/>
  <c r="E541" i="16"/>
  <c r="F541" i="16"/>
  <c r="AW18" i="24"/>
  <c r="AX18" i="24"/>
  <c r="AY18" i="24"/>
  <c r="AZ18" i="24"/>
  <c r="BA18" i="24"/>
  <c r="BB18" i="24"/>
  <c r="BC18" i="24"/>
  <c r="BD18" i="24"/>
  <c r="BE18" i="24"/>
  <c r="BF18" i="24"/>
  <c r="BG18" i="24"/>
  <c r="BH18" i="24"/>
  <c r="BI18" i="24"/>
  <c r="BJ18" i="24"/>
  <c r="BK18" i="24"/>
  <c r="BL18" i="24"/>
  <c r="BM18" i="24"/>
  <c r="BN18" i="24"/>
  <c r="BO18" i="24"/>
  <c r="BP18" i="24"/>
  <c r="BQ18" i="24"/>
  <c r="BR18" i="24"/>
  <c r="BS18" i="24"/>
  <c r="BT18" i="24"/>
  <c r="EP5" i="2"/>
  <c r="ER5" i="2"/>
  <c r="EP6" i="2"/>
  <c r="ER6" i="2"/>
  <c r="EP7" i="2"/>
  <c r="ER7" i="2"/>
  <c r="EP8" i="2"/>
  <c r="ER8" i="2"/>
  <c r="EP9" i="2"/>
  <c r="ER9" i="2"/>
  <c r="EP10" i="2"/>
  <c r="ER10" i="2"/>
  <c r="EP11" i="2"/>
  <c r="ER11" i="2"/>
  <c r="EP12" i="2"/>
  <c r="ER12" i="2"/>
  <c r="EP13" i="2"/>
  <c r="ER13" i="2"/>
  <c r="EP14" i="2"/>
  <c r="ER14" i="2"/>
  <c r="EP15" i="2"/>
  <c r="ER15" i="2"/>
  <c r="EP16" i="2"/>
  <c r="ER16" i="2"/>
  <c r="EP17" i="2"/>
  <c r="ER17" i="2"/>
  <c r="EP18" i="2"/>
  <c r="ER18" i="2"/>
  <c r="EP19" i="2"/>
  <c r="ER19" i="2"/>
  <c r="EP20" i="2"/>
  <c r="ER20" i="2"/>
  <c r="EP21" i="2"/>
  <c r="ER21" i="2"/>
  <c r="EP22" i="2"/>
  <c r="ER22" i="2"/>
  <c r="EP23" i="2"/>
  <c r="ER23" i="2"/>
  <c r="EP24" i="2"/>
  <c r="ER24" i="2"/>
  <c r="EP25" i="2"/>
  <c r="ER25" i="2"/>
  <c r="EP26" i="2"/>
  <c r="ER26" i="2"/>
  <c r="EP27" i="2"/>
  <c r="ER27" i="2"/>
  <c r="EP28" i="2"/>
  <c r="ER28" i="2"/>
  <c r="EP29" i="2"/>
  <c r="ER29" i="2"/>
  <c r="EP30" i="2"/>
  <c r="ER30" i="2"/>
  <c r="EP31" i="2"/>
  <c r="ER31" i="2"/>
  <c r="EP32" i="2"/>
  <c r="ER32" i="2"/>
  <c r="EP33" i="2"/>
  <c r="ER33" i="2"/>
  <c r="EP34" i="2"/>
  <c r="ER34" i="2"/>
  <c r="EP35" i="2"/>
  <c r="ER35" i="2"/>
  <c r="EP36" i="2"/>
  <c r="ER36" i="2"/>
  <c r="EP37" i="2"/>
  <c r="ER37" i="2"/>
  <c r="EP38" i="2"/>
  <c r="ER38" i="2"/>
  <c r="EP39" i="2"/>
  <c r="ER39" i="2"/>
  <c r="EP40" i="2"/>
  <c r="ER40" i="2"/>
  <c r="EP41" i="2"/>
  <c r="ER41" i="2"/>
  <c r="EP42" i="2"/>
  <c r="ER42" i="2"/>
  <c r="EP43" i="2"/>
  <c r="ER43" i="2"/>
  <c r="EP44" i="2"/>
  <c r="ER44" i="2"/>
  <c r="EP45" i="2"/>
  <c r="ER45" i="2"/>
  <c r="EP46" i="2"/>
  <c r="ER46" i="2"/>
  <c r="EP47" i="2"/>
  <c r="ER47" i="2"/>
  <c r="EP48" i="2"/>
  <c r="ER48" i="2"/>
  <c r="EP49" i="2"/>
  <c r="ER49" i="2"/>
  <c r="EP50" i="2"/>
  <c r="ER50" i="2"/>
  <c r="EP51" i="2"/>
  <c r="ER51" i="2"/>
  <c r="EP52" i="2"/>
  <c r="ER52" i="2"/>
  <c r="EP53" i="2"/>
  <c r="ER53" i="2"/>
  <c r="EP54" i="2"/>
  <c r="ER54" i="2"/>
  <c r="EP55" i="2"/>
  <c r="ER55" i="2"/>
  <c r="EP56" i="2"/>
  <c r="ER56" i="2"/>
  <c r="EP57" i="2"/>
  <c r="ER57" i="2"/>
  <c r="EP58" i="2"/>
  <c r="ER58" i="2"/>
  <c r="EP59" i="2"/>
  <c r="ER59" i="2"/>
  <c r="EP60" i="2"/>
  <c r="ER60" i="2"/>
  <c r="EP61" i="2"/>
  <c r="ER61" i="2"/>
  <c r="EP62" i="2"/>
  <c r="ER62" i="2"/>
  <c r="EP63" i="2"/>
  <c r="ER63" i="2"/>
  <c r="EP64" i="2"/>
  <c r="ER64" i="2"/>
  <c r="EP65" i="2"/>
  <c r="ER65" i="2"/>
  <c r="EP66" i="2"/>
  <c r="ER66" i="2"/>
  <c r="EP67" i="2"/>
  <c r="ER67" i="2"/>
  <c r="EP68" i="2"/>
  <c r="ER68" i="2"/>
  <c r="EP69" i="2"/>
  <c r="ER69" i="2"/>
  <c r="EP70" i="2"/>
  <c r="ER70" i="2"/>
  <c r="EP71" i="2"/>
  <c r="ER71" i="2"/>
  <c r="EP72" i="2"/>
  <c r="ER72" i="2"/>
  <c r="EP73" i="2"/>
  <c r="ER73" i="2"/>
  <c r="EP74" i="2"/>
  <c r="ER74" i="2"/>
  <c r="EP75" i="2"/>
  <c r="ER75" i="2"/>
  <c r="EP76" i="2"/>
  <c r="ER76" i="2"/>
  <c r="EP77" i="2"/>
  <c r="ER77" i="2"/>
  <c r="EP78" i="2"/>
  <c r="ER78" i="2"/>
  <c r="EP79" i="2"/>
  <c r="ER79" i="2"/>
  <c r="EP80" i="2"/>
  <c r="ER80" i="2"/>
  <c r="EP81" i="2"/>
  <c r="ER81" i="2"/>
  <c r="EP82" i="2"/>
  <c r="ER82" i="2"/>
  <c r="EP83" i="2"/>
  <c r="ER83" i="2"/>
  <c r="EP84" i="2"/>
  <c r="ER84" i="2"/>
  <c r="EP85" i="2"/>
  <c r="ER85" i="2"/>
  <c r="EP86" i="2"/>
  <c r="ER86" i="2"/>
  <c r="EP87" i="2"/>
  <c r="ER87" i="2"/>
  <c r="EP88" i="2"/>
  <c r="ER88" i="2"/>
  <c r="EP89" i="2"/>
  <c r="ER89" i="2"/>
  <c r="EP90" i="2"/>
  <c r="ER90" i="2"/>
  <c r="EP91" i="2"/>
  <c r="ER91" i="2"/>
  <c r="EP92" i="2"/>
  <c r="ER92" i="2"/>
  <c r="EP93" i="2"/>
  <c r="ER93" i="2"/>
  <c r="EP94" i="2"/>
  <c r="ER94" i="2"/>
  <c r="EP95" i="2"/>
  <c r="ER95" i="2"/>
  <c r="EP96" i="2"/>
  <c r="ER96" i="2"/>
  <c r="EP97" i="2"/>
  <c r="ER97" i="2"/>
  <c r="EP98" i="2"/>
  <c r="ER98" i="2"/>
  <c r="EP99" i="2"/>
  <c r="ER99" i="2"/>
  <c r="EP100" i="2"/>
  <c r="ER100" i="2"/>
  <c r="EP101" i="2"/>
  <c r="ER101" i="2"/>
  <c r="EP102" i="2"/>
  <c r="ER102" i="2"/>
  <c r="EP103" i="2"/>
  <c r="ER103" i="2"/>
  <c r="EP104" i="2"/>
  <c r="ER104" i="2"/>
  <c r="EP105" i="2"/>
  <c r="ER105" i="2"/>
  <c r="EP106" i="2"/>
  <c r="ER106" i="2"/>
  <c r="EP107" i="2"/>
  <c r="ER107" i="2"/>
  <c r="EP108" i="2"/>
  <c r="ER108" i="2"/>
  <c r="EP109" i="2"/>
  <c r="ER109" i="2"/>
  <c r="EP110" i="2"/>
  <c r="ER110" i="2"/>
  <c r="EP111" i="2"/>
  <c r="ER111" i="2"/>
  <c r="EP112" i="2"/>
  <c r="ER112" i="2"/>
  <c r="EP113" i="2"/>
  <c r="ER113" i="2"/>
  <c r="EP114" i="2"/>
  <c r="ER114" i="2"/>
  <c r="EP115" i="2"/>
  <c r="ER115" i="2"/>
  <c r="EP116" i="2"/>
  <c r="ER116" i="2"/>
  <c r="EP117" i="2"/>
  <c r="ER117" i="2"/>
  <c r="EP118" i="2"/>
  <c r="ER118" i="2"/>
  <c r="EP119" i="2"/>
  <c r="ER119" i="2"/>
  <c r="EP120" i="2"/>
  <c r="ER120" i="2"/>
  <c r="EP121" i="2"/>
  <c r="ER121" i="2"/>
  <c r="EP122" i="2"/>
  <c r="ER122" i="2"/>
  <c r="EP123" i="2"/>
  <c r="ER123" i="2"/>
  <c r="EP124" i="2"/>
  <c r="ER124" i="2"/>
  <c r="EP125" i="2"/>
  <c r="ER125" i="2"/>
  <c r="EP126" i="2"/>
  <c r="ER126" i="2"/>
  <c r="EP127" i="2"/>
  <c r="ER127" i="2"/>
  <c r="EP128" i="2"/>
  <c r="ER128" i="2"/>
  <c r="EP129" i="2"/>
  <c r="ER129" i="2"/>
  <c r="EP130" i="2"/>
  <c r="ER130" i="2"/>
  <c r="EP131" i="2"/>
  <c r="ER131" i="2"/>
  <c r="EP132" i="2"/>
  <c r="ER132" i="2"/>
  <c r="EP133" i="2"/>
  <c r="ER133" i="2"/>
  <c r="EP134" i="2"/>
  <c r="ER134" i="2"/>
  <c r="EP135" i="2"/>
  <c r="ER135" i="2"/>
  <c r="EP136" i="2"/>
  <c r="ER136" i="2"/>
  <c r="EP137" i="2"/>
  <c r="ER137" i="2"/>
  <c r="EP138" i="2"/>
  <c r="ER138" i="2"/>
  <c r="EP139" i="2"/>
  <c r="ER139" i="2"/>
  <c r="EP140" i="2"/>
  <c r="ER140" i="2"/>
  <c r="EP141" i="2"/>
  <c r="ER141" i="2"/>
  <c r="EP142" i="2"/>
  <c r="ER142" i="2"/>
  <c r="EP143" i="2"/>
  <c r="ER143" i="2"/>
  <c r="EP144" i="2"/>
  <c r="ER144" i="2"/>
  <c r="EP145" i="2"/>
  <c r="ER145" i="2"/>
  <c r="EP146" i="2"/>
  <c r="ER146" i="2"/>
  <c r="EP147" i="2"/>
  <c r="ER147" i="2"/>
  <c r="EP148" i="2"/>
  <c r="ER148" i="2"/>
  <c r="EP149" i="2"/>
  <c r="ER149" i="2"/>
  <c r="EP150" i="2"/>
  <c r="ER150" i="2"/>
  <c r="EP151" i="2"/>
  <c r="ER151" i="2"/>
  <c r="EP152" i="2"/>
  <c r="ER152" i="2"/>
  <c r="EP153" i="2"/>
  <c r="ER153" i="2"/>
  <c r="EP154" i="2"/>
  <c r="ER154" i="2"/>
  <c r="ER4" i="2"/>
  <c r="EP4" i="2"/>
  <c r="CK18" i="24"/>
  <c r="CL18" i="24"/>
  <c r="F518" i="16"/>
  <c r="F519" i="16"/>
  <c r="F520" i="16"/>
  <c r="F521" i="16"/>
  <c r="F522" i="16"/>
  <c r="F523" i="16"/>
  <c r="F524" i="16"/>
  <c r="F525" i="16"/>
  <c r="F526" i="16"/>
  <c r="F527" i="16"/>
  <c r="F528" i="16"/>
  <c r="F529" i="16"/>
  <c r="E518" i="16"/>
  <c r="E519" i="16"/>
  <c r="E520" i="16"/>
  <c r="E521" i="16"/>
  <c r="E522" i="16"/>
  <c r="E523" i="16"/>
  <c r="E524" i="16"/>
  <c r="E525" i="16"/>
  <c r="E526" i="16"/>
  <c r="E527" i="16"/>
  <c r="E528" i="16"/>
  <c r="E529" i="16"/>
  <c r="CI18" i="24"/>
  <c r="CJ18" i="24"/>
  <c r="EL5" i="2"/>
  <c r="EL6" i="2"/>
  <c r="EL7" i="2"/>
  <c r="EL8" i="2"/>
  <c r="EL9" i="2"/>
  <c r="EL10" i="2"/>
  <c r="EL11" i="2"/>
  <c r="EL12" i="2"/>
  <c r="EL13" i="2"/>
  <c r="EL14" i="2"/>
  <c r="EL15" i="2"/>
  <c r="EL16" i="2"/>
  <c r="EL17" i="2"/>
  <c r="EL18" i="2"/>
  <c r="EL19" i="2"/>
  <c r="EL20" i="2"/>
  <c r="EL21" i="2"/>
  <c r="EL22" i="2"/>
  <c r="EL23" i="2"/>
  <c r="EL24" i="2"/>
  <c r="EL25" i="2"/>
  <c r="EL26" i="2"/>
  <c r="EL27" i="2"/>
  <c r="EL28" i="2"/>
  <c r="EL29" i="2"/>
  <c r="EL30" i="2"/>
  <c r="EL31" i="2"/>
  <c r="EL32" i="2"/>
  <c r="EL33" i="2"/>
  <c r="EL34" i="2"/>
  <c r="EL35" i="2"/>
  <c r="EL36" i="2"/>
  <c r="EL37" i="2"/>
  <c r="EL38" i="2"/>
  <c r="EL39" i="2"/>
  <c r="EL40" i="2"/>
  <c r="EL41" i="2"/>
  <c r="EL42" i="2"/>
  <c r="EL43" i="2"/>
  <c r="EL44" i="2"/>
  <c r="EL45" i="2"/>
  <c r="EL46" i="2"/>
  <c r="EL47" i="2"/>
  <c r="EL48" i="2"/>
  <c r="EL49" i="2"/>
  <c r="EL50" i="2"/>
  <c r="EL51" i="2"/>
  <c r="EL52" i="2"/>
  <c r="EL53" i="2"/>
  <c r="EL54" i="2"/>
  <c r="EL55" i="2"/>
  <c r="EL56" i="2"/>
  <c r="EL57" i="2"/>
  <c r="EL58" i="2"/>
  <c r="EL59" i="2"/>
  <c r="EL60" i="2"/>
  <c r="EL61" i="2"/>
  <c r="EL62" i="2"/>
  <c r="EL63" i="2"/>
  <c r="EL64" i="2"/>
  <c r="EL65" i="2"/>
  <c r="EL66" i="2"/>
  <c r="EL67" i="2"/>
  <c r="EL68" i="2"/>
  <c r="EL69" i="2"/>
  <c r="EL70" i="2"/>
  <c r="EL71" i="2"/>
  <c r="EL72" i="2"/>
  <c r="EL73" i="2"/>
  <c r="EL74" i="2"/>
  <c r="EL75" i="2"/>
  <c r="EL76" i="2"/>
  <c r="EL77" i="2"/>
  <c r="EL78" i="2"/>
  <c r="EL79" i="2"/>
  <c r="EL80" i="2"/>
  <c r="EL81" i="2"/>
  <c r="EL82" i="2"/>
  <c r="EL83" i="2"/>
  <c r="EL84" i="2"/>
  <c r="EL85" i="2"/>
  <c r="EL86" i="2"/>
  <c r="EL87" i="2"/>
  <c r="EL88" i="2"/>
  <c r="EL89" i="2"/>
  <c r="EL90" i="2"/>
  <c r="EL91" i="2"/>
  <c r="EL92" i="2"/>
  <c r="EL93" i="2"/>
  <c r="EL94" i="2"/>
  <c r="EL95" i="2"/>
  <c r="EL96" i="2"/>
  <c r="EL97" i="2"/>
  <c r="EL98" i="2"/>
  <c r="EL99" i="2"/>
  <c r="EL100" i="2"/>
  <c r="EL101" i="2"/>
  <c r="EL102" i="2"/>
  <c r="EL103" i="2"/>
  <c r="EL104" i="2"/>
  <c r="EL105" i="2"/>
  <c r="EL106" i="2"/>
  <c r="EL107" i="2"/>
  <c r="EL108" i="2"/>
  <c r="EL109" i="2"/>
  <c r="EL110" i="2"/>
  <c r="EL111" i="2"/>
  <c r="EL112" i="2"/>
  <c r="EL113" i="2"/>
  <c r="EL114" i="2"/>
  <c r="EL115" i="2"/>
  <c r="EL116" i="2"/>
  <c r="EL117" i="2"/>
  <c r="EL118" i="2"/>
  <c r="EL119" i="2"/>
  <c r="EL120" i="2"/>
  <c r="EL121" i="2"/>
  <c r="EL122" i="2"/>
  <c r="EL123" i="2"/>
  <c r="EL124" i="2"/>
  <c r="EL125" i="2"/>
  <c r="EL126" i="2"/>
  <c r="EL127" i="2"/>
  <c r="EL128" i="2"/>
  <c r="EL129" i="2"/>
  <c r="EL130" i="2"/>
  <c r="EL131" i="2"/>
  <c r="EL132" i="2"/>
  <c r="EL133" i="2"/>
  <c r="EL134" i="2"/>
  <c r="EL135" i="2"/>
  <c r="EL136" i="2"/>
  <c r="EL137" i="2"/>
  <c r="EL138" i="2"/>
  <c r="EL139" i="2"/>
  <c r="EL140" i="2"/>
  <c r="EL141" i="2"/>
  <c r="EL142" i="2"/>
  <c r="EL143" i="2"/>
  <c r="EL144" i="2"/>
  <c r="EL145" i="2"/>
  <c r="EL146" i="2"/>
  <c r="EL147" i="2"/>
  <c r="EL148" i="2"/>
  <c r="EL149" i="2"/>
  <c r="EL150" i="2"/>
  <c r="EL151" i="2"/>
  <c r="EL152" i="2"/>
  <c r="EL153" i="2"/>
  <c r="EL154" i="2"/>
  <c r="EL4" i="2"/>
  <c r="F506" i="16"/>
  <c r="F507" i="16"/>
  <c r="F508" i="16"/>
  <c r="F509" i="16"/>
  <c r="F510" i="16"/>
  <c r="F511" i="16"/>
  <c r="F512" i="16"/>
  <c r="F513" i="16"/>
  <c r="F514" i="16"/>
  <c r="F515" i="16"/>
  <c r="F516" i="16"/>
  <c r="F517" i="16"/>
  <c r="E506" i="16"/>
  <c r="E507" i="16"/>
  <c r="E508" i="16"/>
  <c r="E509" i="16"/>
  <c r="E510" i="16"/>
  <c r="E511" i="16"/>
  <c r="E512" i="16"/>
  <c r="E513" i="16"/>
  <c r="E514" i="16"/>
  <c r="E515" i="16"/>
  <c r="E516" i="16"/>
  <c r="E517" i="16"/>
  <c r="EH5" i="2"/>
  <c r="EI5" i="2"/>
  <c r="EN5" i="2" s="1"/>
  <c r="EH6" i="2"/>
  <c r="EI6" i="2"/>
  <c r="EN6" i="2" s="1"/>
  <c r="EH7" i="2"/>
  <c r="EI7" i="2"/>
  <c r="EN7" i="2" s="1"/>
  <c r="EH8" i="2"/>
  <c r="EI8" i="2"/>
  <c r="EN8" i="2" s="1"/>
  <c r="EH9" i="2"/>
  <c r="EI9" i="2"/>
  <c r="EN9" i="2" s="1"/>
  <c r="EH10" i="2"/>
  <c r="EI10" i="2"/>
  <c r="EN10" i="2" s="1"/>
  <c r="EH11" i="2"/>
  <c r="EI11" i="2"/>
  <c r="EN11" i="2" s="1"/>
  <c r="EH12" i="2"/>
  <c r="EI12" i="2"/>
  <c r="EN12" i="2" s="1"/>
  <c r="EH13" i="2"/>
  <c r="EI13" i="2"/>
  <c r="EN13" i="2" s="1"/>
  <c r="EH14" i="2"/>
  <c r="EI14" i="2"/>
  <c r="EN14" i="2" s="1"/>
  <c r="EH15" i="2"/>
  <c r="EI15" i="2"/>
  <c r="EN15" i="2" s="1"/>
  <c r="EH16" i="2"/>
  <c r="EI16" i="2"/>
  <c r="EN16" i="2" s="1"/>
  <c r="EH17" i="2"/>
  <c r="EI17" i="2"/>
  <c r="EN17" i="2" s="1"/>
  <c r="EH18" i="2"/>
  <c r="EI18" i="2"/>
  <c r="EN18" i="2" s="1"/>
  <c r="EH19" i="2"/>
  <c r="EI19" i="2"/>
  <c r="EN19" i="2" s="1"/>
  <c r="EH20" i="2"/>
  <c r="EI20" i="2"/>
  <c r="EN20" i="2" s="1"/>
  <c r="EH21" i="2"/>
  <c r="EI21" i="2"/>
  <c r="EN21" i="2" s="1"/>
  <c r="EH22" i="2"/>
  <c r="EI22" i="2"/>
  <c r="EN22" i="2" s="1"/>
  <c r="EH23" i="2"/>
  <c r="EI23" i="2"/>
  <c r="EN23" i="2" s="1"/>
  <c r="EH24" i="2"/>
  <c r="EI24" i="2"/>
  <c r="EN24" i="2" s="1"/>
  <c r="EH25" i="2"/>
  <c r="EI25" i="2"/>
  <c r="EN25" i="2" s="1"/>
  <c r="EH26" i="2"/>
  <c r="EI26" i="2"/>
  <c r="EN26" i="2" s="1"/>
  <c r="EH27" i="2"/>
  <c r="EI27" i="2"/>
  <c r="EN27" i="2" s="1"/>
  <c r="EH28" i="2"/>
  <c r="EI28" i="2"/>
  <c r="EN28" i="2" s="1"/>
  <c r="EH29" i="2"/>
  <c r="EI29" i="2"/>
  <c r="EN29" i="2" s="1"/>
  <c r="EH30" i="2"/>
  <c r="EI30" i="2"/>
  <c r="EN30" i="2" s="1"/>
  <c r="EH31" i="2"/>
  <c r="EI31" i="2"/>
  <c r="EN31" i="2" s="1"/>
  <c r="EH32" i="2"/>
  <c r="EI32" i="2"/>
  <c r="EN32" i="2" s="1"/>
  <c r="EH33" i="2"/>
  <c r="EI33" i="2"/>
  <c r="EN33" i="2" s="1"/>
  <c r="EH34" i="2"/>
  <c r="EI34" i="2"/>
  <c r="EN34" i="2" s="1"/>
  <c r="EH35" i="2"/>
  <c r="EI35" i="2"/>
  <c r="EN35" i="2" s="1"/>
  <c r="EH36" i="2"/>
  <c r="EI36" i="2"/>
  <c r="EN36" i="2" s="1"/>
  <c r="EH37" i="2"/>
  <c r="EI37" i="2"/>
  <c r="EN37" i="2" s="1"/>
  <c r="EH38" i="2"/>
  <c r="EI38" i="2"/>
  <c r="EN38" i="2" s="1"/>
  <c r="EH39" i="2"/>
  <c r="EI39" i="2"/>
  <c r="EN39" i="2" s="1"/>
  <c r="EH40" i="2"/>
  <c r="EI40" i="2"/>
  <c r="EN40" i="2" s="1"/>
  <c r="EH41" i="2"/>
  <c r="EI41" i="2"/>
  <c r="EN41" i="2" s="1"/>
  <c r="EH42" i="2"/>
  <c r="EI42" i="2"/>
  <c r="EN42" i="2" s="1"/>
  <c r="EH43" i="2"/>
  <c r="EI43" i="2"/>
  <c r="EN43" i="2" s="1"/>
  <c r="EH44" i="2"/>
  <c r="EI44" i="2"/>
  <c r="EN44" i="2" s="1"/>
  <c r="EH45" i="2"/>
  <c r="EI45" i="2"/>
  <c r="EN45" i="2" s="1"/>
  <c r="EH46" i="2"/>
  <c r="EI46" i="2"/>
  <c r="EN46" i="2" s="1"/>
  <c r="EH47" i="2"/>
  <c r="EI47" i="2"/>
  <c r="EN47" i="2" s="1"/>
  <c r="EH48" i="2"/>
  <c r="EI48" i="2"/>
  <c r="EN48" i="2" s="1"/>
  <c r="EH49" i="2"/>
  <c r="EI49" i="2"/>
  <c r="EN49" i="2" s="1"/>
  <c r="EH50" i="2"/>
  <c r="EI50" i="2"/>
  <c r="EN50" i="2" s="1"/>
  <c r="EH51" i="2"/>
  <c r="EI51" i="2"/>
  <c r="EN51" i="2" s="1"/>
  <c r="EH52" i="2"/>
  <c r="EI52" i="2"/>
  <c r="EN52" i="2" s="1"/>
  <c r="EH53" i="2"/>
  <c r="EI53" i="2"/>
  <c r="EN53" i="2" s="1"/>
  <c r="EH54" i="2"/>
  <c r="EI54" i="2"/>
  <c r="EN54" i="2" s="1"/>
  <c r="EH55" i="2"/>
  <c r="EI55" i="2"/>
  <c r="EN55" i="2" s="1"/>
  <c r="EH56" i="2"/>
  <c r="EI56" i="2"/>
  <c r="EN56" i="2" s="1"/>
  <c r="EH57" i="2"/>
  <c r="EI57" i="2"/>
  <c r="EN57" i="2" s="1"/>
  <c r="EH58" i="2"/>
  <c r="EI58" i="2"/>
  <c r="EN58" i="2" s="1"/>
  <c r="EH59" i="2"/>
  <c r="EI59" i="2"/>
  <c r="EN59" i="2" s="1"/>
  <c r="EH60" i="2"/>
  <c r="EI60" i="2"/>
  <c r="EN60" i="2" s="1"/>
  <c r="EH61" i="2"/>
  <c r="EI61" i="2"/>
  <c r="EN61" i="2" s="1"/>
  <c r="EH62" i="2"/>
  <c r="EI62" i="2"/>
  <c r="EN62" i="2" s="1"/>
  <c r="EH63" i="2"/>
  <c r="EI63" i="2"/>
  <c r="EN63" i="2" s="1"/>
  <c r="EH64" i="2"/>
  <c r="EI64" i="2"/>
  <c r="EN64" i="2" s="1"/>
  <c r="EH65" i="2"/>
  <c r="EI65" i="2"/>
  <c r="EN65" i="2" s="1"/>
  <c r="EH66" i="2"/>
  <c r="EI66" i="2"/>
  <c r="EN66" i="2" s="1"/>
  <c r="EH67" i="2"/>
  <c r="EI67" i="2"/>
  <c r="EN67" i="2" s="1"/>
  <c r="EH68" i="2"/>
  <c r="EI68" i="2"/>
  <c r="EN68" i="2" s="1"/>
  <c r="EH69" i="2"/>
  <c r="EI69" i="2"/>
  <c r="EN69" i="2" s="1"/>
  <c r="EH70" i="2"/>
  <c r="EI70" i="2"/>
  <c r="EN70" i="2" s="1"/>
  <c r="EH71" i="2"/>
  <c r="EI71" i="2"/>
  <c r="EN71" i="2" s="1"/>
  <c r="EH72" i="2"/>
  <c r="EI72" i="2"/>
  <c r="EN72" i="2" s="1"/>
  <c r="EH73" i="2"/>
  <c r="EI73" i="2"/>
  <c r="EN73" i="2" s="1"/>
  <c r="EH74" i="2"/>
  <c r="EI74" i="2"/>
  <c r="EN74" i="2" s="1"/>
  <c r="EH75" i="2"/>
  <c r="EI75" i="2"/>
  <c r="EN75" i="2" s="1"/>
  <c r="EH76" i="2"/>
  <c r="EI76" i="2"/>
  <c r="EN76" i="2" s="1"/>
  <c r="EH77" i="2"/>
  <c r="EI77" i="2"/>
  <c r="EN77" i="2" s="1"/>
  <c r="EH78" i="2"/>
  <c r="EI78" i="2"/>
  <c r="EN78" i="2" s="1"/>
  <c r="EH79" i="2"/>
  <c r="EI79" i="2"/>
  <c r="EN79" i="2" s="1"/>
  <c r="EH80" i="2"/>
  <c r="EI80" i="2"/>
  <c r="EN80" i="2" s="1"/>
  <c r="EH81" i="2"/>
  <c r="EI81" i="2"/>
  <c r="EN81" i="2" s="1"/>
  <c r="EH82" i="2"/>
  <c r="EI82" i="2"/>
  <c r="EN82" i="2" s="1"/>
  <c r="EH83" i="2"/>
  <c r="EI83" i="2"/>
  <c r="EN83" i="2" s="1"/>
  <c r="EH84" i="2"/>
  <c r="EI84" i="2"/>
  <c r="EN84" i="2" s="1"/>
  <c r="EH85" i="2"/>
  <c r="EI85" i="2"/>
  <c r="EN85" i="2" s="1"/>
  <c r="EH86" i="2"/>
  <c r="EI86" i="2"/>
  <c r="EN86" i="2" s="1"/>
  <c r="EH87" i="2"/>
  <c r="EI87" i="2"/>
  <c r="EN87" i="2" s="1"/>
  <c r="EH88" i="2"/>
  <c r="EI88" i="2"/>
  <c r="EN88" i="2" s="1"/>
  <c r="EH89" i="2"/>
  <c r="EI89" i="2"/>
  <c r="EN89" i="2" s="1"/>
  <c r="EH90" i="2"/>
  <c r="EI90" i="2"/>
  <c r="EN90" i="2" s="1"/>
  <c r="EH91" i="2"/>
  <c r="EI91" i="2"/>
  <c r="EN91" i="2" s="1"/>
  <c r="EH92" i="2"/>
  <c r="EI92" i="2"/>
  <c r="EN92" i="2" s="1"/>
  <c r="EH93" i="2"/>
  <c r="EI93" i="2"/>
  <c r="EN93" i="2" s="1"/>
  <c r="EH94" i="2"/>
  <c r="EI94" i="2"/>
  <c r="EN94" i="2" s="1"/>
  <c r="EH95" i="2"/>
  <c r="EI95" i="2"/>
  <c r="EN95" i="2" s="1"/>
  <c r="EH96" i="2"/>
  <c r="EI96" i="2"/>
  <c r="EN96" i="2" s="1"/>
  <c r="EH97" i="2"/>
  <c r="EI97" i="2"/>
  <c r="EN97" i="2" s="1"/>
  <c r="EH98" i="2"/>
  <c r="EI98" i="2"/>
  <c r="EN98" i="2" s="1"/>
  <c r="EH99" i="2"/>
  <c r="EI99" i="2"/>
  <c r="EN99" i="2" s="1"/>
  <c r="EH100" i="2"/>
  <c r="EI100" i="2"/>
  <c r="EN100" i="2" s="1"/>
  <c r="EH101" i="2"/>
  <c r="EI101" i="2"/>
  <c r="EN101" i="2" s="1"/>
  <c r="EH102" i="2"/>
  <c r="EI102" i="2"/>
  <c r="EN102" i="2" s="1"/>
  <c r="EH103" i="2"/>
  <c r="EI103" i="2"/>
  <c r="EN103" i="2" s="1"/>
  <c r="EH104" i="2"/>
  <c r="EI104" i="2"/>
  <c r="EN104" i="2" s="1"/>
  <c r="EH105" i="2"/>
  <c r="EI105" i="2"/>
  <c r="EN105" i="2" s="1"/>
  <c r="EH106" i="2"/>
  <c r="EI106" i="2"/>
  <c r="EN106" i="2" s="1"/>
  <c r="EH107" i="2"/>
  <c r="EI107" i="2"/>
  <c r="EN107" i="2" s="1"/>
  <c r="EH108" i="2"/>
  <c r="EI108" i="2"/>
  <c r="EN108" i="2" s="1"/>
  <c r="EH109" i="2"/>
  <c r="EI109" i="2"/>
  <c r="EN109" i="2" s="1"/>
  <c r="EH110" i="2"/>
  <c r="EI110" i="2"/>
  <c r="EN110" i="2" s="1"/>
  <c r="EH111" i="2"/>
  <c r="EI111" i="2"/>
  <c r="EN111" i="2" s="1"/>
  <c r="EH112" i="2"/>
  <c r="EI112" i="2"/>
  <c r="EN112" i="2" s="1"/>
  <c r="EH113" i="2"/>
  <c r="EI113" i="2"/>
  <c r="EN113" i="2" s="1"/>
  <c r="EH114" i="2"/>
  <c r="EI114" i="2"/>
  <c r="EN114" i="2" s="1"/>
  <c r="EH115" i="2"/>
  <c r="EI115" i="2"/>
  <c r="EN115" i="2" s="1"/>
  <c r="EH116" i="2"/>
  <c r="EI116" i="2"/>
  <c r="EN116" i="2" s="1"/>
  <c r="EH117" i="2"/>
  <c r="EI117" i="2"/>
  <c r="EN117" i="2" s="1"/>
  <c r="EH118" i="2"/>
  <c r="EI118" i="2"/>
  <c r="EN118" i="2" s="1"/>
  <c r="EH119" i="2"/>
  <c r="EI119" i="2"/>
  <c r="EN119" i="2" s="1"/>
  <c r="EH120" i="2"/>
  <c r="EI120" i="2"/>
  <c r="EN120" i="2" s="1"/>
  <c r="EH121" i="2"/>
  <c r="EI121" i="2"/>
  <c r="EN121" i="2" s="1"/>
  <c r="EH122" i="2"/>
  <c r="EI122" i="2"/>
  <c r="EN122" i="2" s="1"/>
  <c r="EH123" i="2"/>
  <c r="EI123" i="2"/>
  <c r="EN123" i="2" s="1"/>
  <c r="EH124" i="2"/>
  <c r="EI124" i="2"/>
  <c r="EN124" i="2" s="1"/>
  <c r="EH125" i="2"/>
  <c r="EI125" i="2"/>
  <c r="EN125" i="2" s="1"/>
  <c r="EH126" i="2"/>
  <c r="EI126" i="2"/>
  <c r="EN126" i="2" s="1"/>
  <c r="EH127" i="2"/>
  <c r="EI127" i="2"/>
  <c r="EN127" i="2" s="1"/>
  <c r="EH128" i="2"/>
  <c r="EI128" i="2"/>
  <c r="EN128" i="2" s="1"/>
  <c r="EH129" i="2"/>
  <c r="EI129" i="2"/>
  <c r="EN129" i="2" s="1"/>
  <c r="EH130" i="2"/>
  <c r="EI130" i="2"/>
  <c r="EN130" i="2" s="1"/>
  <c r="EH131" i="2"/>
  <c r="EI131" i="2"/>
  <c r="EN131" i="2" s="1"/>
  <c r="EH132" i="2"/>
  <c r="EI132" i="2"/>
  <c r="EN132" i="2" s="1"/>
  <c r="EH133" i="2"/>
  <c r="EI133" i="2"/>
  <c r="EN133" i="2" s="1"/>
  <c r="EH134" i="2"/>
  <c r="EI134" i="2"/>
  <c r="EN134" i="2" s="1"/>
  <c r="EH135" i="2"/>
  <c r="EI135" i="2"/>
  <c r="EN135" i="2" s="1"/>
  <c r="EH136" i="2"/>
  <c r="EI136" i="2"/>
  <c r="EN136" i="2" s="1"/>
  <c r="EH137" i="2"/>
  <c r="EI137" i="2"/>
  <c r="EN137" i="2" s="1"/>
  <c r="EH138" i="2"/>
  <c r="EI138" i="2"/>
  <c r="EN138" i="2" s="1"/>
  <c r="EH139" i="2"/>
  <c r="EI139" i="2"/>
  <c r="EN139" i="2" s="1"/>
  <c r="EH140" i="2"/>
  <c r="EI140" i="2"/>
  <c r="EN140" i="2" s="1"/>
  <c r="EH141" i="2"/>
  <c r="EI141" i="2"/>
  <c r="EN141" i="2" s="1"/>
  <c r="EH142" i="2"/>
  <c r="EI142" i="2"/>
  <c r="EN142" i="2" s="1"/>
  <c r="EH143" i="2"/>
  <c r="EI143" i="2"/>
  <c r="EN143" i="2" s="1"/>
  <c r="EH144" i="2"/>
  <c r="EI144" i="2"/>
  <c r="EN144" i="2" s="1"/>
  <c r="EH145" i="2"/>
  <c r="EI145" i="2"/>
  <c r="EN145" i="2" s="1"/>
  <c r="EH146" i="2"/>
  <c r="EI146" i="2"/>
  <c r="EN146" i="2" s="1"/>
  <c r="EH147" i="2"/>
  <c r="EI147" i="2"/>
  <c r="EN147" i="2" s="1"/>
  <c r="EH148" i="2"/>
  <c r="EI148" i="2"/>
  <c r="EN148" i="2" s="1"/>
  <c r="EH149" i="2"/>
  <c r="EI149" i="2"/>
  <c r="EN149" i="2" s="1"/>
  <c r="EH150" i="2"/>
  <c r="EI150" i="2"/>
  <c r="EN150" i="2" s="1"/>
  <c r="EH151" i="2"/>
  <c r="EI151" i="2"/>
  <c r="EN151" i="2" s="1"/>
  <c r="EH152" i="2"/>
  <c r="EI152" i="2"/>
  <c r="EN152" i="2" s="1"/>
  <c r="EH153" i="2"/>
  <c r="EI153" i="2"/>
  <c r="EN153" i="2" s="1"/>
  <c r="EH154" i="2"/>
  <c r="EI154" i="2"/>
  <c r="EN154" i="2" s="1"/>
  <c r="EH4" i="2"/>
  <c r="EI4" i="2"/>
  <c r="EN4" i="2" s="1"/>
  <c r="CG18" i="24"/>
  <c r="CH18" i="24"/>
  <c r="F494" i="16"/>
  <c r="F495" i="16"/>
  <c r="F496" i="16"/>
  <c r="F497" i="16"/>
  <c r="F498" i="16"/>
  <c r="F499" i="16"/>
  <c r="F500" i="16"/>
  <c r="F501" i="16"/>
  <c r="F502" i="16"/>
  <c r="F503" i="16"/>
  <c r="F504" i="16"/>
  <c r="F505" i="16"/>
  <c r="E494" i="16"/>
  <c r="E495" i="16"/>
  <c r="E496" i="16"/>
  <c r="E497" i="16"/>
  <c r="E498" i="16"/>
  <c r="E499" i="16"/>
  <c r="E500" i="16"/>
  <c r="E501" i="16"/>
  <c r="E502" i="16"/>
  <c r="E503" i="16"/>
  <c r="E504" i="16"/>
  <c r="E505" i="16"/>
  <c r="ED5" i="2"/>
  <c r="ED6" i="2"/>
  <c r="ED7" i="2"/>
  <c r="ED8" i="2"/>
  <c r="ED9" i="2"/>
  <c r="ED10" i="2"/>
  <c r="ED11" i="2"/>
  <c r="ED12" i="2"/>
  <c r="ED13" i="2"/>
  <c r="ED14" i="2"/>
  <c r="ED15" i="2"/>
  <c r="ED16" i="2"/>
  <c r="ED17" i="2"/>
  <c r="ED18" i="2"/>
  <c r="ED19" i="2"/>
  <c r="ED20" i="2"/>
  <c r="ED21" i="2"/>
  <c r="ED22" i="2"/>
  <c r="ED23" i="2"/>
  <c r="ED24" i="2"/>
  <c r="ED25" i="2"/>
  <c r="ED26" i="2"/>
  <c r="ED27" i="2"/>
  <c r="ED28" i="2"/>
  <c r="ED29" i="2"/>
  <c r="ED30" i="2"/>
  <c r="ED31" i="2"/>
  <c r="ED32" i="2"/>
  <c r="ED33" i="2"/>
  <c r="ED34" i="2"/>
  <c r="ED35" i="2"/>
  <c r="ED36" i="2"/>
  <c r="ED37" i="2"/>
  <c r="ED38" i="2"/>
  <c r="ED39" i="2"/>
  <c r="ED40" i="2"/>
  <c r="ED41" i="2"/>
  <c r="ED42" i="2"/>
  <c r="ED43" i="2"/>
  <c r="ED44" i="2"/>
  <c r="ED45" i="2"/>
  <c r="ED46" i="2"/>
  <c r="ED47" i="2"/>
  <c r="ED48" i="2"/>
  <c r="ED49" i="2"/>
  <c r="ED50" i="2"/>
  <c r="ED51" i="2"/>
  <c r="ED52" i="2"/>
  <c r="ED53" i="2"/>
  <c r="ED54" i="2"/>
  <c r="ED55" i="2"/>
  <c r="ED56" i="2"/>
  <c r="ED57" i="2"/>
  <c r="ED58" i="2"/>
  <c r="ED59" i="2"/>
  <c r="ED60" i="2"/>
  <c r="ED61" i="2"/>
  <c r="ED62" i="2"/>
  <c r="ED63" i="2"/>
  <c r="ED64" i="2"/>
  <c r="ED65" i="2"/>
  <c r="ED66" i="2"/>
  <c r="ED67" i="2"/>
  <c r="ED68" i="2"/>
  <c r="ED69" i="2"/>
  <c r="ED70" i="2"/>
  <c r="ED71" i="2"/>
  <c r="ED72" i="2"/>
  <c r="ED73" i="2"/>
  <c r="ED74" i="2"/>
  <c r="ED75" i="2"/>
  <c r="ED76" i="2"/>
  <c r="ED77" i="2"/>
  <c r="ED78" i="2"/>
  <c r="ED79" i="2"/>
  <c r="ED80" i="2"/>
  <c r="ED81" i="2"/>
  <c r="ED82" i="2"/>
  <c r="ED83" i="2"/>
  <c r="ED84" i="2"/>
  <c r="ED85" i="2"/>
  <c r="ED86" i="2"/>
  <c r="ED87" i="2"/>
  <c r="ED88" i="2"/>
  <c r="ED89" i="2"/>
  <c r="ED90" i="2"/>
  <c r="ED91" i="2"/>
  <c r="ED92" i="2"/>
  <c r="ED93" i="2"/>
  <c r="ED94" i="2"/>
  <c r="ED95" i="2"/>
  <c r="ED96" i="2"/>
  <c r="ED97" i="2"/>
  <c r="ED98" i="2"/>
  <c r="ED99" i="2"/>
  <c r="ED100" i="2"/>
  <c r="ED101" i="2"/>
  <c r="ED102" i="2"/>
  <c r="ED103" i="2"/>
  <c r="ED104" i="2"/>
  <c r="ED105" i="2"/>
  <c r="ED106" i="2"/>
  <c r="ED107" i="2"/>
  <c r="ED108" i="2"/>
  <c r="ED109" i="2"/>
  <c r="ED110" i="2"/>
  <c r="ED111" i="2"/>
  <c r="ED112" i="2"/>
  <c r="ED113" i="2"/>
  <c r="ED114" i="2"/>
  <c r="ED115" i="2"/>
  <c r="ED116" i="2"/>
  <c r="ED117" i="2"/>
  <c r="ED118" i="2"/>
  <c r="ED119" i="2"/>
  <c r="ED120" i="2"/>
  <c r="ED121" i="2"/>
  <c r="ED122" i="2"/>
  <c r="ED123" i="2"/>
  <c r="ED124" i="2"/>
  <c r="ED125" i="2"/>
  <c r="ED126" i="2"/>
  <c r="ED127" i="2"/>
  <c r="ED128" i="2"/>
  <c r="ED129" i="2"/>
  <c r="ED130" i="2"/>
  <c r="ED131" i="2"/>
  <c r="ED132" i="2"/>
  <c r="ED133" i="2"/>
  <c r="ED134" i="2"/>
  <c r="ED135" i="2"/>
  <c r="ED136" i="2"/>
  <c r="ED137" i="2"/>
  <c r="ED138" i="2"/>
  <c r="ED139" i="2"/>
  <c r="ED140" i="2"/>
  <c r="ED141" i="2"/>
  <c r="ED142" i="2"/>
  <c r="ED143" i="2"/>
  <c r="ED144" i="2"/>
  <c r="ED145" i="2"/>
  <c r="ED146" i="2"/>
  <c r="ED147" i="2"/>
  <c r="ED148" i="2"/>
  <c r="ED149" i="2"/>
  <c r="ED150" i="2"/>
  <c r="ED151" i="2"/>
  <c r="ED152" i="2"/>
  <c r="ED153" i="2"/>
  <c r="ED154" i="2"/>
  <c r="ED4" i="2"/>
  <c r="EE5" i="2"/>
  <c r="EE6" i="2"/>
  <c r="EE7" i="2"/>
  <c r="EE8" i="2"/>
  <c r="EE9" i="2"/>
  <c r="EE10" i="2"/>
  <c r="EE11" i="2"/>
  <c r="EE12" i="2"/>
  <c r="EE13" i="2"/>
  <c r="EE14" i="2"/>
  <c r="EE15" i="2"/>
  <c r="EE16" i="2"/>
  <c r="EE17" i="2"/>
  <c r="EE18" i="2"/>
  <c r="EE19" i="2"/>
  <c r="EE20" i="2"/>
  <c r="EE21" i="2"/>
  <c r="EE22" i="2"/>
  <c r="EE23" i="2"/>
  <c r="EE24" i="2"/>
  <c r="EE25" i="2"/>
  <c r="EE26" i="2"/>
  <c r="EE27" i="2"/>
  <c r="EE28" i="2"/>
  <c r="EE29" i="2"/>
  <c r="EE30" i="2"/>
  <c r="EE31" i="2"/>
  <c r="EE32" i="2"/>
  <c r="EE33" i="2"/>
  <c r="EE34" i="2"/>
  <c r="EE35" i="2"/>
  <c r="EE36" i="2"/>
  <c r="EE37" i="2"/>
  <c r="EE38" i="2"/>
  <c r="EE39" i="2"/>
  <c r="EE40" i="2"/>
  <c r="EE41" i="2"/>
  <c r="EE42" i="2"/>
  <c r="EE43" i="2"/>
  <c r="EE44" i="2"/>
  <c r="EE45" i="2"/>
  <c r="EE46" i="2"/>
  <c r="EE47" i="2"/>
  <c r="EE48" i="2"/>
  <c r="EE49" i="2"/>
  <c r="EE50" i="2"/>
  <c r="EE51" i="2"/>
  <c r="EE52" i="2"/>
  <c r="EE53" i="2"/>
  <c r="EE54" i="2"/>
  <c r="EE55" i="2"/>
  <c r="EE56" i="2"/>
  <c r="EE57" i="2"/>
  <c r="EE58" i="2"/>
  <c r="EE59" i="2"/>
  <c r="EE60" i="2"/>
  <c r="EE61" i="2"/>
  <c r="EE62" i="2"/>
  <c r="EE63" i="2"/>
  <c r="EE64" i="2"/>
  <c r="EE65" i="2"/>
  <c r="EE66" i="2"/>
  <c r="EE67" i="2"/>
  <c r="EE68" i="2"/>
  <c r="EE69" i="2"/>
  <c r="EE70" i="2"/>
  <c r="EE71" i="2"/>
  <c r="EE72" i="2"/>
  <c r="EE73" i="2"/>
  <c r="EE74" i="2"/>
  <c r="EE75" i="2"/>
  <c r="EE76" i="2"/>
  <c r="EE77" i="2"/>
  <c r="EE78" i="2"/>
  <c r="EE79" i="2"/>
  <c r="EE80" i="2"/>
  <c r="EE81" i="2"/>
  <c r="EE82" i="2"/>
  <c r="EE83" i="2"/>
  <c r="EE84" i="2"/>
  <c r="EE85" i="2"/>
  <c r="EE86" i="2"/>
  <c r="EE87" i="2"/>
  <c r="EE88" i="2"/>
  <c r="EE89" i="2"/>
  <c r="EE90" i="2"/>
  <c r="EE91" i="2"/>
  <c r="EE92" i="2"/>
  <c r="EE93" i="2"/>
  <c r="EE94" i="2"/>
  <c r="EE95" i="2"/>
  <c r="EE96" i="2"/>
  <c r="EE97" i="2"/>
  <c r="EE98" i="2"/>
  <c r="EE99" i="2"/>
  <c r="EE100" i="2"/>
  <c r="EE101" i="2"/>
  <c r="EE102" i="2"/>
  <c r="EE103" i="2"/>
  <c r="EE104" i="2"/>
  <c r="EE105" i="2"/>
  <c r="EE106" i="2"/>
  <c r="EE107" i="2"/>
  <c r="EE108" i="2"/>
  <c r="EE109" i="2"/>
  <c r="EE110" i="2"/>
  <c r="EE111" i="2"/>
  <c r="EE112" i="2"/>
  <c r="EE113" i="2"/>
  <c r="EE114" i="2"/>
  <c r="EE115" i="2"/>
  <c r="EE116" i="2"/>
  <c r="EE117" i="2"/>
  <c r="EE118" i="2"/>
  <c r="EE119" i="2"/>
  <c r="EE120" i="2"/>
  <c r="EE121" i="2"/>
  <c r="EE122" i="2"/>
  <c r="EE123" i="2"/>
  <c r="EE124" i="2"/>
  <c r="EE125" i="2"/>
  <c r="EE126" i="2"/>
  <c r="EE127" i="2"/>
  <c r="EE128" i="2"/>
  <c r="EE129" i="2"/>
  <c r="EE130" i="2"/>
  <c r="EE131" i="2"/>
  <c r="EE132" i="2"/>
  <c r="EE133" i="2"/>
  <c r="EE134" i="2"/>
  <c r="EE135" i="2"/>
  <c r="EE136" i="2"/>
  <c r="EE137" i="2"/>
  <c r="EE138" i="2"/>
  <c r="EE139" i="2"/>
  <c r="EE140" i="2"/>
  <c r="EE141" i="2"/>
  <c r="EE142" i="2"/>
  <c r="EE143" i="2"/>
  <c r="EE144" i="2"/>
  <c r="EE145" i="2"/>
  <c r="EE146" i="2"/>
  <c r="EE147" i="2"/>
  <c r="EE148" i="2"/>
  <c r="EE149" i="2"/>
  <c r="EE150" i="2"/>
  <c r="EE151" i="2"/>
  <c r="EE152" i="2"/>
  <c r="EE153" i="2"/>
  <c r="EE154" i="2"/>
  <c r="EE4" i="2"/>
  <c r="CE18" i="24"/>
  <c r="CF18" i="24"/>
  <c r="F482" i="16"/>
  <c r="F483" i="16"/>
  <c r="F484" i="16"/>
  <c r="F485" i="16"/>
  <c r="F486" i="16"/>
  <c r="F487" i="16"/>
  <c r="F488" i="16"/>
  <c r="F489" i="16"/>
  <c r="F490" i="16"/>
  <c r="F491" i="16"/>
  <c r="F492" i="16"/>
  <c r="F493" i="16"/>
  <c r="E482" i="16"/>
  <c r="E483" i="16"/>
  <c r="E484" i="16"/>
  <c r="E485" i="16"/>
  <c r="E486" i="16"/>
  <c r="E487" i="16"/>
  <c r="E488" i="16"/>
  <c r="E489" i="16"/>
  <c r="E490" i="16"/>
  <c r="E491" i="16"/>
  <c r="E492" i="16"/>
  <c r="E493" i="16"/>
  <c r="BU18" i="24"/>
  <c r="BV18" i="24"/>
  <c r="BW18" i="24"/>
  <c r="BX18" i="24"/>
  <c r="BY18" i="24"/>
  <c r="BZ18" i="24"/>
  <c r="CA18" i="24"/>
  <c r="CB18" i="24"/>
  <c r="CD18" i="24"/>
  <c r="CC18" i="24"/>
  <c r="EB5" i="2"/>
  <c r="EB6" i="2"/>
  <c r="EB7" i="2"/>
  <c r="EB8" i="2"/>
  <c r="EB9" i="2"/>
  <c r="EB10" i="2"/>
  <c r="EB11" i="2"/>
  <c r="EB12" i="2"/>
  <c r="EB13" i="2"/>
  <c r="EB14" i="2"/>
  <c r="EB15" i="2"/>
  <c r="EB16" i="2"/>
  <c r="EB17" i="2"/>
  <c r="EB18" i="2"/>
  <c r="EB19" i="2"/>
  <c r="EB20" i="2"/>
  <c r="EB21" i="2"/>
  <c r="EB22" i="2"/>
  <c r="EB23" i="2"/>
  <c r="EB24" i="2"/>
  <c r="EB25" i="2"/>
  <c r="EB26" i="2"/>
  <c r="EB27" i="2"/>
  <c r="EB28" i="2"/>
  <c r="EB29" i="2"/>
  <c r="EB30" i="2"/>
  <c r="EB31" i="2"/>
  <c r="EB32" i="2"/>
  <c r="EB33" i="2"/>
  <c r="EB34" i="2"/>
  <c r="EB35" i="2"/>
  <c r="EB36" i="2"/>
  <c r="EB37" i="2"/>
  <c r="EB38" i="2"/>
  <c r="EB39" i="2"/>
  <c r="EB40" i="2"/>
  <c r="EB41" i="2"/>
  <c r="EB42" i="2"/>
  <c r="EB43" i="2"/>
  <c r="EB44" i="2"/>
  <c r="EB45" i="2"/>
  <c r="EB46" i="2"/>
  <c r="EB47" i="2"/>
  <c r="EB48" i="2"/>
  <c r="EB49" i="2"/>
  <c r="EB50" i="2"/>
  <c r="EB51" i="2"/>
  <c r="EB52" i="2"/>
  <c r="EB53" i="2"/>
  <c r="EB54" i="2"/>
  <c r="EB55" i="2"/>
  <c r="EB56" i="2"/>
  <c r="EB57" i="2"/>
  <c r="EB58" i="2"/>
  <c r="EB59" i="2"/>
  <c r="EB60" i="2"/>
  <c r="EB61" i="2"/>
  <c r="EB62" i="2"/>
  <c r="EB63" i="2"/>
  <c r="EB64" i="2"/>
  <c r="EB65" i="2"/>
  <c r="EB66" i="2"/>
  <c r="EB67" i="2"/>
  <c r="EB68" i="2"/>
  <c r="EB69" i="2"/>
  <c r="EB70" i="2"/>
  <c r="EB71" i="2"/>
  <c r="EB72" i="2"/>
  <c r="EB73" i="2"/>
  <c r="EB74" i="2"/>
  <c r="EB75" i="2"/>
  <c r="EB76" i="2"/>
  <c r="EB77" i="2"/>
  <c r="EB78" i="2"/>
  <c r="EB79" i="2"/>
  <c r="EB80" i="2"/>
  <c r="EB81" i="2"/>
  <c r="EB82" i="2"/>
  <c r="EB83" i="2"/>
  <c r="EB84" i="2"/>
  <c r="EB85" i="2"/>
  <c r="EB86" i="2"/>
  <c r="EB87" i="2"/>
  <c r="EB88" i="2"/>
  <c r="EB89" i="2"/>
  <c r="EB90" i="2"/>
  <c r="EB91" i="2"/>
  <c r="EB92" i="2"/>
  <c r="EB93" i="2"/>
  <c r="EB94" i="2"/>
  <c r="EB95" i="2"/>
  <c r="EB96" i="2"/>
  <c r="EB97" i="2"/>
  <c r="EB98" i="2"/>
  <c r="EB99" i="2"/>
  <c r="EB100" i="2"/>
  <c r="EB101" i="2"/>
  <c r="EB102" i="2"/>
  <c r="EB103" i="2"/>
  <c r="EB104" i="2"/>
  <c r="EB105" i="2"/>
  <c r="EB106" i="2"/>
  <c r="EB107" i="2"/>
  <c r="EB108" i="2"/>
  <c r="EB109" i="2"/>
  <c r="EB110" i="2"/>
  <c r="EB111" i="2"/>
  <c r="EB112" i="2"/>
  <c r="EB113" i="2"/>
  <c r="EB114" i="2"/>
  <c r="EB115" i="2"/>
  <c r="EB116" i="2"/>
  <c r="EB117" i="2"/>
  <c r="EB118" i="2"/>
  <c r="EB119" i="2"/>
  <c r="EB120" i="2"/>
  <c r="EB121" i="2"/>
  <c r="EB122" i="2"/>
  <c r="EB123" i="2"/>
  <c r="EB124" i="2"/>
  <c r="EB125" i="2"/>
  <c r="EB126" i="2"/>
  <c r="EB127" i="2"/>
  <c r="EB128" i="2"/>
  <c r="EB129" i="2"/>
  <c r="EB130" i="2"/>
  <c r="EB131" i="2"/>
  <c r="EB132" i="2"/>
  <c r="EB133" i="2"/>
  <c r="EB134" i="2"/>
  <c r="EB135" i="2"/>
  <c r="EB136" i="2"/>
  <c r="EB137" i="2"/>
  <c r="EB138" i="2"/>
  <c r="EB139" i="2"/>
  <c r="EB140" i="2"/>
  <c r="EB141" i="2"/>
  <c r="EB142" i="2"/>
  <c r="EB143" i="2"/>
  <c r="EB144" i="2"/>
  <c r="EB145" i="2"/>
  <c r="EB146" i="2"/>
  <c r="EB147" i="2"/>
  <c r="EB148" i="2"/>
  <c r="EB149" i="2"/>
  <c r="EB150" i="2"/>
  <c r="EB151" i="2"/>
  <c r="EB152" i="2"/>
  <c r="EB153" i="2"/>
  <c r="EB154" i="2"/>
  <c r="EB4" i="2"/>
  <c r="DZ5" i="2"/>
  <c r="DZ6" i="2"/>
  <c r="DZ7" i="2"/>
  <c r="DZ8" i="2"/>
  <c r="DZ9" i="2"/>
  <c r="DZ10" i="2"/>
  <c r="DZ11" i="2"/>
  <c r="DZ12" i="2"/>
  <c r="DZ13" i="2"/>
  <c r="DZ14" i="2"/>
  <c r="DZ15" i="2"/>
  <c r="DZ16" i="2"/>
  <c r="DZ17" i="2"/>
  <c r="DZ18" i="2"/>
  <c r="DZ19" i="2"/>
  <c r="DZ20" i="2"/>
  <c r="DZ21" i="2"/>
  <c r="DZ22" i="2"/>
  <c r="DZ23" i="2"/>
  <c r="DZ24" i="2"/>
  <c r="DZ25" i="2"/>
  <c r="DZ26" i="2"/>
  <c r="DZ27" i="2"/>
  <c r="DZ28" i="2"/>
  <c r="DZ29" i="2"/>
  <c r="DZ30" i="2"/>
  <c r="DZ31" i="2"/>
  <c r="DZ32" i="2"/>
  <c r="DZ33" i="2"/>
  <c r="DZ34" i="2"/>
  <c r="DZ35" i="2"/>
  <c r="DZ36" i="2"/>
  <c r="DZ37" i="2"/>
  <c r="DZ38" i="2"/>
  <c r="DZ39" i="2"/>
  <c r="DZ40" i="2"/>
  <c r="DZ41" i="2"/>
  <c r="DZ42" i="2"/>
  <c r="DZ43" i="2"/>
  <c r="DZ44" i="2"/>
  <c r="DZ45" i="2"/>
  <c r="DZ46" i="2"/>
  <c r="DZ47" i="2"/>
  <c r="DZ48" i="2"/>
  <c r="DZ49" i="2"/>
  <c r="DZ50" i="2"/>
  <c r="DZ51" i="2"/>
  <c r="DZ52" i="2"/>
  <c r="DZ53" i="2"/>
  <c r="DZ54" i="2"/>
  <c r="DZ55" i="2"/>
  <c r="DZ56" i="2"/>
  <c r="DZ57" i="2"/>
  <c r="DZ58" i="2"/>
  <c r="DZ59" i="2"/>
  <c r="DZ60" i="2"/>
  <c r="DZ61" i="2"/>
  <c r="DZ62" i="2"/>
  <c r="DZ63" i="2"/>
  <c r="DZ64" i="2"/>
  <c r="DZ65" i="2"/>
  <c r="DZ66" i="2"/>
  <c r="DZ67" i="2"/>
  <c r="DZ68" i="2"/>
  <c r="DZ69" i="2"/>
  <c r="DZ70" i="2"/>
  <c r="DZ71" i="2"/>
  <c r="DZ72" i="2"/>
  <c r="DZ73" i="2"/>
  <c r="DZ74" i="2"/>
  <c r="DZ75" i="2"/>
  <c r="DZ76" i="2"/>
  <c r="DZ77" i="2"/>
  <c r="DZ78" i="2"/>
  <c r="DZ79" i="2"/>
  <c r="DZ80" i="2"/>
  <c r="DZ81" i="2"/>
  <c r="DZ82" i="2"/>
  <c r="DZ83" i="2"/>
  <c r="DZ84" i="2"/>
  <c r="DZ85" i="2"/>
  <c r="DZ86" i="2"/>
  <c r="DZ87" i="2"/>
  <c r="DZ88" i="2"/>
  <c r="DZ89" i="2"/>
  <c r="DZ90" i="2"/>
  <c r="DZ91" i="2"/>
  <c r="DZ92" i="2"/>
  <c r="DZ93" i="2"/>
  <c r="DZ94" i="2"/>
  <c r="DZ95" i="2"/>
  <c r="DZ96" i="2"/>
  <c r="DZ97" i="2"/>
  <c r="DZ98" i="2"/>
  <c r="DZ99" i="2"/>
  <c r="DZ100" i="2"/>
  <c r="DZ101" i="2"/>
  <c r="DZ102" i="2"/>
  <c r="DZ103" i="2"/>
  <c r="DZ104" i="2"/>
  <c r="DZ105" i="2"/>
  <c r="DZ106" i="2"/>
  <c r="DZ107" i="2"/>
  <c r="DZ108" i="2"/>
  <c r="DZ109" i="2"/>
  <c r="DZ110" i="2"/>
  <c r="DZ111" i="2"/>
  <c r="DZ112" i="2"/>
  <c r="DZ113" i="2"/>
  <c r="DZ114" i="2"/>
  <c r="DZ115" i="2"/>
  <c r="DZ116" i="2"/>
  <c r="DZ117" i="2"/>
  <c r="DZ118" i="2"/>
  <c r="DZ119" i="2"/>
  <c r="DZ120" i="2"/>
  <c r="DZ121" i="2"/>
  <c r="DZ122" i="2"/>
  <c r="DZ123" i="2"/>
  <c r="DZ124" i="2"/>
  <c r="DZ125" i="2"/>
  <c r="DZ126" i="2"/>
  <c r="DZ127" i="2"/>
  <c r="DZ128" i="2"/>
  <c r="DZ129" i="2"/>
  <c r="DZ130" i="2"/>
  <c r="DZ131" i="2"/>
  <c r="DZ132" i="2"/>
  <c r="DZ133" i="2"/>
  <c r="DZ134" i="2"/>
  <c r="DZ135" i="2"/>
  <c r="DZ136" i="2"/>
  <c r="DZ137" i="2"/>
  <c r="DZ138" i="2"/>
  <c r="DZ139" i="2"/>
  <c r="DZ140" i="2"/>
  <c r="DZ141" i="2"/>
  <c r="DZ142" i="2"/>
  <c r="DZ143" i="2"/>
  <c r="DZ144" i="2"/>
  <c r="DZ145" i="2"/>
  <c r="DZ146" i="2"/>
  <c r="DZ147" i="2"/>
  <c r="DZ148" i="2"/>
  <c r="DZ149" i="2"/>
  <c r="DZ150" i="2"/>
  <c r="DZ151" i="2"/>
  <c r="DZ152" i="2"/>
  <c r="DZ153" i="2"/>
  <c r="DZ154" i="2"/>
  <c r="DZ4" i="2"/>
  <c r="F470" i="16"/>
  <c r="F471" i="16"/>
  <c r="F472" i="16"/>
  <c r="F473" i="16"/>
  <c r="F474" i="16"/>
  <c r="F475" i="16"/>
  <c r="F476" i="16"/>
  <c r="F477" i="16"/>
  <c r="F478" i="16"/>
  <c r="F479" i="16"/>
  <c r="F480" i="16"/>
  <c r="F481" i="16"/>
  <c r="E470" i="16"/>
  <c r="E471" i="16"/>
  <c r="E472" i="16"/>
  <c r="E473" i="16"/>
  <c r="E474" i="16"/>
  <c r="E475" i="16"/>
  <c r="E476" i="16"/>
  <c r="E477" i="16"/>
  <c r="E478" i="16"/>
  <c r="E479" i="16"/>
  <c r="E480" i="16"/>
  <c r="E481" i="16"/>
  <c r="AH63" i="1"/>
  <c r="AE62" i="1"/>
  <c r="AE63" i="1"/>
  <c r="AE64" i="1"/>
  <c r="AE65" i="1"/>
  <c r="AE66" i="1"/>
  <c r="AE67" i="1"/>
  <c r="AE68" i="1"/>
  <c r="AE69" i="1"/>
  <c r="AE70" i="1"/>
  <c r="AE71" i="1"/>
  <c r="AE61" i="1"/>
  <c r="AG39" i="1"/>
  <c r="AG43" i="1"/>
  <c r="Y39" i="1"/>
  <c r="W43" i="1"/>
  <c r="W39" i="1"/>
  <c r="F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AR49" i="1"/>
  <c r="AP49" i="1"/>
  <c r="F291" i="16" l="1"/>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290" i="16"/>
  <c r="DX5" i="2"/>
  <c r="DX6" i="2"/>
  <c r="DX7" i="2"/>
  <c r="DX8" i="2"/>
  <c r="DX9" i="2"/>
  <c r="DX10" i="2"/>
  <c r="DX11" i="2"/>
  <c r="DX12" i="2"/>
  <c r="DX13" i="2"/>
  <c r="DX14" i="2"/>
  <c r="DX15" i="2"/>
  <c r="DX16" i="2"/>
  <c r="DX17" i="2"/>
  <c r="DX18" i="2"/>
  <c r="DX19" i="2"/>
  <c r="DX20" i="2"/>
  <c r="DX21" i="2"/>
  <c r="DX22" i="2"/>
  <c r="DX23" i="2"/>
  <c r="DX24" i="2"/>
  <c r="DX25" i="2"/>
  <c r="DX26" i="2"/>
  <c r="DX27" i="2"/>
  <c r="DX28" i="2"/>
  <c r="DX29" i="2"/>
  <c r="DX30" i="2"/>
  <c r="DX31" i="2"/>
  <c r="DX32" i="2"/>
  <c r="DX33" i="2"/>
  <c r="DX34" i="2"/>
  <c r="DX35" i="2"/>
  <c r="DX36" i="2"/>
  <c r="DX37" i="2"/>
  <c r="DX38" i="2"/>
  <c r="DX39" i="2"/>
  <c r="DX40" i="2"/>
  <c r="DX41" i="2"/>
  <c r="DX42" i="2"/>
  <c r="DX43" i="2"/>
  <c r="DX44" i="2"/>
  <c r="DX45" i="2"/>
  <c r="DX46" i="2"/>
  <c r="DX47" i="2"/>
  <c r="DX48" i="2"/>
  <c r="DX49" i="2"/>
  <c r="DX50" i="2"/>
  <c r="DX51" i="2"/>
  <c r="DX52" i="2"/>
  <c r="DX53" i="2"/>
  <c r="DX54" i="2"/>
  <c r="DX55" i="2"/>
  <c r="DX56" i="2"/>
  <c r="DX57" i="2"/>
  <c r="DX58" i="2"/>
  <c r="DX59" i="2"/>
  <c r="DX60" i="2"/>
  <c r="DX61" i="2"/>
  <c r="DX62" i="2"/>
  <c r="DX63" i="2"/>
  <c r="DX64" i="2"/>
  <c r="DX65" i="2"/>
  <c r="DX66" i="2"/>
  <c r="DX67" i="2"/>
  <c r="DX68" i="2"/>
  <c r="DX69" i="2"/>
  <c r="DX70" i="2"/>
  <c r="DX71" i="2"/>
  <c r="DX72" i="2"/>
  <c r="DX73" i="2"/>
  <c r="DX74" i="2"/>
  <c r="DX75" i="2"/>
  <c r="DX76" i="2"/>
  <c r="DX77" i="2"/>
  <c r="DX78" i="2"/>
  <c r="DX79" i="2"/>
  <c r="DX80" i="2"/>
  <c r="DX81" i="2"/>
  <c r="DX82" i="2"/>
  <c r="DX83" i="2"/>
  <c r="DX84" i="2"/>
  <c r="DX85" i="2"/>
  <c r="DX86" i="2"/>
  <c r="DX87" i="2"/>
  <c r="DX88" i="2"/>
  <c r="DX89" i="2"/>
  <c r="DX90" i="2"/>
  <c r="DX91" i="2"/>
  <c r="DX92" i="2"/>
  <c r="DX93" i="2"/>
  <c r="DX94" i="2"/>
  <c r="DX95" i="2"/>
  <c r="DX96" i="2"/>
  <c r="DX97" i="2"/>
  <c r="DX98" i="2"/>
  <c r="DX99" i="2"/>
  <c r="DX100" i="2"/>
  <c r="DX101" i="2"/>
  <c r="DX102" i="2"/>
  <c r="DX103" i="2"/>
  <c r="DX104" i="2"/>
  <c r="DX105" i="2"/>
  <c r="DX106" i="2"/>
  <c r="DX107" i="2"/>
  <c r="DX108" i="2"/>
  <c r="DX109" i="2"/>
  <c r="DX110" i="2"/>
  <c r="DX111" i="2"/>
  <c r="DX112" i="2"/>
  <c r="DX113" i="2"/>
  <c r="DX114" i="2"/>
  <c r="DX115" i="2"/>
  <c r="DX116" i="2"/>
  <c r="DX117" i="2"/>
  <c r="DX118" i="2"/>
  <c r="DX119" i="2"/>
  <c r="DX120" i="2"/>
  <c r="DX121" i="2"/>
  <c r="DX122" i="2"/>
  <c r="DX123" i="2"/>
  <c r="DX124" i="2"/>
  <c r="DX125" i="2"/>
  <c r="DX126" i="2"/>
  <c r="DX127" i="2"/>
  <c r="DX128" i="2"/>
  <c r="DX129" i="2"/>
  <c r="DX130" i="2"/>
  <c r="DX131" i="2"/>
  <c r="DX132" i="2"/>
  <c r="DX133" i="2"/>
  <c r="DX134" i="2"/>
  <c r="DX135" i="2"/>
  <c r="DX136" i="2"/>
  <c r="DX137" i="2"/>
  <c r="DX138" i="2"/>
  <c r="DX139" i="2"/>
  <c r="DX140" i="2"/>
  <c r="DX141" i="2"/>
  <c r="DX142" i="2"/>
  <c r="DX143" i="2"/>
  <c r="DX144" i="2"/>
  <c r="DX145" i="2"/>
  <c r="DX146" i="2"/>
  <c r="DX147" i="2"/>
  <c r="DX148" i="2"/>
  <c r="DX149" i="2"/>
  <c r="DX150" i="2"/>
  <c r="DX151" i="2"/>
  <c r="DX152" i="2"/>
  <c r="DX153" i="2"/>
  <c r="DX154" i="2"/>
  <c r="DX4" i="2"/>
  <c r="DV6" i="2"/>
  <c r="DV8" i="2"/>
  <c r="DV10" i="2"/>
  <c r="DV12" i="2"/>
  <c r="DV14" i="2"/>
  <c r="DV16" i="2"/>
  <c r="DV18" i="2"/>
  <c r="DV20" i="2"/>
  <c r="DV22" i="2"/>
  <c r="DV24" i="2"/>
  <c r="DV26" i="2"/>
  <c r="DV28" i="2"/>
  <c r="DV30" i="2"/>
  <c r="DV32" i="2"/>
  <c r="DV34" i="2"/>
  <c r="DV36" i="2"/>
  <c r="DV38" i="2"/>
  <c r="DV40" i="2"/>
  <c r="DV42" i="2"/>
  <c r="DV44" i="2"/>
  <c r="DV46" i="2"/>
  <c r="DV48" i="2"/>
  <c r="DV50" i="2"/>
  <c r="DV52" i="2"/>
  <c r="DV54" i="2"/>
  <c r="DV56" i="2"/>
  <c r="DV58" i="2"/>
  <c r="DV60" i="2"/>
  <c r="DV62" i="2"/>
  <c r="DV64" i="2"/>
  <c r="DV66" i="2"/>
  <c r="DV68" i="2"/>
  <c r="DV70" i="2"/>
  <c r="DV72" i="2"/>
  <c r="DV74" i="2"/>
  <c r="DV76" i="2"/>
  <c r="DV78" i="2"/>
  <c r="DV80" i="2"/>
  <c r="DV82" i="2"/>
  <c r="DV84" i="2"/>
  <c r="DV86" i="2"/>
  <c r="DV88" i="2"/>
  <c r="DV90" i="2"/>
  <c r="DV92" i="2"/>
  <c r="DV94" i="2"/>
  <c r="DV96" i="2"/>
  <c r="DV98" i="2"/>
  <c r="DV100" i="2"/>
  <c r="DV102" i="2"/>
  <c r="DV104" i="2"/>
  <c r="DV106" i="2"/>
  <c r="DV108" i="2"/>
  <c r="DV110" i="2"/>
  <c r="DV112" i="2"/>
  <c r="DV114" i="2"/>
  <c r="DV116" i="2"/>
  <c r="DV118" i="2"/>
  <c r="DV120" i="2"/>
  <c r="DV122" i="2"/>
  <c r="DV124" i="2"/>
  <c r="DV126" i="2"/>
  <c r="DV128" i="2"/>
  <c r="DV130" i="2"/>
  <c r="DV132" i="2"/>
  <c r="DV134" i="2"/>
  <c r="DV136" i="2"/>
  <c r="DV138" i="2"/>
  <c r="DV140" i="2"/>
  <c r="DV142" i="2"/>
  <c r="DV144" i="2"/>
  <c r="DV146" i="2"/>
  <c r="DV148" i="2"/>
  <c r="DV150" i="2"/>
  <c r="DV152" i="2"/>
  <c r="DV154" i="2"/>
  <c r="DV5" i="2"/>
  <c r="DV7" i="2"/>
  <c r="DV9" i="2"/>
  <c r="DV11" i="2"/>
  <c r="DV13" i="2"/>
  <c r="DV15" i="2"/>
  <c r="DV17" i="2"/>
  <c r="DV19" i="2"/>
  <c r="DV21" i="2"/>
  <c r="DV23" i="2"/>
  <c r="DV25" i="2"/>
  <c r="DV27" i="2"/>
  <c r="DV29" i="2"/>
  <c r="DV31" i="2"/>
  <c r="DV33" i="2"/>
  <c r="DV35" i="2"/>
  <c r="DV37" i="2"/>
  <c r="DV39" i="2"/>
  <c r="DV41" i="2"/>
  <c r="DV43" i="2"/>
  <c r="DV45" i="2"/>
  <c r="DV47" i="2"/>
  <c r="DV49" i="2"/>
  <c r="DV51" i="2"/>
  <c r="DV53" i="2"/>
  <c r="DV55" i="2"/>
  <c r="DV57" i="2"/>
  <c r="DV59" i="2"/>
  <c r="DV61" i="2"/>
  <c r="DV63" i="2"/>
  <c r="DV65" i="2"/>
  <c r="DV67" i="2"/>
  <c r="DV69" i="2"/>
  <c r="DV71" i="2"/>
  <c r="DV73" i="2"/>
  <c r="DV75" i="2"/>
  <c r="DV77" i="2"/>
  <c r="DV79" i="2"/>
  <c r="DV81" i="2"/>
  <c r="DV83" i="2"/>
  <c r="DV85" i="2"/>
  <c r="DV87" i="2"/>
  <c r="DV89" i="2"/>
  <c r="DV91" i="2"/>
  <c r="DV93" i="2"/>
  <c r="DV95" i="2"/>
  <c r="DV97" i="2"/>
  <c r="DV99" i="2"/>
  <c r="DV101" i="2"/>
  <c r="DV103" i="2"/>
  <c r="DV105" i="2"/>
  <c r="DV107" i="2"/>
  <c r="DV109" i="2"/>
  <c r="DV111" i="2"/>
  <c r="DV113" i="2"/>
  <c r="DV115" i="2"/>
  <c r="DV117" i="2"/>
  <c r="DV119" i="2"/>
  <c r="DV121" i="2"/>
  <c r="DV123" i="2"/>
  <c r="DV125" i="2"/>
  <c r="DV127" i="2"/>
  <c r="DV129" i="2"/>
  <c r="DV131" i="2"/>
  <c r="DV133" i="2"/>
  <c r="DV135" i="2"/>
  <c r="DV137" i="2"/>
  <c r="DV139" i="2"/>
  <c r="DV141" i="2"/>
  <c r="DV143" i="2"/>
  <c r="DV145" i="2"/>
  <c r="DV147" i="2"/>
  <c r="DV149" i="2"/>
  <c r="DV151" i="2"/>
  <c r="DV153" i="2"/>
  <c r="DV4" i="2"/>
  <c r="CJ62" i="1"/>
  <c r="CJ63" i="1"/>
  <c r="CJ64" i="1"/>
  <c r="CJ65" i="1"/>
  <c r="CJ66" i="1"/>
  <c r="CJ67" i="1"/>
  <c r="CJ68" i="1"/>
  <c r="CJ69" i="1"/>
  <c r="CJ70" i="1"/>
  <c r="CJ71" i="1"/>
  <c r="CJ72" i="1"/>
  <c r="CJ61" i="1"/>
  <c r="CA38" i="1"/>
  <c r="CA39" i="1"/>
  <c r="CA40" i="1"/>
  <c r="CA41" i="1"/>
  <c r="CA42" i="1"/>
  <c r="CA43" i="1"/>
  <c r="CA44" i="1"/>
  <c r="CA45" i="1"/>
  <c r="CA46" i="1"/>
  <c r="CA47" i="1"/>
  <c r="CA48" i="1"/>
  <c r="CA37" i="1"/>
  <c r="BZ49" i="1"/>
  <c r="DT5" i="2"/>
  <c r="DT6" i="2"/>
  <c r="DT7" i="2"/>
  <c r="DT8" i="2"/>
  <c r="DT9" i="2"/>
  <c r="DT10" i="2"/>
  <c r="DT11" i="2"/>
  <c r="DT12" i="2"/>
  <c r="DT13" i="2"/>
  <c r="DT14" i="2"/>
  <c r="DT15" i="2"/>
  <c r="DT16" i="2"/>
  <c r="DT17" i="2"/>
  <c r="DT18" i="2"/>
  <c r="DT19" i="2"/>
  <c r="DT20" i="2"/>
  <c r="DT21" i="2"/>
  <c r="DT22" i="2"/>
  <c r="DT23" i="2"/>
  <c r="DT24" i="2"/>
  <c r="DT25" i="2"/>
  <c r="DT26" i="2"/>
  <c r="DT27" i="2"/>
  <c r="DT28" i="2"/>
  <c r="DT29" i="2"/>
  <c r="DT30" i="2"/>
  <c r="DT31" i="2"/>
  <c r="DT32" i="2"/>
  <c r="DT33" i="2"/>
  <c r="DT34" i="2"/>
  <c r="DT35" i="2"/>
  <c r="DT36" i="2"/>
  <c r="DT37" i="2"/>
  <c r="DT38" i="2"/>
  <c r="DT39" i="2"/>
  <c r="DT40" i="2"/>
  <c r="DT41" i="2"/>
  <c r="DT42" i="2"/>
  <c r="DT43" i="2"/>
  <c r="DT44" i="2"/>
  <c r="DT45" i="2"/>
  <c r="DT46" i="2"/>
  <c r="DT47" i="2"/>
  <c r="DT48" i="2"/>
  <c r="DT49" i="2"/>
  <c r="DT50" i="2"/>
  <c r="DT51" i="2"/>
  <c r="DT52" i="2"/>
  <c r="DT53" i="2"/>
  <c r="DT54" i="2"/>
  <c r="DT55" i="2"/>
  <c r="DT56" i="2"/>
  <c r="DT57" i="2"/>
  <c r="DT58" i="2"/>
  <c r="DT59" i="2"/>
  <c r="DT60" i="2"/>
  <c r="DT61" i="2"/>
  <c r="DT62" i="2"/>
  <c r="DT63" i="2"/>
  <c r="DT64" i="2"/>
  <c r="DT65" i="2"/>
  <c r="DT66" i="2"/>
  <c r="DT67" i="2"/>
  <c r="DT68" i="2"/>
  <c r="DT69" i="2"/>
  <c r="DT70" i="2"/>
  <c r="DT71" i="2"/>
  <c r="DT72" i="2"/>
  <c r="DT73" i="2"/>
  <c r="DT74" i="2"/>
  <c r="DT75" i="2"/>
  <c r="DT76" i="2"/>
  <c r="DT77" i="2"/>
  <c r="DT78" i="2"/>
  <c r="DT79" i="2"/>
  <c r="DT80" i="2"/>
  <c r="DT81" i="2"/>
  <c r="DT82" i="2"/>
  <c r="DT83" i="2"/>
  <c r="DT84" i="2"/>
  <c r="DT85" i="2"/>
  <c r="DT86" i="2"/>
  <c r="DT87" i="2"/>
  <c r="DT88" i="2"/>
  <c r="DT89" i="2"/>
  <c r="DT90" i="2"/>
  <c r="DT91" i="2"/>
  <c r="DT92" i="2"/>
  <c r="DT93" i="2"/>
  <c r="DT94" i="2"/>
  <c r="DT95" i="2"/>
  <c r="DT96" i="2"/>
  <c r="DT97" i="2"/>
  <c r="DT98" i="2"/>
  <c r="DT99" i="2"/>
  <c r="DT100" i="2"/>
  <c r="DT101" i="2"/>
  <c r="DT102" i="2"/>
  <c r="DT103" i="2"/>
  <c r="DT104" i="2"/>
  <c r="DT105" i="2"/>
  <c r="DT106" i="2"/>
  <c r="DT107" i="2"/>
  <c r="DT108" i="2"/>
  <c r="DT109" i="2"/>
  <c r="DT110" i="2"/>
  <c r="DT111" i="2"/>
  <c r="DT112" i="2"/>
  <c r="DT113" i="2"/>
  <c r="DT114" i="2"/>
  <c r="DT115" i="2"/>
  <c r="DT116" i="2"/>
  <c r="DT117" i="2"/>
  <c r="DT118" i="2"/>
  <c r="DT119" i="2"/>
  <c r="DT120" i="2"/>
  <c r="DT121" i="2"/>
  <c r="DT122" i="2"/>
  <c r="DT123" i="2"/>
  <c r="DT124" i="2"/>
  <c r="DT125" i="2"/>
  <c r="DT126" i="2"/>
  <c r="DT127" i="2"/>
  <c r="DT128" i="2"/>
  <c r="DT129" i="2"/>
  <c r="DT130" i="2"/>
  <c r="DT131" i="2"/>
  <c r="DT132" i="2"/>
  <c r="DT133" i="2"/>
  <c r="DT134" i="2"/>
  <c r="DT135" i="2"/>
  <c r="DT136" i="2"/>
  <c r="DT137" i="2"/>
  <c r="DT138" i="2"/>
  <c r="DT139" i="2"/>
  <c r="DT140" i="2"/>
  <c r="DT141" i="2"/>
  <c r="DT142" i="2"/>
  <c r="DT143" i="2"/>
  <c r="DT144" i="2"/>
  <c r="DT145" i="2"/>
  <c r="DT146" i="2"/>
  <c r="DT147" i="2"/>
  <c r="DT148" i="2"/>
  <c r="DT149" i="2"/>
  <c r="DT150" i="2"/>
  <c r="DT151" i="2"/>
  <c r="DT152" i="2"/>
  <c r="DT153" i="2"/>
  <c r="DT154" i="2"/>
  <c r="DT4" i="2"/>
  <c r="DR5" i="2"/>
  <c r="DR6" i="2"/>
  <c r="DR7" i="2"/>
  <c r="DR8" i="2"/>
  <c r="DR9" i="2"/>
  <c r="DR10" i="2"/>
  <c r="DR11" i="2"/>
  <c r="DR12" i="2"/>
  <c r="DR13" i="2"/>
  <c r="DR14" i="2"/>
  <c r="DR15" i="2"/>
  <c r="DR16" i="2"/>
  <c r="DR17" i="2"/>
  <c r="DR18" i="2"/>
  <c r="DR19" i="2"/>
  <c r="DR20" i="2"/>
  <c r="DR21" i="2"/>
  <c r="DR22" i="2"/>
  <c r="DR23" i="2"/>
  <c r="DR24" i="2"/>
  <c r="DR25" i="2"/>
  <c r="DR26" i="2"/>
  <c r="DR27" i="2"/>
  <c r="DR28" i="2"/>
  <c r="DR29" i="2"/>
  <c r="DR30" i="2"/>
  <c r="DR31" i="2"/>
  <c r="DR32" i="2"/>
  <c r="DR33" i="2"/>
  <c r="DR34" i="2"/>
  <c r="DR35" i="2"/>
  <c r="DR36" i="2"/>
  <c r="DR37" i="2"/>
  <c r="DR38" i="2"/>
  <c r="DR39" i="2"/>
  <c r="DR40" i="2"/>
  <c r="DR41" i="2"/>
  <c r="DR42" i="2"/>
  <c r="DR43" i="2"/>
  <c r="DR44" i="2"/>
  <c r="DR45" i="2"/>
  <c r="DR46" i="2"/>
  <c r="DR47" i="2"/>
  <c r="DR48" i="2"/>
  <c r="DR49" i="2"/>
  <c r="DR50" i="2"/>
  <c r="DR51" i="2"/>
  <c r="DR52" i="2"/>
  <c r="DR53" i="2"/>
  <c r="DR54" i="2"/>
  <c r="DR55" i="2"/>
  <c r="DR56" i="2"/>
  <c r="DR57" i="2"/>
  <c r="DR58" i="2"/>
  <c r="DR59" i="2"/>
  <c r="DR60" i="2"/>
  <c r="DR61" i="2"/>
  <c r="DR62" i="2"/>
  <c r="DR63" i="2"/>
  <c r="DR64" i="2"/>
  <c r="DR65" i="2"/>
  <c r="DR66" i="2"/>
  <c r="DR67" i="2"/>
  <c r="DR68" i="2"/>
  <c r="DR69" i="2"/>
  <c r="DR70" i="2"/>
  <c r="DR71" i="2"/>
  <c r="DR72" i="2"/>
  <c r="DR73" i="2"/>
  <c r="DR74" i="2"/>
  <c r="DR75" i="2"/>
  <c r="DR76" i="2"/>
  <c r="DR77" i="2"/>
  <c r="DR78" i="2"/>
  <c r="DR79" i="2"/>
  <c r="DR80" i="2"/>
  <c r="DR81" i="2"/>
  <c r="DR82" i="2"/>
  <c r="DR83" i="2"/>
  <c r="DR84" i="2"/>
  <c r="DR85" i="2"/>
  <c r="DR86" i="2"/>
  <c r="DR87" i="2"/>
  <c r="DR88" i="2"/>
  <c r="DR89" i="2"/>
  <c r="DR90" i="2"/>
  <c r="DR91" i="2"/>
  <c r="DR92" i="2"/>
  <c r="DR93" i="2"/>
  <c r="DR94" i="2"/>
  <c r="DR95" i="2"/>
  <c r="DR96" i="2"/>
  <c r="DR97" i="2"/>
  <c r="DR98" i="2"/>
  <c r="DR99" i="2"/>
  <c r="DR100" i="2"/>
  <c r="DR101" i="2"/>
  <c r="DR102" i="2"/>
  <c r="DR103" i="2"/>
  <c r="DR104" i="2"/>
  <c r="DR105" i="2"/>
  <c r="DR106" i="2"/>
  <c r="DR107" i="2"/>
  <c r="DR108" i="2"/>
  <c r="DR109" i="2"/>
  <c r="DR110" i="2"/>
  <c r="DR111" i="2"/>
  <c r="DR112" i="2"/>
  <c r="DR113" i="2"/>
  <c r="DR114" i="2"/>
  <c r="DR115" i="2"/>
  <c r="DR116" i="2"/>
  <c r="DR117" i="2"/>
  <c r="DR118" i="2"/>
  <c r="DR119" i="2"/>
  <c r="DR120" i="2"/>
  <c r="DR121" i="2"/>
  <c r="DR122" i="2"/>
  <c r="DR123" i="2"/>
  <c r="DR124" i="2"/>
  <c r="DR125" i="2"/>
  <c r="DR126" i="2"/>
  <c r="DR127" i="2"/>
  <c r="DR128" i="2"/>
  <c r="DR129" i="2"/>
  <c r="DR130" i="2"/>
  <c r="DR131" i="2"/>
  <c r="DR132" i="2"/>
  <c r="DR133" i="2"/>
  <c r="DR134" i="2"/>
  <c r="DR135" i="2"/>
  <c r="DR136" i="2"/>
  <c r="DR137" i="2"/>
  <c r="DR138" i="2"/>
  <c r="DR139" i="2"/>
  <c r="DR140" i="2"/>
  <c r="DR141" i="2"/>
  <c r="DR142" i="2"/>
  <c r="DR143" i="2"/>
  <c r="DR144" i="2"/>
  <c r="DR145" i="2"/>
  <c r="DR146" i="2"/>
  <c r="DR147" i="2"/>
  <c r="DR148" i="2"/>
  <c r="DR149" i="2"/>
  <c r="DR150" i="2"/>
  <c r="DR151" i="2"/>
  <c r="DR152" i="2"/>
  <c r="DR153" i="2"/>
  <c r="DR154" i="2"/>
  <c r="DR4" i="2"/>
  <c r="CH62" i="1"/>
  <c r="CH63" i="1"/>
  <c r="CH64" i="1"/>
  <c r="CH65" i="1"/>
  <c r="CH66" i="1"/>
  <c r="CH67" i="1"/>
  <c r="CH68" i="1"/>
  <c r="CH69" i="1"/>
  <c r="CH70" i="1"/>
  <c r="CH71" i="1"/>
  <c r="CH72" i="1"/>
  <c r="CH61" i="1"/>
  <c r="BY38" i="1"/>
  <c r="BY39" i="1"/>
  <c r="BY40" i="1"/>
  <c r="BY41" i="1"/>
  <c r="BY42" i="1"/>
  <c r="BY43" i="1"/>
  <c r="BY44" i="1"/>
  <c r="BY45" i="1"/>
  <c r="BY46" i="1"/>
  <c r="BY47" i="1"/>
  <c r="BY48" i="1"/>
  <c r="BY37" i="1"/>
  <c r="BX49" i="1"/>
  <c r="CF62" i="1"/>
  <c r="CF63" i="1"/>
  <c r="CF64" i="1"/>
  <c r="CF65" i="1"/>
  <c r="CF66" i="1"/>
  <c r="CF67" i="1"/>
  <c r="CF68" i="1"/>
  <c r="CF69" i="1"/>
  <c r="CF70" i="1"/>
  <c r="CF71" i="1"/>
  <c r="CF72" i="1"/>
  <c r="CF61" i="1"/>
  <c r="DP5" i="2"/>
  <c r="DP6" i="2"/>
  <c r="DP7" i="2"/>
  <c r="DP8" i="2"/>
  <c r="DP9" i="2"/>
  <c r="DP10" i="2"/>
  <c r="DP11" i="2"/>
  <c r="DP12" i="2"/>
  <c r="DP13" i="2"/>
  <c r="DP14" i="2"/>
  <c r="DP15" i="2"/>
  <c r="DP16" i="2"/>
  <c r="DP17" i="2"/>
  <c r="DP18" i="2"/>
  <c r="DP19" i="2"/>
  <c r="DP20" i="2"/>
  <c r="DP21" i="2"/>
  <c r="DP22" i="2"/>
  <c r="DP23" i="2"/>
  <c r="DP24" i="2"/>
  <c r="DP25" i="2"/>
  <c r="DP26" i="2"/>
  <c r="DP27" i="2"/>
  <c r="DP28" i="2"/>
  <c r="DP29" i="2"/>
  <c r="DP30" i="2"/>
  <c r="DP31" i="2"/>
  <c r="DP32" i="2"/>
  <c r="DP33" i="2"/>
  <c r="DP34" i="2"/>
  <c r="DP35" i="2"/>
  <c r="DP36" i="2"/>
  <c r="DP37" i="2"/>
  <c r="DP38" i="2"/>
  <c r="DP39" i="2"/>
  <c r="DP40" i="2"/>
  <c r="DP41" i="2"/>
  <c r="DP42" i="2"/>
  <c r="DP43" i="2"/>
  <c r="DP44" i="2"/>
  <c r="DP45" i="2"/>
  <c r="DP46" i="2"/>
  <c r="DP47" i="2"/>
  <c r="DP48" i="2"/>
  <c r="DP49" i="2"/>
  <c r="DP50" i="2"/>
  <c r="DP51" i="2"/>
  <c r="DP52" i="2"/>
  <c r="DP53" i="2"/>
  <c r="DP54" i="2"/>
  <c r="DP55" i="2"/>
  <c r="DP56" i="2"/>
  <c r="DP57" i="2"/>
  <c r="DP58" i="2"/>
  <c r="DP59" i="2"/>
  <c r="DP60" i="2"/>
  <c r="DP61" i="2"/>
  <c r="DP62" i="2"/>
  <c r="DP63" i="2"/>
  <c r="DP64" i="2"/>
  <c r="DP65" i="2"/>
  <c r="DP66" i="2"/>
  <c r="DP67" i="2"/>
  <c r="DP68" i="2"/>
  <c r="DP69" i="2"/>
  <c r="DP70" i="2"/>
  <c r="DP71" i="2"/>
  <c r="DP72" i="2"/>
  <c r="DP73" i="2"/>
  <c r="DP74" i="2"/>
  <c r="DP75" i="2"/>
  <c r="DP76" i="2"/>
  <c r="DP77" i="2"/>
  <c r="DP78" i="2"/>
  <c r="DP79" i="2"/>
  <c r="DP80" i="2"/>
  <c r="DP81" i="2"/>
  <c r="DP82" i="2"/>
  <c r="DP83" i="2"/>
  <c r="DP84" i="2"/>
  <c r="DP85" i="2"/>
  <c r="DP86" i="2"/>
  <c r="DP87" i="2"/>
  <c r="DP88" i="2"/>
  <c r="DP89" i="2"/>
  <c r="DP90" i="2"/>
  <c r="DP91" i="2"/>
  <c r="DP92" i="2"/>
  <c r="DP93" i="2"/>
  <c r="DP94" i="2"/>
  <c r="DP95" i="2"/>
  <c r="DP96" i="2"/>
  <c r="DP97" i="2"/>
  <c r="DP98" i="2"/>
  <c r="DP99" i="2"/>
  <c r="DP100" i="2"/>
  <c r="DP101" i="2"/>
  <c r="DP102" i="2"/>
  <c r="DP103" i="2"/>
  <c r="DP104" i="2"/>
  <c r="DP105" i="2"/>
  <c r="DP106" i="2"/>
  <c r="DP107" i="2"/>
  <c r="DP108" i="2"/>
  <c r="DP109" i="2"/>
  <c r="DP110" i="2"/>
  <c r="DP111" i="2"/>
  <c r="DP112" i="2"/>
  <c r="DP113" i="2"/>
  <c r="DP114" i="2"/>
  <c r="DP115" i="2"/>
  <c r="DP116" i="2"/>
  <c r="DP117" i="2"/>
  <c r="DP118" i="2"/>
  <c r="DP119" i="2"/>
  <c r="DP120" i="2"/>
  <c r="DP121" i="2"/>
  <c r="DP122" i="2"/>
  <c r="DP123" i="2"/>
  <c r="DP124" i="2"/>
  <c r="DP125" i="2"/>
  <c r="DP126" i="2"/>
  <c r="DP127" i="2"/>
  <c r="DP128" i="2"/>
  <c r="DP129" i="2"/>
  <c r="DP130" i="2"/>
  <c r="DP131" i="2"/>
  <c r="DP132" i="2"/>
  <c r="DP133" i="2"/>
  <c r="DP134" i="2"/>
  <c r="DP135" i="2"/>
  <c r="DP136" i="2"/>
  <c r="DP137" i="2"/>
  <c r="DP138" i="2"/>
  <c r="DP139" i="2"/>
  <c r="DP140" i="2"/>
  <c r="DP141" i="2"/>
  <c r="DP142" i="2"/>
  <c r="DP143" i="2"/>
  <c r="DP144" i="2"/>
  <c r="DP145" i="2"/>
  <c r="DP146" i="2"/>
  <c r="DP147" i="2"/>
  <c r="DP148" i="2"/>
  <c r="DP149" i="2"/>
  <c r="DP150" i="2"/>
  <c r="DP151" i="2"/>
  <c r="DP152" i="2"/>
  <c r="DP153" i="2"/>
  <c r="DP154" i="2"/>
  <c r="DP4" i="2"/>
  <c r="DN5" i="2"/>
  <c r="DN6" i="2"/>
  <c r="DN7" i="2"/>
  <c r="DN8" i="2"/>
  <c r="DN9" i="2"/>
  <c r="DN10" i="2"/>
  <c r="DN11" i="2"/>
  <c r="DN12" i="2"/>
  <c r="DN13" i="2"/>
  <c r="DN14" i="2"/>
  <c r="DN15" i="2"/>
  <c r="DN16" i="2"/>
  <c r="DN17" i="2"/>
  <c r="DN18" i="2"/>
  <c r="DN19" i="2"/>
  <c r="DN20" i="2"/>
  <c r="DN21" i="2"/>
  <c r="DN22" i="2"/>
  <c r="DN23" i="2"/>
  <c r="DN24" i="2"/>
  <c r="DN25" i="2"/>
  <c r="DN26" i="2"/>
  <c r="DN27" i="2"/>
  <c r="DN28" i="2"/>
  <c r="DN29" i="2"/>
  <c r="DN30" i="2"/>
  <c r="DN31" i="2"/>
  <c r="DN32" i="2"/>
  <c r="DN33" i="2"/>
  <c r="DN34" i="2"/>
  <c r="DN35" i="2"/>
  <c r="DN36" i="2"/>
  <c r="DN37" i="2"/>
  <c r="DN38" i="2"/>
  <c r="DN39" i="2"/>
  <c r="DN40" i="2"/>
  <c r="DN41" i="2"/>
  <c r="DN42" i="2"/>
  <c r="DN43" i="2"/>
  <c r="DN44" i="2"/>
  <c r="DN45" i="2"/>
  <c r="DN46" i="2"/>
  <c r="DN47" i="2"/>
  <c r="DN48" i="2"/>
  <c r="DN49" i="2"/>
  <c r="DN50" i="2"/>
  <c r="DN51" i="2"/>
  <c r="DN52" i="2"/>
  <c r="DN53" i="2"/>
  <c r="DN54" i="2"/>
  <c r="DN55" i="2"/>
  <c r="DN56" i="2"/>
  <c r="DN57" i="2"/>
  <c r="DN58" i="2"/>
  <c r="DN59" i="2"/>
  <c r="DN60" i="2"/>
  <c r="DN61" i="2"/>
  <c r="DN62" i="2"/>
  <c r="DN63" i="2"/>
  <c r="DN64" i="2"/>
  <c r="DN65" i="2"/>
  <c r="DN66" i="2"/>
  <c r="DN67" i="2"/>
  <c r="DN68" i="2"/>
  <c r="DN69" i="2"/>
  <c r="DN70" i="2"/>
  <c r="DN71" i="2"/>
  <c r="DN72" i="2"/>
  <c r="DN73" i="2"/>
  <c r="DN74" i="2"/>
  <c r="DN75" i="2"/>
  <c r="DN76" i="2"/>
  <c r="DN77" i="2"/>
  <c r="DN78" i="2"/>
  <c r="DN79" i="2"/>
  <c r="DN80" i="2"/>
  <c r="DN81" i="2"/>
  <c r="DN82" i="2"/>
  <c r="DN83" i="2"/>
  <c r="DN84" i="2"/>
  <c r="DN85" i="2"/>
  <c r="DN86" i="2"/>
  <c r="DN87" i="2"/>
  <c r="DN88" i="2"/>
  <c r="DN89" i="2"/>
  <c r="DN90" i="2"/>
  <c r="DN91" i="2"/>
  <c r="DN92" i="2"/>
  <c r="DN93" i="2"/>
  <c r="DN94" i="2"/>
  <c r="DN95" i="2"/>
  <c r="DN96" i="2"/>
  <c r="DN97" i="2"/>
  <c r="DN98" i="2"/>
  <c r="DN99" i="2"/>
  <c r="DN100" i="2"/>
  <c r="DN101" i="2"/>
  <c r="DN102" i="2"/>
  <c r="DN103" i="2"/>
  <c r="DN104" i="2"/>
  <c r="DN105" i="2"/>
  <c r="DN106" i="2"/>
  <c r="DN107" i="2"/>
  <c r="DN108" i="2"/>
  <c r="DN109" i="2"/>
  <c r="DN110" i="2"/>
  <c r="DN111" i="2"/>
  <c r="DN112" i="2"/>
  <c r="DN113" i="2"/>
  <c r="DN114" i="2"/>
  <c r="DN115" i="2"/>
  <c r="DN116" i="2"/>
  <c r="DN117" i="2"/>
  <c r="DN118" i="2"/>
  <c r="DN119" i="2"/>
  <c r="DN120" i="2"/>
  <c r="DN121" i="2"/>
  <c r="DN122" i="2"/>
  <c r="DN123" i="2"/>
  <c r="DN124" i="2"/>
  <c r="DN125" i="2"/>
  <c r="DN126" i="2"/>
  <c r="DN127" i="2"/>
  <c r="DN128" i="2"/>
  <c r="DN129" i="2"/>
  <c r="DN130" i="2"/>
  <c r="DN131" i="2"/>
  <c r="DN132" i="2"/>
  <c r="DN133" i="2"/>
  <c r="DN134" i="2"/>
  <c r="DN135" i="2"/>
  <c r="DN136" i="2"/>
  <c r="DN137" i="2"/>
  <c r="DN138" i="2"/>
  <c r="DN139" i="2"/>
  <c r="DN140" i="2"/>
  <c r="DN141" i="2"/>
  <c r="DN142" i="2"/>
  <c r="DN143" i="2"/>
  <c r="DN144" i="2"/>
  <c r="DN145" i="2"/>
  <c r="DN146" i="2"/>
  <c r="DN147" i="2"/>
  <c r="DN148" i="2"/>
  <c r="DN149" i="2"/>
  <c r="DN150" i="2"/>
  <c r="DN151" i="2"/>
  <c r="DN152" i="2"/>
  <c r="DN153" i="2"/>
  <c r="DN154" i="2"/>
  <c r="DN4" i="2"/>
  <c r="BW38" i="1"/>
  <c r="BW39" i="1"/>
  <c r="BW40" i="1"/>
  <c r="BW41" i="1"/>
  <c r="BW42" i="1"/>
  <c r="BW43" i="1"/>
  <c r="BW44" i="1"/>
  <c r="BW45" i="1"/>
  <c r="BW46" i="1"/>
  <c r="BW47" i="1"/>
  <c r="BW48" i="1"/>
  <c r="BW37" i="1"/>
  <c r="BV49" i="1"/>
  <c r="CA49" i="1" l="1"/>
  <c r="BY49" i="1"/>
  <c r="DL5" i="2"/>
  <c r="DL6" i="2"/>
  <c r="DL7" i="2"/>
  <c r="DL8" i="2"/>
  <c r="DL9" i="2"/>
  <c r="DL10" i="2"/>
  <c r="DL11" i="2"/>
  <c r="DL12" i="2"/>
  <c r="DL13" i="2"/>
  <c r="DL14" i="2"/>
  <c r="DL15" i="2"/>
  <c r="DL16" i="2"/>
  <c r="DL17" i="2"/>
  <c r="DL18" i="2"/>
  <c r="DL19" i="2"/>
  <c r="DL20" i="2"/>
  <c r="DL21" i="2"/>
  <c r="DL22" i="2"/>
  <c r="DL23" i="2"/>
  <c r="DL24" i="2"/>
  <c r="DL25" i="2"/>
  <c r="DL26" i="2"/>
  <c r="DL27" i="2"/>
  <c r="DL28" i="2"/>
  <c r="DL29" i="2"/>
  <c r="DL30" i="2"/>
  <c r="DL31" i="2"/>
  <c r="DL32" i="2"/>
  <c r="DL33" i="2"/>
  <c r="DL34" i="2"/>
  <c r="DL35" i="2"/>
  <c r="DL36" i="2"/>
  <c r="DL37" i="2"/>
  <c r="DL38" i="2"/>
  <c r="DL39" i="2"/>
  <c r="DL40" i="2"/>
  <c r="DL41" i="2"/>
  <c r="DL42" i="2"/>
  <c r="DL43" i="2"/>
  <c r="DL44" i="2"/>
  <c r="DL45" i="2"/>
  <c r="DL46" i="2"/>
  <c r="DL47" i="2"/>
  <c r="DL48" i="2"/>
  <c r="DL49" i="2"/>
  <c r="DL50" i="2"/>
  <c r="DL51" i="2"/>
  <c r="DL52" i="2"/>
  <c r="DL53" i="2"/>
  <c r="DL54" i="2"/>
  <c r="DL55" i="2"/>
  <c r="DL56" i="2"/>
  <c r="DL57" i="2"/>
  <c r="DL58" i="2"/>
  <c r="DL59" i="2"/>
  <c r="DL60" i="2"/>
  <c r="DL61" i="2"/>
  <c r="DL62" i="2"/>
  <c r="DL63" i="2"/>
  <c r="DL64" i="2"/>
  <c r="DL65" i="2"/>
  <c r="DL66" i="2"/>
  <c r="DL67" i="2"/>
  <c r="DL68" i="2"/>
  <c r="DL69" i="2"/>
  <c r="DL70" i="2"/>
  <c r="DL71" i="2"/>
  <c r="DL72" i="2"/>
  <c r="DL73" i="2"/>
  <c r="DL74" i="2"/>
  <c r="DL75" i="2"/>
  <c r="DL76" i="2"/>
  <c r="DL77" i="2"/>
  <c r="DL78" i="2"/>
  <c r="DL79" i="2"/>
  <c r="DL80" i="2"/>
  <c r="DL81" i="2"/>
  <c r="DL82" i="2"/>
  <c r="DL83" i="2"/>
  <c r="DL84" i="2"/>
  <c r="DL85" i="2"/>
  <c r="DL86" i="2"/>
  <c r="DL87" i="2"/>
  <c r="DL88" i="2"/>
  <c r="DL89" i="2"/>
  <c r="DL90" i="2"/>
  <c r="DL91" i="2"/>
  <c r="DL92" i="2"/>
  <c r="DL93" i="2"/>
  <c r="DL94" i="2"/>
  <c r="DL95" i="2"/>
  <c r="DL96" i="2"/>
  <c r="DL97" i="2"/>
  <c r="DL98" i="2"/>
  <c r="DL99" i="2"/>
  <c r="DL100" i="2"/>
  <c r="DL101" i="2"/>
  <c r="DL102" i="2"/>
  <c r="DL103" i="2"/>
  <c r="DL104" i="2"/>
  <c r="DL105" i="2"/>
  <c r="DL106" i="2"/>
  <c r="DL107" i="2"/>
  <c r="DL108" i="2"/>
  <c r="DL109" i="2"/>
  <c r="DL110" i="2"/>
  <c r="DL111" i="2"/>
  <c r="DL112" i="2"/>
  <c r="DL113" i="2"/>
  <c r="DL114" i="2"/>
  <c r="DL115" i="2"/>
  <c r="DL116" i="2"/>
  <c r="DL117" i="2"/>
  <c r="DL118" i="2"/>
  <c r="DL119" i="2"/>
  <c r="DL120" i="2"/>
  <c r="DL121" i="2"/>
  <c r="DL122" i="2"/>
  <c r="DL123" i="2"/>
  <c r="DL124" i="2"/>
  <c r="DL125" i="2"/>
  <c r="DL126" i="2"/>
  <c r="DL127" i="2"/>
  <c r="DL128" i="2"/>
  <c r="DL129" i="2"/>
  <c r="DL130" i="2"/>
  <c r="DL131" i="2"/>
  <c r="DL132" i="2"/>
  <c r="DL133" i="2"/>
  <c r="DL134" i="2"/>
  <c r="DL135" i="2"/>
  <c r="DL136" i="2"/>
  <c r="DL137" i="2"/>
  <c r="DL138" i="2"/>
  <c r="DL139" i="2"/>
  <c r="DL140" i="2"/>
  <c r="DL141" i="2"/>
  <c r="DL142" i="2"/>
  <c r="DL143" i="2"/>
  <c r="DL144" i="2"/>
  <c r="DL145" i="2"/>
  <c r="DL146" i="2"/>
  <c r="DL147" i="2"/>
  <c r="DL148" i="2"/>
  <c r="DL149" i="2"/>
  <c r="DL150" i="2"/>
  <c r="DL151" i="2"/>
  <c r="DL152" i="2"/>
  <c r="DL153" i="2"/>
  <c r="DL154" i="2"/>
  <c r="DL4" i="2"/>
  <c r="DJ5" i="2"/>
  <c r="DJ6" i="2"/>
  <c r="DJ7" i="2"/>
  <c r="DJ8" i="2"/>
  <c r="DJ9" i="2"/>
  <c r="DJ10" i="2"/>
  <c r="DJ11" i="2"/>
  <c r="DJ12" i="2"/>
  <c r="DJ13" i="2"/>
  <c r="DJ14" i="2"/>
  <c r="DJ15" i="2"/>
  <c r="DJ16" i="2"/>
  <c r="DJ17" i="2"/>
  <c r="DJ18" i="2"/>
  <c r="DJ19" i="2"/>
  <c r="DJ20" i="2"/>
  <c r="DJ21" i="2"/>
  <c r="DJ22" i="2"/>
  <c r="DJ23" i="2"/>
  <c r="DJ24" i="2"/>
  <c r="DJ25" i="2"/>
  <c r="DJ26" i="2"/>
  <c r="DJ27" i="2"/>
  <c r="DJ28" i="2"/>
  <c r="DJ29" i="2"/>
  <c r="DJ30" i="2"/>
  <c r="DJ31" i="2"/>
  <c r="DJ32" i="2"/>
  <c r="DJ33" i="2"/>
  <c r="DJ34" i="2"/>
  <c r="DJ35" i="2"/>
  <c r="DJ36" i="2"/>
  <c r="DJ37" i="2"/>
  <c r="DJ38" i="2"/>
  <c r="DJ39" i="2"/>
  <c r="DJ40" i="2"/>
  <c r="DJ41" i="2"/>
  <c r="DJ42" i="2"/>
  <c r="DJ43" i="2"/>
  <c r="DJ44" i="2"/>
  <c r="DJ45" i="2"/>
  <c r="DJ46" i="2"/>
  <c r="DJ47" i="2"/>
  <c r="DJ48" i="2"/>
  <c r="DJ49" i="2"/>
  <c r="DJ50" i="2"/>
  <c r="DJ51" i="2"/>
  <c r="DJ52" i="2"/>
  <c r="DJ53" i="2"/>
  <c r="DJ54" i="2"/>
  <c r="DJ55" i="2"/>
  <c r="DJ56" i="2"/>
  <c r="DJ57" i="2"/>
  <c r="DJ58" i="2"/>
  <c r="DJ59" i="2"/>
  <c r="DJ60" i="2"/>
  <c r="DJ61" i="2"/>
  <c r="DJ62" i="2"/>
  <c r="DJ63" i="2"/>
  <c r="DJ64" i="2"/>
  <c r="DJ65" i="2"/>
  <c r="DJ66" i="2"/>
  <c r="DJ67" i="2"/>
  <c r="DJ68" i="2"/>
  <c r="DJ69" i="2"/>
  <c r="DJ70" i="2"/>
  <c r="DJ71" i="2"/>
  <c r="DJ72" i="2"/>
  <c r="DJ73" i="2"/>
  <c r="DJ74" i="2"/>
  <c r="DJ75" i="2"/>
  <c r="DJ76" i="2"/>
  <c r="DJ77" i="2"/>
  <c r="DJ78" i="2"/>
  <c r="DJ79" i="2"/>
  <c r="DJ80" i="2"/>
  <c r="DJ81" i="2"/>
  <c r="DJ82" i="2"/>
  <c r="DJ83" i="2"/>
  <c r="DJ84" i="2"/>
  <c r="DJ85" i="2"/>
  <c r="DJ86" i="2"/>
  <c r="DJ87" i="2"/>
  <c r="DJ88" i="2"/>
  <c r="DJ89" i="2"/>
  <c r="DJ90" i="2"/>
  <c r="DJ91" i="2"/>
  <c r="DJ92" i="2"/>
  <c r="DJ93" i="2"/>
  <c r="DJ94" i="2"/>
  <c r="DJ95" i="2"/>
  <c r="DJ96" i="2"/>
  <c r="DJ97" i="2"/>
  <c r="DJ98" i="2"/>
  <c r="DJ99" i="2"/>
  <c r="DJ100" i="2"/>
  <c r="DJ101" i="2"/>
  <c r="DJ102" i="2"/>
  <c r="DJ103" i="2"/>
  <c r="DJ104" i="2"/>
  <c r="DJ105" i="2"/>
  <c r="DJ106" i="2"/>
  <c r="DJ107" i="2"/>
  <c r="DJ108" i="2"/>
  <c r="DJ109" i="2"/>
  <c r="DJ110" i="2"/>
  <c r="DJ111" i="2"/>
  <c r="DJ112" i="2"/>
  <c r="DJ113" i="2"/>
  <c r="DJ114" i="2"/>
  <c r="DJ115" i="2"/>
  <c r="DJ116" i="2"/>
  <c r="DJ117" i="2"/>
  <c r="DJ118" i="2"/>
  <c r="DJ119" i="2"/>
  <c r="DJ120" i="2"/>
  <c r="DJ121" i="2"/>
  <c r="DJ122" i="2"/>
  <c r="DJ123" i="2"/>
  <c r="DJ124" i="2"/>
  <c r="DJ125" i="2"/>
  <c r="DJ126" i="2"/>
  <c r="DJ127" i="2"/>
  <c r="DJ128" i="2"/>
  <c r="DJ129" i="2"/>
  <c r="DJ130" i="2"/>
  <c r="DJ131" i="2"/>
  <c r="DJ132" i="2"/>
  <c r="DJ133" i="2"/>
  <c r="DJ134" i="2"/>
  <c r="DJ135" i="2"/>
  <c r="DJ136" i="2"/>
  <c r="DJ137" i="2"/>
  <c r="DJ138" i="2"/>
  <c r="DJ139" i="2"/>
  <c r="DJ140" i="2"/>
  <c r="DJ141" i="2"/>
  <c r="DJ142" i="2"/>
  <c r="DJ143" i="2"/>
  <c r="DJ144" i="2"/>
  <c r="DJ145" i="2"/>
  <c r="DJ146" i="2"/>
  <c r="DJ147" i="2"/>
  <c r="DJ148" i="2"/>
  <c r="DJ149" i="2"/>
  <c r="DJ150" i="2"/>
  <c r="DJ151" i="2"/>
  <c r="DJ152" i="2"/>
  <c r="DJ153" i="2"/>
  <c r="DJ154" i="2"/>
  <c r="DJ4" i="2"/>
  <c r="CD62" i="1"/>
  <c r="CD63" i="1"/>
  <c r="CD64" i="1"/>
  <c r="CD65" i="1"/>
  <c r="CD66" i="1"/>
  <c r="CD67" i="1"/>
  <c r="CD68" i="1"/>
  <c r="CD69" i="1"/>
  <c r="CD70" i="1"/>
  <c r="CD71" i="1"/>
  <c r="CD72" i="1"/>
  <c r="CD61" i="1"/>
  <c r="BU38" i="1"/>
  <c r="BU39" i="1"/>
  <c r="BU40" i="1"/>
  <c r="BU41" i="1"/>
  <c r="BU42" i="1"/>
  <c r="BU43" i="1"/>
  <c r="BU44" i="1"/>
  <c r="BU45" i="1"/>
  <c r="BU46" i="1"/>
  <c r="BU47" i="1"/>
  <c r="BU48" i="1"/>
  <c r="BU37" i="1"/>
  <c r="BT49" i="1"/>
  <c r="BW49" i="1" l="1"/>
  <c r="DH5" i="2"/>
  <c r="DH6" i="2"/>
  <c r="DH7" i="2"/>
  <c r="DH8" i="2"/>
  <c r="DH9" i="2"/>
  <c r="DH10" i="2"/>
  <c r="DH11" i="2"/>
  <c r="DH12" i="2"/>
  <c r="DH13" i="2"/>
  <c r="DH14" i="2"/>
  <c r="DH15" i="2"/>
  <c r="DH16" i="2"/>
  <c r="DH17" i="2"/>
  <c r="DH18" i="2"/>
  <c r="DH19" i="2"/>
  <c r="DH20" i="2"/>
  <c r="DH21" i="2"/>
  <c r="DH22" i="2"/>
  <c r="DH23" i="2"/>
  <c r="DH24" i="2"/>
  <c r="DH25" i="2"/>
  <c r="DH26" i="2"/>
  <c r="DH27" i="2"/>
  <c r="DH28" i="2"/>
  <c r="DH29" i="2"/>
  <c r="DH30" i="2"/>
  <c r="DH31" i="2"/>
  <c r="DH32" i="2"/>
  <c r="DH33" i="2"/>
  <c r="DH34" i="2"/>
  <c r="DH35" i="2"/>
  <c r="DH36" i="2"/>
  <c r="DH37" i="2"/>
  <c r="DH38" i="2"/>
  <c r="DH39" i="2"/>
  <c r="DH40" i="2"/>
  <c r="DH41" i="2"/>
  <c r="DH42" i="2"/>
  <c r="DH43" i="2"/>
  <c r="DH44" i="2"/>
  <c r="DH45" i="2"/>
  <c r="DH46" i="2"/>
  <c r="DH47" i="2"/>
  <c r="DH48" i="2"/>
  <c r="DH49" i="2"/>
  <c r="DH50" i="2"/>
  <c r="DH51" i="2"/>
  <c r="DH52" i="2"/>
  <c r="DH53" i="2"/>
  <c r="DH54" i="2"/>
  <c r="DH55" i="2"/>
  <c r="DH56" i="2"/>
  <c r="DH57" i="2"/>
  <c r="DH58" i="2"/>
  <c r="DH59" i="2"/>
  <c r="DH60" i="2"/>
  <c r="DH61" i="2"/>
  <c r="DH62" i="2"/>
  <c r="DH63" i="2"/>
  <c r="DH64" i="2"/>
  <c r="DH65" i="2"/>
  <c r="DH66" i="2"/>
  <c r="DH67" i="2"/>
  <c r="DH68" i="2"/>
  <c r="DH69" i="2"/>
  <c r="DH70" i="2"/>
  <c r="DH71" i="2"/>
  <c r="DH72" i="2"/>
  <c r="DH73" i="2"/>
  <c r="DH74" i="2"/>
  <c r="DH75" i="2"/>
  <c r="DH76" i="2"/>
  <c r="DH77" i="2"/>
  <c r="DH78" i="2"/>
  <c r="DH79" i="2"/>
  <c r="DH80" i="2"/>
  <c r="DH81" i="2"/>
  <c r="DH82" i="2"/>
  <c r="DH83" i="2"/>
  <c r="DH84" i="2"/>
  <c r="DH85" i="2"/>
  <c r="DH86" i="2"/>
  <c r="DH87" i="2"/>
  <c r="DH88" i="2"/>
  <c r="DH89" i="2"/>
  <c r="DH90" i="2"/>
  <c r="DH91" i="2"/>
  <c r="DH92" i="2"/>
  <c r="DH93" i="2"/>
  <c r="DH94" i="2"/>
  <c r="DH95" i="2"/>
  <c r="DH96" i="2"/>
  <c r="DH97" i="2"/>
  <c r="DH98" i="2"/>
  <c r="DH99" i="2"/>
  <c r="DH100" i="2"/>
  <c r="DH101" i="2"/>
  <c r="DH102" i="2"/>
  <c r="DH103" i="2"/>
  <c r="DH104" i="2"/>
  <c r="DH105" i="2"/>
  <c r="DH106" i="2"/>
  <c r="DH107" i="2"/>
  <c r="DH108" i="2"/>
  <c r="DH109" i="2"/>
  <c r="DH110" i="2"/>
  <c r="DH111" i="2"/>
  <c r="DH112" i="2"/>
  <c r="DH113" i="2"/>
  <c r="DH114" i="2"/>
  <c r="DH115" i="2"/>
  <c r="DH116" i="2"/>
  <c r="DH117" i="2"/>
  <c r="DH118" i="2"/>
  <c r="DH119" i="2"/>
  <c r="DH120" i="2"/>
  <c r="DH121" i="2"/>
  <c r="DH122" i="2"/>
  <c r="DH123" i="2"/>
  <c r="DH124" i="2"/>
  <c r="DH125" i="2"/>
  <c r="DH126" i="2"/>
  <c r="DH127" i="2"/>
  <c r="DH128" i="2"/>
  <c r="DH129" i="2"/>
  <c r="DH130" i="2"/>
  <c r="DH131" i="2"/>
  <c r="DH132" i="2"/>
  <c r="DH133" i="2"/>
  <c r="DH134" i="2"/>
  <c r="DH135" i="2"/>
  <c r="DH136" i="2"/>
  <c r="DH137" i="2"/>
  <c r="DH138" i="2"/>
  <c r="DH139" i="2"/>
  <c r="DH140" i="2"/>
  <c r="DH141" i="2"/>
  <c r="DH142" i="2"/>
  <c r="DH143" i="2"/>
  <c r="DH144" i="2"/>
  <c r="DH145" i="2"/>
  <c r="DH146" i="2"/>
  <c r="DH147" i="2"/>
  <c r="DH148" i="2"/>
  <c r="DH149" i="2"/>
  <c r="DH150" i="2"/>
  <c r="DH151" i="2"/>
  <c r="DH152" i="2"/>
  <c r="DH153" i="2"/>
  <c r="DH154" i="2"/>
  <c r="DH4" i="2"/>
  <c r="DF5" i="2"/>
  <c r="DF6" i="2"/>
  <c r="DF7" i="2"/>
  <c r="DF8" i="2"/>
  <c r="DF9" i="2"/>
  <c r="DF10" i="2"/>
  <c r="DF11" i="2"/>
  <c r="DF12" i="2"/>
  <c r="DF13" i="2"/>
  <c r="DF14" i="2"/>
  <c r="DF15" i="2"/>
  <c r="DF16" i="2"/>
  <c r="DF17" i="2"/>
  <c r="DF18" i="2"/>
  <c r="DF19" i="2"/>
  <c r="DF20" i="2"/>
  <c r="DF21" i="2"/>
  <c r="DF22" i="2"/>
  <c r="DF23" i="2"/>
  <c r="DF24" i="2"/>
  <c r="DF25" i="2"/>
  <c r="DF26" i="2"/>
  <c r="DF27" i="2"/>
  <c r="DF28" i="2"/>
  <c r="DF29" i="2"/>
  <c r="DF30" i="2"/>
  <c r="DF31" i="2"/>
  <c r="DF32" i="2"/>
  <c r="DF33" i="2"/>
  <c r="DF34" i="2"/>
  <c r="DF35" i="2"/>
  <c r="DF36" i="2"/>
  <c r="DF37" i="2"/>
  <c r="DF38" i="2"/>
  <c r="DF39" i="2"/>
  <c r="DF40" i="2"/>
  <c r="DF41" i="2"/>
  <c r="DF42" i="2"/>
  <c r="DF43" i="2"/>
  <c r="DF44" i="2"/>
  <c r="DF45" i="2"/>
  <c r="DF46" i="2"/>
  <c r="DF47" i="2"/>
  <c r="DF48" i="2"/>
  <c r="DF49" i="2"/>
  <c r="DF50" i="2"/>
  <c r="DF51" i="2"/>
  <c r="DF52" i="2"/>
  <c r="DF53" i="2"/>
  <c r="DF54" i="2"/>
  <c r="DF55" i="2"/>
  <c r="DF56" i="2"/>
  <c r="DF57" i="2"/>
  <c r="DF58" i="2"/>
  <c r="DF59" i="2"/>
  <c r="DF60" i="2"/>
  <c r="DF61" i="2"/>
  <c r="DF62" i="2"/>
  <c r="DF63" i="2"/>
  <c r="DF64" i="2"/>
  <c r="DF65" i="2"/>
  <c r="DF66" i="2"/>
  <c r="DF67" i="2"/>
  <c r="DF68" i="2"/>
  <c r="DF69" i="2"/>
  <c r="DF70" i="2"/>
  <c r="DF71" i="2"/>
  <c r="DF72" i="2"/>
  <c r="DF73" i="2"/>
  <c r="DF74" i="2"/>
  <c r="DF75" i="2"/>
  <c r="DF76" i="2"/>
  <c r="DF77" i="2"/>
  <c r="DF78" i="2"/>
  <c r="DF79" i="2"/>
  <c r="DF80" i="2"/>
  <c r="DF81" i="2"/>
  <c r="DF82" i="2"/>
  <c r="DF83" i="2"/>
  <c r="DF84" i="2"/>
  <c r="DF85" i="2"/>
  <c r="DF86" i="2"/>
  <c r="DF87" i="2"/>
  <c r="DF88" i="2"/>
  <c r="DF89" i="2"/>
  <c r="DF90" i="2"/>
  <c r="DF91" i="2"/>
  <c r="DF92" i="2"/>
  <c r="DF93" i="2"/>
  <c r="DF94" i="2"/>
  <c r="DF95" i="2"/>
  <c r="DF96" i="2"/>
  <c r="DF97" i="2"/>
  <c r="DF98" i="2"/>
  <c r="DF99" i="2"/>
  <c r="DF100" i="2"/>
  <c r="DF101" i="2"/>
  <c r="DF102" i="2"/>
  <c r="DF103" i="2"/>
  <c r="DF104" i="2"/>
  <c r="DF105" i="2"/>
  <c r="DF106" i="2"/>
  <c r="DF107" i="2"/>
  <c r="DF108" i="2"/>
  <c r="DF109" i="2"/>
  <c r="DF110" i="2"/>
  <c r="DF111" i="2"/>
  <c r="DF112" i="2"/>
  <c r="DF113" i="2"/>
  <c r="DF114" i="2"/>
  <c r="DF115" i="2"/>
  <c r="DF116" i="2"/>
  <c r="DF117" i="2"/>
  <c r="DF118" i="2"/>
  <c r="DF119" i="2"/>
  <c r="DF120" i="2"/>
  <c r="DF121" i="2"/>
  <c r="DF122" i="2"/>
  <c r="DF123" i="2"/>
  <c r="DF124" i="2"/>
  <c r="DF125" i="2"/>
  <c r="DF126" i="2"/>
  <c r="DF127" i="2"/>
  <c r="DF128" i="2"/>
  <c r="DF129" i="2"/>
  <c r="DF130" i="2"/>
  <c r="DF131" i="2"/>
  <c r="DF132" i="2"/>
  <c r="DF133" i="2"/>
  <c r="DF134" i="2"/>
  <c r="DF135" i="2"/>
  <c r="DF136" i="2"/>
  <c r="DF137" i="2"/>
  <c r="DF138" i="2"/>
  <c r="DF139" i="2"/>
  <c r="DF140" i="2"/>
  <c r="DF141" i="2"/>
  <c r="DF142" i="2"/>
  <c r="DF143" i="2"/>
  <c r="DF144" i="2"/>
  <c r="DF145" i="2"/>
  <c r="DF146" i="2"/>
  <c r="DF147" i="2"/>
  <c r="DF148" i="2"/>
  <c r="DF149" i="2"/>
  <c r="DF150" i="2"/>
  <c r="DF151" i="2"/>
  <c r="DF152" i="2"/>
  <c r="DF153" i="2"/>
  <c r="DF154" i="2"/>
  <c r="DF4" i="2"/>
  <c r="CB62" i="1"/>
  <c r="CB63" i="1"/>
  <c r="CB64" i="1"/>
  <c r="CB65" i="1"/>
  <c r="CB66" i="1"/>
  <c r="CB67" i="1"/>
  <c r="CB68" i="1"/>
  <c r="CB69" i="1"/>
  <c r="CB70" i="1"/>
  <c r="CB71" i="1"/>
  <c r="CB72" i="1"/>
  <c r="CB61" i="1"/>
  <c r="BS38" i="1"/>
  <c r="BS39" i="1"/>
  <c r="BS40" i="1"/>
  <c r="BS41" i="1"/>
  <c r="BS42" i="1"/>
  <c r="BS43" i="1"/>
  <c r="BS44" i="1"/>
  <c r="BS45" i="1"/>
  <c r="BS46" i="1"/>
  <c r="BS47" i="1"/>
  <c r="BS48" i="1"/>
  <c r="BS37" i="1"/>
  <c r="BR49" i="1"/>
  <c r="BU49" i="1" l="1"/>
  <c r="DD5" i="2"/>
  <c r="DD6" i="2"/>
  <c r="DD7" i="2"/>
  <c r="DD8" i="2"/>
  <c r="DD9" i="2"/>
  <c r="DD10" i="2"/>
  <c r="DD11" i="2"/>
  <c r="DD12" i="2"/>
  <c r="DD13" i="2"/>
  <c r="DD14" i="2"/>
  <c r="DD15" i="2"/>
  <c r="DD16" i="2"/>
  <c r="DD17" i="2"/>
  <c r="DD18" i="2"/>
  <c r="DD19" i="2"/>
  <c r="DD20" i="2"/>
  <c r="DD21" i="2"/>
  <c r="DD22" i="2"/>
  <c r="DD23" i="2"/>
  <c r="DD24" i="2"/>
  <c r="DD25" i="2"/>
  <c r="DD26" i="2"/>
  <c r="DD27" i="2"/>
  <c r="DD28" i="2"/>
  <c r="DD29" i="2"/>
  <c r="DD30" i="2"/>
  <c r="DD31" i="2"/>
  <c r="DD32" i="2"/>
  <c r="DD33" i="2"/>
  <c r="DD34" i="2"/>
  <c r="DD35" i="2"/>
  <c r="DD36" i="2"/>
  <c r="DD37" i="2"/>
  <c r="DD38" i="2"/>
  <c r="DD39" i="2"/>
  <c r="DD40" i="2"/>
  <c r="DD41" i="2"/>
  <c r="DD42" i="2"/>
  <c r="DD43" i="2"/>
  <c r="DD44" i="2"/>
  <c r="DD45" i="2"/>
  <c r="DD46" i="2"/>
  <c r="DD47" i="2"/>
  <c r="DD48" i="2"/>
  <c r="DD49" i="2"/>
  <c r="DD50" i="2"/>
  <c r="DD51" i="2"/>
  <c r="DD52" i="2"/>
  <c r="DD53" i="2"/>
  <c r="DD54" i="2"/>
  <c r="DD55" i="2"/>
  <c r="DD56" i="2"/>
  <c r="DD57" i="2"/>
  <c r="DD58" i="2"/>
  <c r="DD59" i="2"/>
  <c r="DD60" i="2"/>
  <c r="DD61" i="2"/>
  <c r="DD62" i="2"/>
  <c r="DD63" i="2"/>
  <c r="DD64" i="2"/>
  <c r="DD65" i="2"/>
  <c r="DD66" i="2"/>
  <c r="DD67" i="2"/>
  <c r="DD68" i="2"/>
  <c r="DD69" i="2"/>
  <c r="DD70" i="2"/>
  <c r="DD71" i="2"/>
  <c r="DD72" i="2"/>
  <c r="DD73" i="2"/>
  <c r="DD74" i="2"/>
  <c r="DD75" i="2"/>
  <c r="DD76" i="2"/>
  <c r="DD77" i="2"/>
  <c r="DD78" i="2"/>
  <c r="DD79" i="2"/>
  <c r="DD80" i="2"/>
  <c r="DD81" i="2"/>
  <c r="DD82" i="2"/>
  <c r="DD83" i="2"/>
  <c r="DD84" i="2"/>
  <c r="DD85" i="2"/>
  <c r="DD86" i="2"/>
  <c r="DD87" i="2"/>
  <c r="DD88" i="2"/>
  <c r="DD89" i="2"/>
  <c r="DD90" i="2"/>
  <c r="DD91" i="2"/>
  <c r="DD92" i="2"/>
  <c r="DD93" i="2"/>
  <c r="DD94" i="2"/>
  <c r="DD95" i="2"/>
  <c r="DD96" i="2"/>
  <c r="DD97" i="2"/>
  <c r="DD98" i="2"/>
  <c r="DD99" i="2"/>
  <c r="DD100" i="2"/>
  <c r="DD101" i="2"/>
  <c r="DD102" i="2"/>
  <c r="DD103" i="2"/>
  <c r="DD104" i="2"/>
  <c r="DD105" i="2"/>
  <c r="DD106" i="2"/>
  <c r="DD107" i="2"/>
  <c r="DD108" i="2"/>
  <c r="DD109" i="2"/>
  <c r="DD110" i="2"/>
  <c r="DD111" i="2"/>
  <c r="DD112" i="2"/>
  <c r="DD113" i="2"/>
  <c r="DD114" i="2"/>
  <c r="DD115" i="2"/>
  <c r="DD116" i="2"/>
  <c r="DD117" i="2"/>
  <c r="DD118" i="2"/>
  <c r="DD119" i="2"/>
  <c r="DD120" i="2"/>
  <c r="DD121" i="2"/>
  <c r="DD122" i="2"/>
  <c r="DD123" i="2"/>
  <c r="DD124" i="2"/>
  <c r="DD125" i="2"/>
  <c r="DD126" i="2"/>
  <c r="DD127" i="2"/>
  <c r="DD128" i="2"/>
  <c r="DD129" i="2"/>
  <c r="DD130" i="2"/>
  <c r="DD131" i="2"/>
  <c r="DD132" i="2"/>
  <c r="DD133" i="2"/>
  <c r="DD134" i="2"/>
  <c r="DD135" i="2"/>
  <c r="DD136" i="2"/>
  <c r="DD137" i="2"/>
  <c r="DD138" i="2"/>
  <c r="DD139" i="2"/>
  <c r="DD140" i="2"/>
  <c r="DD141" i="2"/>
  <c r="DD142" i="2"/>
  <c r="DD143" i="2"/>
  <c r="DD144" i="2"/>
  <c r="DD145" i="2"/>
  <c r="DD146" i="2"/>
  <c r="DD147" i="2"/>
  <c r="DD148" i="2"/>
  <c r="DD149" i="2"/>
  <c r="DD150" i="2"/>
  <c r="DD151" i="2"/>
  <c r="DD152" i="2"/>
  <c r="DD153" i="2"/>
  <c r="DD154" i="2"/>
  <c r="DD4" i="2"/>
  <c r="DB5" i="2"/>
  <c r="DB6" i="2"/>
  <c r="DB7" i="2"/>
  <c r="DB8" i="2"/>
  <c r="DB9" i="2"/>
  <c r="DB10" i="2"/>
  <c r="DB11" i="2"/>
  <c r="DB12" i="2"/>
  <c r="DB13" i="2"/>
  <c r="DB14" i="2"/>
  <c r="DB15" i="2"/>
  <c r="DB16" i="2"/>
  <c r="DB17" i="2"/>
  <c r="DB18" i="2"/>
  <c r="DB19" i="2"/>
  <c r="DB20" i="2"/>
  <c r="DB21" i="2"/>
  <c r="DB22" i="2"/>
  <c r="DB23" i="2"/>
  <c r="DB24" i="2"/>
  <c r="DB25" i="2"/>
  <c r="DB26" i="2"/>
  <c r="DB27" i="2"/>
  <c r="DB28" i="2"/>
  <c r="DB29" i="2"/>
  <c r="DB30" i="2"/>
  <c r="DB31" i="2"/>
  <c r="DB32" i="2"/>
  <c r="DB33" i="2"/>
  <c r="DB34" i="2"/>
  <c r="DB35" i="2"/>
  <c r="DB36" i="2"/>
  <c r="DB37" i="2"/>
  <c r="DB38" i="2"/>
  <c r="DB39" i="2"/>
  <c r="DB40" i="2"/>
  <c r="DB41" i="2"/>
  <c r="DB42" i="2"/>
  <c r="DB43" i="2"/>
  <c r="DB44" i="2"/>
  <c r="DB45" i="2"/>
  <c r="DB46" i="2"/>
  <c r="DB47" i="2"/>
  <c r="DB48" i="2"/>
  <c r="DB49" i="2"/>
  <c r="DB50" i="2"/>
  <c r="DB51" i="2"/>
  <c r="DB52" i="2"/>
  <c r="DB53" i="2"/>
  <c r="DB54" i="2"/>
  <c r="DB55" i="2"/>
  <c r="DB56" i="2"/>
  <c r="DB57" i="2"/>
  <c r="DB58" i="2"/>
  <c r="DB59" i="2"/>
  <c r="DB60" i="2"/>
  <c r="DB61" i="2"/>
  <c r="DB62" i="2"/>
  <c r="DB63" i="2"/>
  <c r="DB64" i="2"/>
  <c r="DB65" i="2"/>
  <c r="DB66" i="2"/>
  <c r="DB67" i="2"/>
  <c r="DB68" i="2"/>
  <c r="DB69" i="2"/>
  <c r="DB70" i="2"/>
  <c r="DB71" i="2"/>
  <c r="DB72" i="2"/>
  <c r="DB73" i="2"/>
  <c r="DB74" i="2"/>
  <c r="DB75" i="2"/>
  <c r="DB76" i="2"/>
  <c r="DB77" i="2"/>
  <c r="DB78" i="2"/>
  <c r="DB79" i="2"/>
  <c r="DB80" i="2"/>
  <c r="DB81" i="2"/>
  <c r="DB82" i="2"/>
  <c r="DB83" i="2"/>
  <c r="DB84" i="2"/>
  <c r="DB85" i="2"/>
  <c r="DB86" i="2"/>
  <c r="DB87" i="2"/>
  <c r="DB88" i="2"/>
  <c r="DB89" i="2"/>
  <c r="DB90" i="2"/>
  <c r="DB91" i="2"/>
  <c r="DB92" i="2"/>
  <c r="DB93" i="2"/>
  <c r="DB94" i="2"/>
  <c r="DB95" i="2"/>
  <c r="DB96" i="2"/>
  <c r="DB97" i="2"/>
  <c r="DB98" i="2"/>
  <c r="DB99" i="2"/>
  <c r="DB100" i="2"/>
  <c r="DB101" i="2"/>
  <c r="DB102" i="2"/>
  <c r="DB103" i="2"/>
  <c r="DB104" i="2"/>
  <c r="DB105" i="2"/>
  <c r="DB106" i="2"/>
  <c r="DB107" i="2"/>
  <c r="DB108" i="2"/>
  <c r="DB109" i="2"/>
  <c r="DB110" i="2"/>
  <c r="DB111" i="2"/>
  <c r="DB112" i="2"/>
  <c r="DB113" i="2"/>
  <c r="DB114" i="2"/>
  <c r="DB115" i="2"/>
  <c r="DB116" i="2"/>
  <c r="DB117" i="2"/>
  <c r="DB118" i="2"/>
  <c r="DB119" i="2"/>
  <c r="DB120" i="2"/>
  <c r="DB121" i="2"/>
  <c r="DB122" i="2"/>
  <c r="DB123" i="2"/>
  <c r="DB124" i="2"/>
  <c r="DB125" i="2"/>
  <c r="DB126" i="2"/>
  <c r="DB127" i="2"/>
  <c r="DB128" i="2"/>
  <c r="DB129" i="2"/>
  <c r="DB130" i="2"/>
  <c r="DB131" i="2"/>
  <c r="DB132" i="2"/>
  <c r="DB133" i="2"/>
  <c r="DB134" i="2"/>
  <c r="DB135" i="2"/>
  <c r="DB136" i="2"/>
  <c r="DB137" i="2"/>
  <c r="DB138" i="2"/>
  <c r="DB139" i="2"/>
  <c r="DB140" i="2"/>
  <c r="DB141" i="2"/>
  <c r="DB142" i="2"/>
  <c r="DB143" i="2"/>
  <c r="DB144" i="2"/>
  <c r="DB145" i="2"/>
  <c r="DB146" i="2"/>
  <c r="DB147" i="2"/>
  <c r="DB148" i="2"/>
  <c r="DB149" i="2"/>
  <c r="DB150" i="2"/>
  <c r="DB151" i="2"/>
  <c r="DB152" i="2"/>
  <c r="DB153" i="2"/>
  <c r="DB154" i="2"/>
  <c r="DB4" i="2"/>
  <c r="BZ62" i="1"/>
  <c r="BZ63" i="1"/>
  <c r="BZ64" i="1"/>
  <c r="BZ65" i="1"/>
  <c r="BZ66" i="1"/>
  <c r="BZ67" i="1"/>
  <c r="BZ68" i="1"/>
  <c r="BZ69" i="1"/>
  <c r="BZ70" i="1"/>
  <c r="BZ71" i="1"/>
  <c r="BZ72" i="1"/>
  <c r="BZ61" i="1"/>
  <c r="BQ37" i="1"/>
  <c r="BQ38" i="1"/>
  <c r="BQ39" i="1"/>
  <c r="BQ40" i="1"/>
  <c r="BQ41" i="1"/>
  <c r="BQ42" i="1"/>
  <c r="BQ43" i="1"/>
  <c r="BQ44" i="1"/>
  <c r="BQ45" i="1"/>
  <c r="BQ46" i="1"/>
  <c r="BQ47" i="1"/>
  <c r="BQ48" i="1"/>
  <c r="BP49" i="1" l="1"/>
  <c r="CZ5" i="2"/>
  <c r="CZ6" i="2"/>
  <c r="CZ7" i="2"/>
  <c r="CZ8" i="2"/>
  <c r="CZ9" i="2"/>
  <c r="CZ10" i="2"/>
  <c r="CZ11" i="2"/>
  <c r="CZ12" i="2"/>
  <c r="CZ13" i="2"/>
  <c r="CZ14" i="2"/>
  <c r="CZ15" i="2"/>
  <c r="CZ16" i="2"/>
  <c r="CZ17" i="2"/>
  <c r="CZ18" i="2"/>
  <c r="CZ19" i="2"/>
  <c r="CZ20" i="2"/>
  <c r="CZ21" i="2"/>
  <c r="CZ22" i="2"/>
  <c r="CZ23" i="2"/>
  <c r="CZ24" i="2"/>
  <c r="CZ25" i="2"/>
  <c r="CZ26" i="2"/>
  <c r="CZ27" i="2"/>
  <c r="CZ28" i="2"/>
  <c r="CZ29" i="2"/>
  <c r="CZ30" i="2"/>
  <c r="CZ31" i="2"/>
  <c r="CZ32" i="2"/>
  <c r="CZ33" i="2"/>
  <c r="CZ34" i="2"/>
  <c r="CZ35" i="2"/>
  <c r="CZ36" i="2"/>
  <c r="CZ37" i="2"/>
  <c r="CZ38" i="2"/>
  <c r="CZ39" i="2"/>
  <c r="CZ40" i="2"/>
  <c r="CZ41" i="2"/>
  <c r="CZ42" i="2"/>
  <c r="CZ43" i="2"/>
  <c r="CZ44" i="2"/>
  <c r="CZ45" i="2"/>
  <c r="CZ46" i="2"/>
  <c r="CZ47" i="2"/>
  <c r="CZ48" i="2"/>
  <c r="CZ49" i="2"/>
  <c r="CZ50" i="2"/>
  <c r="CZ51" i="2"/>
  <c r="CZ52" i="2"/>
  <c r="CZ53" i="2"/>
  <c r="CZ54" i="2"/>
  <c r="CZ55" i="2"/>
  <c r="CZ56" i="2"/>
  <c r="CZ57" i="2"/>
  <c r="CZ58" i="2"/>
  <c r="CZ59" i="2"/>
  <c r="CZ60" i="2"/>
  <c r="CZ61" i="2"/>
  <c r="CZ62" i="2"/>
  <c r="CZ63" i="2"/>
  <c r="CZ64" i="2"/>
  <c r="CZ65" i="2"/>
  <c r="CZ66" i="2"/>
  <c r="CZ67" i="2"/>
  <c r="CZ68" i="2"/>
  <c r="CZ69" i="2"/>
  <c r="CZ70" i="2"/>
  <c r="CZ71" i="2"/>
  <c r="CZ72" i="2"/>
  <c r="CZ73" i="2"/>
  <c r="CZ74" i="2"/>
  <c r="CZ75" i="2"/>
  <c r="CZ76" i="2"/>
  <c r="CZ77" i="2"/>
  <c r="CZ78" i="2"/>
  <c r="CZ79" i="2"/>
  <c r="CZ80" i="2"/>
  <c r="CZ81" i="2"/>
  <c r="CZ82" i="2"/>
  <c r="CZ83" i="2"/>
  <c r="CZ84" i="2"/>
  <c r="CZ85" i="2"/>
  <c r="CZ86" i="2"/>
  <c r="CZ87" i="2"/>
  <c r="CZ88" i="2"/>
  <c r="CZ89" i="2"/>
  <c r="CZ90" i="2"/>
  <c r="CZ91" i="2"/>
  <c r="CZ92" i="2"/>
  <c r="CZ93" i="2"/>
  <c r="CZ94" i="2"/>
  <c r="CZ95" i="2"/>
  <c r="CZ96" i="2"/>
  <c r="CZ97" i="2"/>
  <c r="CZ98" i="2"/>
  <c r="CZ99" i="2"/>
  <c r="CZ100" i="2"/>
  <c r="CZ101" i="2"/>
  <c r="CZ102" i="2"/>
  <c r="CZ103" i="2"/>
  <c r="CZ104" i="2"/>
  <c r="CZ105" i="2"/>
  <c r="CZ106" i="2"/>
  <c r="CZ107" i="2"/>
  <c r="CZ108" i="2"/>
  <c r="CZ109" i="2"/>
  <c r="CZ110" i="2"/>
  <c r="CZ111" i="2"/>
  <c r="CZ112" i="2"/>
  <c r="CZ113" i="2"/>
  <c r="CZ114" i="2"/>
  <c r="CZ115" i="2"/>
  <c r="CZ116" i="2"/>
  <c r="CZ117" i="2"/>
  <c r="CZ118" i="2"/>
  <c r="CZ119" i="2"/>
  <c r="CZ120" i="2"/>
  <c r="CZ121" i="2"/>
  <c r="CZ122" i="2"/>
  <c r="CZ123" i="2"/>
  <c r="CZ124" i="2"/>
  <c r="CZ125" i="2"/>
  <c r="CZ126" i="2"/>
  <c r="CZ127" i="2"/>
  <c r="CZ128" i="2"/>
  <c r="CZ129" i="2"/>
  <c r="CZ130" i="2"/>
  <c r="CZ131" i="2"/>
  <c r="CZ132" i="2"/>
  <c r="CZ133" i="2"/>
  <c r="CZ134" i="2"/>
  <c r="CZ135" i="2"/>
  <c r="CZ136" i="2"/>
  <c r="CZ137" i="2"/>
  <c r="CZ138" i="2"/>
  <c r="CZ139" i="2"/>
  <c r="CZ140" i="2"/>
  <c r="CZ141" i="2"/>
  <c r="CZ142" i="2"/>
  <c r="CZ143" i="2"/>
  <c r="CZ144" i="2"/>
  <c r="CZ145" i="2"/>
  <c r="CZ146" i="2"/>
  <c r="CZ147" i="2"/>
  <c r="CZ148" i="2"/>
  <c r="CZ149" i="2"/>
  <c r="CZ150" i="2"/>
  <c r="CZ151" i="2"/>
  <c r="CZ152" i="2"/>
  <c r="CZ153" i="2"/>
  <c r="CZ154" i="2"/>
  <c r="CZ4" i="2"/>
  <c r="CX5" i="2"/>
  <c r="CX6" i="2"/>
  <c r="CX7" i="2"/>
  <c r="CX8" i="2"/>
  <c r="CX9" i="2"/>
  <c r="CX10" i="2"/>
  <c r="CX11" i="2"/>
  <c r="CX12" i="2"/>
  <c r="CX13" i="2"/>
  <c r="CX14" i="2"/>
  <c r="CX15" i="2"/>
  <c r="CX16" i="2"/>
  <c r="CX17" i="2"/>
  <c r="CX18" i="2"/>
  <c r="CX19" i="2"/>
  <c r="CX20" i="2"/>
  <c r="CX21" i="2"/>
  <c r="CX22" i="2"/>
  <c r="CX23" i="2"/>
  <c r="CX24" i="2"/>
  <c r="CX25" i="2"/>
  <c r="CX26" i="2"/>
  <c r="CX27" i="2"/>
  <c r="CX28" i="2"/>
  <c r="CX29" i="2"/>
  <c r="CX30" i="2"/>
  <c r="CX31" i="2"/>
  <c r="CX32" i="2"/>
  <c r="CX33" i="2"/>
  <c r="CX34" i="2"/>
  <c r="CX35" i="2"/>
  <c r="CX36" i="2"/>
  <c r="CX37" i="2"/>
  <c r="CX38" i="2"/>
  <c r="CX39" i="2"/>
  <c r="CX40" i="2"/>
  <c r="CX41" i="2"/>
  <c r="CX42" i="2"/>
  <c r="CX43" i="2"/>
  <c r="CX44" i="2"/>
  <c r="CX45" i="2"/>
  <c r="CX46" i="2"/>
  <c r="CX47" i="2"/>
  <c r="CX48" i="2"/>
  <c r="CX49" i="2"/>
  <c r="CX50" i="2"/>
  <c r="CX51" i="2"/>
  <c r="CX52" i="2"/>
  <c r="CX53" i="2"/>
  <c r="CX54" i="2"/>
  <c r="CX55" i="2"/>
  <c r="CX56" i="2"/>
  <c r="CX57" i="2"/>
  <c r="CX58" i="2"/>
  <c r="CX59" i="2"/>
  <c r="CX60" i="2"/>
  <c r="CX61" i="2"/>
  <c r="CX62" i="2"/>
  <c r="CX63" i="2"/>
  <c r="CX64" i="2"/>
  <c r="CX65" i="2"/>
  <c r="CX66" i="2"/>
  <c r="CX67" i="2"/>
  <c r="CX68" i="2"/>
  <c r="CX69" i="2"/>
  <c r="CX70" i="2"/>
  <c r="CX71" i="2"/>
  <c r="CX72" i="2"/>
  <c r="CX73" i="2"/>
  <c r="CX74" i="2"/>
  <c r="CX75" i="2"/>
  <c r="CX76" i="2"/>
  <c r="CX77" i="2"/>
  <c r="CX78" i="2"/>
  <c r="CX79" i="2"/>
  <c r="CX80" i="2"/>
  <c r="CX81" i="2"/>
  <c r="CX82" i="2"/>
  <c r="CX83" i="2"/>
  <c r="CX84" i="2"/>
  <c r="CX85" i="2"/>
  <c r="CX86" i="2"/>
  <c r="CX87" i="2"/>
  <c r="CX88" i="2"/>
  <c r="CX89" i="2"/>
  <c r="CX90" i="2"/>
  <c r="CX91" i="2"/>
  <c r="CX92" i="2"/>
  <c r="CX93" i="2"/>
  <c r="CX94" i="2"/>
  <c r="CX95" i="2"/>
  <c r="CX96" i="2"/>
  <c r="CX97" i="2"/>
  <c r="CX98" i="2"/>
  <c r="CX99" i="2"/>
  <c r="CX100" i="2"/>
  <c r="CX101" i="2"/>
  <c r="CX102" i="2"/>
  <c r="CX103" i="2"/>
  <c r="CX104" i="2"/>
  <c r="CX105" i="2"/>
  <c r="CX106" i="2"/>
  <c r="CX107" i="2"/>
  <c r="CX108" i="2"/>
  <c r="CX109" i="2"/>
  <c r="CX110" i="2"/>
  <c r="CX111" i="2"/>
  <c r="CX112" i="2"/>
  <c r="CX113" i="2"/>
  <c r="CX114" i="2"/>
  <c r="CX115" i="2"/>
  <c r="CX116" i="2"/>
  <c r="CX117" i="2"/>
  <c r="CX118" i="2"/>
  <c r="CX119" i="2"/>
  <c r="CX120" i="2"/>
  <c r="CX121" i="2"/>
  <c r="CX122" i="2"/>
  <c r="CX123" i="2"/>
  <c r="CX124" i="2"/>
  <c r="CX125" i="2"/>
  <c r="CX126" i="2"/>
  <c r="CX127" i="2"/>
  <c r="CX128" i="2"/>
  <c r="CX129" i="2"/>
  <c r="CX130" i="2"/>
  <c r="CX131" i="2"/>
  <c r="CX132" i="2"/>
  <c r="CX133" i="2"/>
  <c r="CX134" i="2"/>
  <c r="CX135" i="2"/>
  <c r="CX136" i="2"/>
  <c r="CX137" i="2"/>
  <c r="CX138" i="2"/>
  <c r="CX139" i="2"/>
  <c r="CX140" i="2"/>
  <c r="CX141" i="2"/>
  <c r="CX142" i="2"/>
  <c r="CX143" i="2"/>
  <c r="CX144" i="2"/>
  <c r="CX145" i="2"/>
  <c r="CX146" i="2"/>
  <c r="CX147" i="2"/>
  <c r="CX148" i="2"/>
  <c r="CX149" i="2"/>
  <c r="CX150" i="2"/>
  <c r="CX151" i="2"/>
  <c r="CX152" i="2"/>
  <c r="CX153" i="2"/>
  <c r="CX154" i="2"/>
  <c r="CX4" i="2"/>
  <c r="BX62" i="1"/>
  <c r="BX63" i="1"/>
  <c r="BX64" i="1"/>
  <c r="BX65" i="1"/>
  <c r="BX66" i="1"/>
  <c r="BX67" i="1"/>
  <c r="BX68" i="1"/>
  <c r="BX69" i="1"/>
  <c r="BX70" i="1"/>
  <c r="BX71" i="1"/>
  <c r="BX72" i="1"/>
  <c r="BX61" i="1"/>
  <c r="BN49" i="1"/>
  <c r="BO38" i="1"/>
  <c r="BO39" i="1"/>
  <c r="BO40" i="1"/>
  <c r="BO41" i="1"/>
  <c r="BO42" i="1"/>
  <c r="BO43" i="1"/>
  <c r="BO44" i="1"/>
  <c r="BO45" i="1"/>
  <c r="BO46" i="1"/>
  <c r="BO47" i="1"/>
  <c r="BO48" i="1"/>
  <c r="BO37" i="1"/>
  <c r="BQ49" i="1" l="1"/>
  <c r="BS49" i="1"/>
  <c r="AN49" i="1"/>
  <c r="CV5" i="2" l="1"/>
  <c r="CV6" i="2"/>
  <c r="CV7" i="2"/>
  <c r="CV8" i="2"/>
  <c r="CV9" i="2"/>
  <c r="CV10" i="2"/>
  <c r="CV11" i="2"/>
  <c r="CV12" i="2"/>
  <c r="CV13" i="2"/>
  <c r="CV14" i="2"/>
  <c r="CV15" i="2"/>
  <c r="CV16" i="2"/>
  <c r="CV17" i="2"/>
  <c r="CV18" i="2"/>
  <c r="CV19" i="2"/>
  <c r="CV20" i="2"/>
  <c r="CV21" i="2"/>
  <c r="CV22" i="2"/>
  <c r="CV23" i="2"/>
  <c r="CV24" i="2"/>
  <c r="CV25" i="2"/>
  <c r="CV26" i="2"/>
  <c r="CV27" i="2"/>
  <c r="CV28" i="2"/>
  <c r="CV29" i="2"/>
  <c r="CV30" i="2"/>
  <c r="CV31" i="2"/>
  <c r="CV32" i="2"/>
  <c r="CV33" i="2"/>
  <c r="CV34" i="2"/>
  <c r="CV35" i="2"/>
  <c r="CV36" i="2"/>
  <c r="CV37" i="2"/>
  <c r="CV38" i="2"/>
  <c r="CV39" i="2"/>
  <c r="CV40" i="2"/>
  <c r="CV41" i="2"/>
  <c r="CV42" i="2"/>
  <c r="CV43" i="2"/>
  <c r="CV44" i="2"/>
  <c r="CV45" i="2"/>
  <c r="CV46" i="2"/>
  <c r="CV47" i="2"/>
  <c r="CV48" i="2"/>
  <c r="CV49" i="2"/>
  <c r="CV50" i="2"/>
  <c r="CV51" i="2"/>
  <c r="CV52" i="2"/>
  <c r="CV53" i="2"/>
  <c r="CV54" i="2"/>
  <c r="CV55" i="2"/>
  <c r="CV56" i="2"/>
  <c r="CV57" i="2"/>
  <c r="CV58" i="2"/>
  <c r="CV59" i="2"/>
  <c r="CV60" i="2"/>
  <c r="CV61" i="2"/>
  <c r="CV62" i="2"/>
  <c r="CV63" i="2"/>
  <c r="CV64" i="2"/>
  <c r="CV65" i="2"/>
  <c r="CV66" i="2"/>
  <c r="CV67" i="2"/>
  <c r="CV68" i="2"/>
  <c r="CV69" i="2"/>
  <c r="CV70" i="2"/>
  <c r="CV71" i="2"/>
  <c r="CV72" i="2"/>
  <c r="CV73" i="2"/>
  <c r="CV74" i="2"/>
  <c r="CV75" i="2"/>
  <c r="CV76" i="2"/>
  <c r="CV77" i="2"/>
  <c r="CV78" i="2"/>
  <c r="CV79" i="2"/>
  <c r="CV80" i="2"/>
  <c r="CV81" i="2"/>
  <c r="CV82" i="2"/>
  <c r="CV83" i="2"/>
  <c r="CV84" i="2"/>
  <c r="CV85" i="2"/>
  <c r="CV86" i="2"/>
  <c r="CV87" i="2"/>
  <c r="CV88" i="2"/>
  <c r="CV89" i="2"/>
  <c r="CV90" i="2"/>
  <c r="CV91" i="2"/>
  <c r="CV92" i="2"/>
  <c r="CV93" i="2"/>
  <c r="CV94" i="2"/>
  <c r="CV95" i="2"/>
  <c r="CV96" i="2"/>
  <c r="CV97" i="2"/>
  <c r="CV98" i="2"/>
  <c r="CV99" i="2"/>
  <c r="CV100" i="2"/>
  <c r="CV101" i="2"/>
  <c r="CV102" i="2"/>
  <c r="CV103" i="2"/>
  <c r="CV104" i="2"/>
  <c r="CV105" i="2"/>
  <c r="CV106" i="2"/>
  <c r="CV107" i="2"/>
  <c r="CV108" i="2"/>
  <c r="CV109" i="2"/>
  <c r="CV110" i="2"/>
  <c r="CV111" i="2"/>
  <c r="CV112" i="2"/>
  <c r="CV113" i="2"/>
  <c r="CV114" i="2"/>
  <c r="CV115" i="2"/>
  <c r="CV116" i="2"/>
  <c r="CV117" i="2"/>
  <c r="CV118" i="2"/>
  <c r="CV119" i="2"/>
  <c r="CV120" i="2"/>
  <c r="CV121" i="2"/>
  <c r="CV122" i="2"/>
  <c r="CV123" i="2"/>
  <c r="CV124" i="2"/>
  <c r="CV125" i="2"/>
  <c r="CV126" i="2"/>
  <c r="CV127" i="2"/>
  <c r="CV128" i="2"/>
  <c r="CV129" i="2"/>
  <c r="CV130" i="2"/>
  <c r="CV131" i="2"/>
  <c r="CV132" i="2"/>
  <c r="CV133" i="2"/>
  <c r="CV134" i="2"/>
  <c r="CV135" i="2"/>
  <c r="CV136" i="2"/>
  <c r="CV137" i="2"/>
  <c r="CV138" i="2"/>
  <c r="CV139" i="2"/>
  <c r="CV140" i="2"/>
  <c r="CV141" i="2"/>
  <c r="CV142" i="2"/>
  <c r="CV143" i="2"/>
  <c r="CV144" i="2"/>
  <c r="CV145" i="2"/>
  <c r="CV146" i="2"/>
  <c r="CV147" i="2"/>
  <c r="CV148" i="2"/>
  <c r="CV149" i="2"/>
  <c r="CV150" i="2"/>
  <c r="CV151" i="2"/>
  <c r="CV152" i="2"/>
  <c r="CV153" i="2"/>
  <c r="CV154" i="2"/>
  <c r="CV4" i="2"/>
  <c r="CT4" i="2"/>
  <c r="CT5" i="2"/>
  <c r="CT6" i="2"/>
  <c r="CT7"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T54" i="2"/>
  <c r="CT55" i="2"/>
  <c r="CT56" i="2"/>
  <c r="CT57" i="2"/>
  <c r="CT58" i="2"/>
  <c r="CT59" i="2"/>
  <c r="CT60" i="2"/>
  <c r="CT61" i="2"/>
  <c r="CT62" i="2"/>
  <c r="CT63" i="2"/>
  <c r="CT64" i="2"/>
  <c r="CT65" i="2"/>
  <c r="CT66" i="2"/>
  <c r="CT67" i="2"/>
  <c r="CT68" i="2"/>
  <c r="CT69" i="2"/>
  <c r="CT70" i="2"/>
  <c r="CT71" i="2"/>
  <c r="CT72" i="2"/>
  <c r="CT73" i="2"/>
  <c r="CT74" i="2"/>
  <c r="CT75" i="2"/>
  <c r="CT76" i="2"/>
  <c r="CT77" i="2"/>
  <c r="CT78" i="2"/>
  <c r="CT79" i="2"/>
  <c r="CT80" i="2"/>
  <c r="CT81" i="2"/>
  <c r="CT82" i="2"/>
  <c r="CT83" i="2"/>
  <c r="CT84" i="2"/>
  <c r="CT85" i="2"/>
  <c r="CT86" i="2"/>
  <c r="CT87" i="2"/>
  <c r="CT88" i="2"/>
  <c r="CT89" i="2"/>
  <c r="CT90" i="2"/>
  <c r="CT91" i="2"/>
  <c r="CT92" i="2"/>
  <c r="CT93" i="2"/>
  <c r="CT94" i="2"/>
  <c r="CT95" i="2"/>
  <c r="CT96" i="2"/>
  <c r="CT97" i="2"/>
  <c r="CT98" i="2"/>
  <c r="CT99" i="2"/>
  <c r="CT100" i="2"/>
  <c r="CT101" i="2"/>
  <c r="CT102" i="2"/>
  <c r="CT103" i="2"/>
  <c r="CT104" i="2"/>
  <c r="CT105" i="2"/>
  <c r="CT106" i="2"/>
  <c r="CT107" i="2"/>
  <c r="CT108" i="2"/>
  <c r="CT109" i="2"/>
  <c r="CT110" i="2"/>
  <c r="CT111" i="2"/>
  <c r="CT112" i="2"/>
  <c r="CT113" i="2"/>
  <c r="CT114" i="2"/>
  <c r="CT115" i="2"/>
  <c r="CT116" i="2"/>
  <c r="CT117" i="2"/>
  <c r="CT118" i="2"/>
  <c r="CT119" i="2"/>
  <c r="CT120" i="2"/>
  <c r="CT121" i="2"/>
  <c r="CT122" i="2"/>
  <c r="CT123" i="2"/>
  <c r="CT124" i="2"/>
  <c r="CT125" i="2"/>
  <c r="CT126" i="2"/>
  <c r="CT127" i="2"/>
  <c r="CT128" i="2"/>
  <c r="CT129" i="2"/>
  <c r="CT130" i="2"/>
  <c r="CT131" i="2"/>
  <c r="CT132" i="2"/>
  <c r="CT133" i="2"/>
  <c r="CT134" i="2"/>
  <c r="CT135" i="2"/>
  <c r="CT136" i="2"/>
  <c r="CT137" i="2"/>
  <c r="CT138" i="2"/>
  <c r="CT139" i="2"/>
  <c r="CT140" i="2"/>
  <c r="CT141" i="2"/>
  <c r="CT142" i="2"/>
  <c r="CT143" i="2"/>
  <c r="CT144" i="2"/>
  <c r="CT145" i="2"/>
  <c r="CT146" i="2"/>
  <c r="CT147" i="2"/>
  <c r="CT148" i="2"/>
  <c r="CT149" i="2"/>
  <c r="CT150" i="2"/>
  <c r="CT151" i="2"/>
  <c r="CT152" i="2"/>
  <c r="CT153" i="2"/>
  <c r="CT154" i="2"/>
  <c r="BV62" i="1"/>
  <c r="BV63" i="1"/>
  <c r="BV64" i="1"/>
  <c r="BV65" i="1"/>
  <c r="BV66" i="1"/>
  <c r="BV67" i="1"/>
  <c r="BV68" i="1"/>
  <c r="BV69" i="1"/>
  <c r="BV70" i="1"/>
  <c r="BV71" i="1"/>
  <c r="BV72" i="1"/>
  <c r="BV61" i="1"/>
  <c r="BL49" i="1"/>
  <c r="BO49" i="1" s="1"/>
  <c r="BM38" i="1"/>
  <c r="BM39" i="1"/>
  <c r="BM40" i="1"/>
  <c r="BM41" i="1"/>
  <c r="BM42" i="1"/>
  <c r="BM43" i="1"/>
  <c r="BM44" i="1"/>
  <c r="BM45" i="1"/>
  <c r="BM46" i="1"/>
  <c r="BM47" i="1"/>
  <c r="BM48" i="1"/>
  <c r="BM37" i="1"/>
  <c r="BT62" i="1" l="1"/>
  <c r="BT63" i="1"/>
  <c r="BT64" i="1"/>
  <c r="BT65" i="1"/>
  <c r="BT66" i="1"/>
  <c r="BT67" i="1"/>
  <c r="BT68" i="1"/>
  <c r="BT69" i="1"/>
  <c r="BT70" i="1"/>
  <c r="BT71" i="1"/>
  <c r="BT72" i="1"/>
  <c r="BT61" i="1"/>
  <c r="BK38" i="1"/>
  <c r="BK39" i="1"/>
  <c r="BK40" i="1"/>
  <c r="BK41" i="1"/>
  <c r="BK42" i="1"/>
  <c r="BK43" i="1"/>
  <c r="BK44" i="1"/>
  <c r="BK45" i="1"/>
  <c r="BK46" i="1"/>
  <c r="BK47" i="1"/>
  <c r="BK48" i="1"/>
  <c r="BK37" i="1"/>
  <c r="BJ49" i="1"/>
  <c r="BM49" i="1" s="1"/>
  <c r="BF67" i="1" l="1"/>
  <c r="AS48" i="1"/>
  <c r="AS38" i="1" l="1"/>
  <c r="AS39" i="1"/>
  <c r="AS40" i="1"/>
  <c r="AS41" i="1"/>
  <c r="AS42" i="1"/>
  <c r="AS43" i="1"/>
  <c r="AS44" i="1"/>
  <c r="AS45" i="1"/>
  <c r="AS46" i="1"/>
  <c r="AS47" i="1"/>
  <c r="AS37" i="1"/>
  <c r="AQ38" i="1"/>
  <c r="AQ39" i="1"/>
  <c r="AQ40" i="1"/>
  <c r="AQ41" i="1"/>
  <c r="AQ42" i="1"/>
  <c r="AQ43" i="1"/>
  <c r="AQ44" i="1"/>
  <c r="AQ45" i="1"/>
  <c r="AQ46" i="1"/>
  <c r="AQ47" i="1"/>
  <c r="AQ37" i="1"/>
  <c r="AO38" i="1"/>
  <c r="AO39" i="1"/>
  <c r="AO40" i="1"/>
  <c r="AO41" i="1"/>
  <c r="AO42" i="1"/>
  <c r="AO43" i="1"/>
  <c r="AO44" i="1"/>
  <c r="AO45" i="1"/>
  <c r="AO46" i="1"/>
  <c r="AO47" i="1"/>
  <c r="AO37" i="1"/>
  <c r="CL5" i="2" l="1"/>
  <c r="CL6" i="2"/>
  <c r="CL7" i="2"/>
  <c r="CL8" i="2"/>
  <c r="CL9" i="2"/>
  <c r="CL10" i="2"/>
  <c r="CL11" i="2"/>
  <c r="CL12" i="2"/>
  <c r="CL13" i="2"/>
  <c r="CL14" i="2"/>
  <c r="CL15" i="2"/>
  <c r="CL16" i="2"/>
  <c r="CL17" i="2"/>
  <c r="CL18" i="2"/>
  <c r="CL19" i="2"/>
  <c r="CL21" i="2"/>
  <c r="CL22" i="2"/>
  <c r="CL23" i="2"/>
  <c r="CL24" i="2"/>
  <c r="CL25" i="2"/>
  <c r="CL26" i="2"/>
  <c r="CL27" i="2"/>
  <c r="CL28" i="2"/>
  <c r="CL29" i="2"/>
  <c r="CL30" i="2"/>
  <c r="CL31" i="2"/>
  <c r="CL32" i="2"/>
  <c r="CL33" i="2"/>
  <c r="CL35" i="2"/>
  <c r="CL36" i="2"/>
  <c r="CL37" i="2"/>
  <c r="CL38" i="2"/>
  <c r="CL39" i="2"/>
  <c r="CL40" i="2"/>
  <c r="CL41" i="2"/>
  <c r="CL42" i="2"/>
  <c r="CL43" i="2"/>
  <c r="CL44" i="2"/>
  <c r="CL45" i="2"/>
  <c r="CL47" i="2"/>
  <c r="CL48" i="2"/>
  <c r="CL49" i="2"/>
  <c r="CL50" i="2"/>
  <c r="CL51" i="2"/>
  <c r="CL52" i="2"/>
  <c r="CL53" i="2"/>
  <c r="CL54" i="2"/>
  <c r="CL55" i="2"/>
  <c r="CL56" i="2"/>
  <c r="CL57" i="2"/>
  <c r="CL58" i="2"/>
  <c r="CL59" i="2"/>
  <c r="CL60" i="2"/>
  <c r="CL61" i="2"/>
  <c r="CL62" i="2"/>
  <c r="CL64" i="2"/>
  <c r="CL65" i="2"/>
  <c r="CL66" i="2"/>
  <c r="CL67" i="2"/>
  <c r="CL68" i="2"/>
  <c r="CL69" i="2"/>
  <c r="CL70" i="2"/>
  <c r="CL71" i="2"/>
  <c r="CL72" i="2"/>
  <c r="CL73" i="2"/>
  <c r="CL74" i="2"/>
  <c r="CL75" i="2"/>
  <c r="CL76" i="2"/>
  <c r="CL77" i="2"/>
  <c r="CL78" i="2"/>
  <c r="CL79" i="2"/>
  <c r="CL80" i="2"/>
  <c r="CL82" i="2"/>
  <c r="CL83" i="2"/>
  <c r="CL84" i="2"/>
  <c r="CL85" i="2"/>
  <c r="CL86" i="2"/>
  <c r="CL87" i="2"/>
  <c r="CL88" i="2"/>
  <c r="CL89" i="2"/>
  <c r="CL91" i="2"/>
  <c r="CL92" i="2"/>
  <c r="CL93" i="2"/>
  <c r="CL94" i="2"/>
  <c r="CL95" i="2"/>
  <c r="CL96" i="2"/>
  <c r="CL97" i="2"/>
  <c r="CL98" i="2"/>
  <c r="CL99" i="2"/>
  <c r="CL100" i="2"/>
  <c r="CL102" i="2"/>
  <c r="CL103" i="2"/>
  <c r="CL104" i="2"/>
  <c r="CL105" i="2"/>
  <c r="CL106" i="2"/>
  <c r="CL107" i="2"/>
  <c r="CL108" i="2"/>
  <c r="CL109" i="2"/>
  <c r="CL110" i="2"/>
  <c r="CL111" i="2"/>
  <c r="CL113" i="2"/>
  <c r="CL114" i="2"/>
  <c r="CL115" i="2"/>
  <c r="CL116" i="2"/>
  <c r="CL117" i="2"/>
  <c r="CL118" i="2"/>
  <c r="CL119" i="2"/>
  <c r="CL120" i="2"/>
  <c r="CL121" i="2"/>
  <c r="CL122" i="2"/>
  <c r="CL123" i="2"/>
  <c r="CL124" i="2"/>
  <c r="CL126" i="2"/>
  <c r="CL127" i="2"/>
  <c r="CL128" i="2"/>
  <c r="CL129" i="2"/>
  <c r="CL130" i="2"/>
  <c r="CL131" i="2"/>
  <c r="CL132" i="2"/>
  <c r="CL133" i="2"/>
  <c r="CL134" i="2"/>
  <c r="CL135" i="2"/>
  <c r="CL136" i="2"/>
  <c r="CL137" i="2"/>
  <c r="CL139" i="2"/>
  <c r="CL140" i="2"/>
  <c r="CL141" i="2"/>
  <c r="CL142" i="2"/>
  <c r="CL143" i="2"/>
  <c r="CL144" i="2"/>
  <c r="CL145" i="2"/>
  <c r="CL146" i="2"/>
  <c r="CL147" i="2"/>
  <c r="CL148" i="2"/>
  <c r="CL149" i="2"/>
  <c r="CL150" i="2"/>
  <c r="CL151" i="2"/>
  <c r="CL152" i="2"/>
  <c r="CL153" i="2"/>
  <c r="CL154" i="2"/>
  <c r="CN5" i="2"/>
  <c r="CN6" i="2"/>
  <c r="CN7" i="2"/>
  <c r="CN8" i="2"/>
  <c r="CN9" i="2"/>
  <c r="CN10" i="2"/>
  <c r="CN11" i="2"/>
  <c r="CN12" i="2"/>
  <c r="CN13" i="2"/>
  <c r="CN14" i="2"/>
  <c r="CN15" i="2"/>
  <c r="CN16" i="2"/>
  <c r="CN17" i="2"/>
  <c r="CN18" i="2"/>
  <c r="CN19" i="2"/>
  <c r="CN21" i="2"/>
  <c r="CN22" i="2"/>
  <c r="CN23" i="2"/>
  <c r="CN24" i="2"/>
  <c r="CN25" i="2"/>
  <c r="CN26" i="2"/>
  <c r="CN27" i="2"/>
  <c r="CN28" i="2"/>
  <c r="CN29" i="2"/>
  <c r="CN30" i="2"/>
  <c r="CN31" i="2"/>
  <c r="CN32" i="2"/>
  <c r="CN33" i="2"/>
  <c r="CN35" i="2"/>
  <c r="CN36" i="2"/>
  <c r="CN37" i="2"/>
  <c r="CN38" i="2"/>
  <c r="CN39" i="2"/>
  <c r="CN40" i="2"/>
  <c r="CN41" i="2"/>
  <c r="CN42" i="2"/>
  <c r="CN43" i="2"/>
  <c r="CN44" i="2"/>
  <c r="CN45" i="2"/>
  <c r="CN47" i="2"/>
  <c r="CN48" i="2"/>
  <c r="CN49" i="2"/>
  <c r="CN50" i="2"/>
  <c r="CN51" i="2"/>
  <c r="CN52" i="2"/>
  <c r="CN53" i="2"/>
  <c r="CN54" i="2"/>
  <c r="CN55" i="2"/>
  <c r="CN56" i="2"/>
  <c r="CN57" i="2"/>
  <c r="CN58" i="2"/>
  <c r="CN59" i="2"/>
  <c r="CN60" i="2"/>
  <c r="CN61" i="2"/>
  <c r="CN62" i="2"/>
  <c r="CN64" i="2"/>
  <c r="CN65" i="2"/>
  <c r="CN66" i="2"/>
  <c r="CN67" i="2"/>
  <c r="CN68" i="2"/>
  <c r="CN69" i="2"/>
  <c r="CN70" i="2"/>
  <c r="CN71" i="2"/>
  <c r="CN72" i="2"/>
  <c r="CN73" i="2"/>
  <c r="CN74" i="2"/>
  <c r="CN75" i="2"/>
  <c r="CN76" i="2"/>
  <c r="CN77" i="2"/>
  <c r="CN78" i="2"/>
  <c r="CN79" i="2"/>
  <c r="CN80" i="2"/>
  <c r="CN82" i="2"/>
  <c r="CN83" i="2"/>
  <c r="CN84" i="2"/>
  <c r="CN85" i="2"/>
  <c r="CN86" i="2"/>
  <c r="CN87" i="2"/>
  <c r="CN88" i="2"/>
  <c r="CN89" i="2"/>
  <c r="CN91" i="2"/>
  <c r="CN92" i="2"/>
  <c r="CN93" i="2"/>
  <c r="CN94" i="2"/>
  <c r="CN95" i="2"/>
  <c r="CN96" i="2"/>
  <c r="CN97" i="2"/>
  <c r="CN98" i="2"/>
  <c r="CN99" i="2"/>
  <c r="CN100" i="2"/>
  <c r="CN102" i="2"/>
  <c r="CN103" i="2"/>
  <c r="CN104" i="2"/>
  <c r="CN105" i="2"/>
  <c r="CN106" i="2"/>
  <c r="CN107" i="2"/>
  <c r="CN108" i="2"/>
  <c r="CN109" i="2"/>
  <c r="CN110" i="2"/>
  <c r="CN111" i="2"/>
  <c r="CN113" i="2"/>
  <c r="CN114" i="2"/>
  <c r="CN115" i="2"/>
  <c r="CN116" i="2"/>
  <c r="CN117" i="2"/>
  <c r="CN118" i="2"/>
  <c r="CN119" i="2"/>
  <c r="CN120" i="2"/>
  <c r="CN121" i="2"/>
  <c r="CN122" i="2"/>
  <c r="CN123" i="2"/>
  <c r="CN124" i="2"/>
  <c r="CN126" i="2"/>
  <c r="CN127" i="2"/>
  <c r="CN128" i="2"/>
  <c r="CN129" i="2"/>
  <c r="CN130" i="2"/>
  <c r="CN131" i="2"/>
  <c r="CN132" i="2"/>
  <c r="CN133" i="2"/>
  <c r="CN134" i="2"/>
  <c r="CN135" i="2"/>
  <c r="CN136" i="2"/>
  <c r="CN137" i="2"/>
  <c r="CN139" i="2"/>
  <c r="CN140" i="2"/>
  <c r="CN141" i="2"/>
  <c r="CN142" i="2"/>
  <c r="CN143" i="2"/>
  <c r="CN144" i="2"/>
  <c r="CN145" i="2"/>
  <c r="CN146" i="2"/>
  <c r="CN147" i="2"/>
  <c r="CN148" i="2"/>
  <c r="CN149" i="2"/>
  <c r="CN150" i="2"/>
  <c r="CN151" i="2"/>
  <c r="CN152" i="2"/>
  <c r="CN153" i="2"/>
  <c r="CN154" i="2"/>
  <c r="CL4" i="2"/>
  <c r="CN4" i="2"/>
  <c r="BR62" i="1"/>
  <c r="BR63" i="1"/>
  <c r="BR64" i="1"/>
  <c r="BR65" i="1"/>
  <c r="BR66" i="1"/>
  <c r="BR67" i="1"/>
  <c r="BR68" i="1"/>
  <c r="BR69" i="1"/>
  <c r="BR70" i="1"/>
  <c r="BR71" i="1"/>
  <c r="BR72" i="1"/>
  <c r="BR61" i="1"/>
  <c r="BI38" i="1"/>
  <c r="BI39" i="1"/>
  <c r="BI40" i="1"/>
  <c r="BI41" i="1"/>
  <c r="BI42" i="1"/>
  <c r="BI43" i="1"/>
  <c r="BI44" i="1"/>
  <c r="BI45" i="1"/>
  <c r="BI46" i="1"/>
  <c r="BI47" i="1"/>
  <c r="BI48" i="1"/>
  <c r="BI37" i="1"/>
  <c r="BH49" i="1"/>
  <c r="BK49" i="1" s="1"/>
  <c r="BF49" i="1"/>
  <c r="BI49" i="1" l="1"/>
  <c r="BR5" i="2" l="1"/>
  <c r="BR6" i="2"/>
  <c r="BR7" i="2"/>
  <c r="BR8" i="2"/>
  <c r="BR9" i="2"/>
  <c r="BR10" i="2"/>
  <c r="BR11" i="2"/>
  <c r="BR12" i="2"/>
  <c r="BR13" i="2"/>
  <c r="BR14" i="2"/>
  <c r="BR15" i="2"/>
  <c r="BR16" i="2"/>
  <c r="BR17" i="2"/>
  <c r="BR18" i="2"/>
  <c r="BR19" i="2"/>
  <c r="BR20" i="2"/>
  <c r="BR21" i="2"/>
  <c r="BR22" i="2"/>
  <c r="BR23" i="2"/>
  <c r="BR24" i="2"/>
  <c r="BR25" i="2"/>
  <c r="BR26" i="2"/>
  <c r="BR27" i="2"/>
  <c r="BR28" i="2"/>
  <c r="BR29" i="2"/>
  <c r="BR30" i="2"/>
  <c r="BR31" i="2"/>
  <c r="BR32" i="2"/>
  <c r="BR33" i="2"/>
  <c r="BR34" i="2"/>
  <c r="BR35" i="2"/>
  <c r="BR36" i="2"/>
  <c r="BR37" i="2"/>
  <c r="BR38" i="2"/>
  <c r="BR39" i="2"/>
  <c r="BR40" i="2"/>
  <c r="BR41" i="2"/>
  <c r="BR42" i="2"/>
  <c r="BR43" i="2"/>
  <c r="BR44" i="2"/>
  <c r="BR45" i="2"/>
  <c r="BR46" i="2"/>
  <c r="BR47" i="2"/>
  <c r="BR48" i="2"/>
  <c r="BR49" i="2"/>
  <c r="BR50" i="2"/>
  <c r="BR51" i="2"/>
  <c r="BR52" i="2"/>
  <c r="BR53" i="2"/>
  <c r="BR54" i="2"/>
  <c r="BR55" i="2"/>
  <c r="BR56" i="2"/>
  <c r="BR57" i="2"/>
  <c r="BR58" i="2"/>
  <c r="BR59" i="2"/>
  <c r="BR60" i="2"/>
  <c r="BR61" i="2"/>
  <c r="BR62" i="2"/>
  <c r="BR63" i="2"/>
  <c r="BR64" i="2"/>
  <c r="BR65" i="2"/>
  <c r="BR66" i="2"/>
  <c r="BR67" i="2"/>
  <c r="BR68" i="2"/>
  <c r="BR69" i="2"/>
  <c r="BR70" i="2"/>
  <c r="BR71" i="2"/>
  <c r="BR72" i="2"/>
  <c r="BR73" i="2"/>
  <c r="BR74" i="2"/>
  <c r="BR75" i="2"/>
  <c r="BR76" i="2"/>
  <c r="BR77" i="2"/>
  <c r="BR78" i="2"/>
  <c r="BR79" i="2"/>
  <c r="BR80" i="2"/>
  <c r="BR81" i="2"/>
  <c r="BR82" i="2"/>
  <c r="BR83" i="2"/>
  <c r="BR84" i="2"/>
  <c r="BR85" i="2"/>
  <c r="BR86" i="2"/>
  <c r="BR87" i="2"/>
  <c r="BR88" i="2"/>
  <c r="BR89" i="2"/>
  <c r="BR90" i="2"/>
  <c r="BR91" i="2"/>
  <c r="BR92" i="2"/>
  <c r="BR93" i="2"/>
  <c r="BR94" i="2"/>
  <c r="BR95" i="2"/>
  <c r="BR96" i="2"/>
  <c r="BR97" i="2"/>
  <c r="BR98" i="2"/>
  <c r="BR99" i="2"/>
  <c r="BR100" i="2"/>
  <c r="BR101" i="2"/>
  <c r="BR102" i="2"/>
  <c r="BR103" i="2"/>
  <c r="BR104" i="2"/>
  <c r="BR105" i="2"/>
  <c r="BR106" i="2"/>
  <c r="BR107" i="2"/>
  <c r="BR108" i="2"/>
  <c r="BR109" i="2"/>
  <c r="BR110" i="2"/>
  <c r="BR111" i="2"/>
  <c r="BR112" i="2"/>
  <c r="BR113" i="2"/>
  <c r="BR114" i="2"/>
  <c r="BR115" i="2"/>
  <c r="BR116" i="2"/>
  <c r="BR117" i="2"/>
  <c r="BR118" i="2"/>
  <c r="BR119" i="2"/>
  <c r="BR120" i="2"/>
  <c r="BR121" i="2"/>
  <c r="BR122" i="2"/>
  <c r="BR123" i="2"/>
  <c r="BR124" i="2"/>
  <c r="BR125" i="2"/>
  <c r="BR126" i="2"/>
  <c r="BR127" i="2"/>
  <c r="BR128" i="2"/>
  <c r="BR129" i="2"/>
  <c r="BR130" i="2"/>
  <c r="BR131" i="2"/>
  <c r="BR132" i="2"/>
  <c r="BR133" i="2"/>
  <c r="BR134" i="2"/>
  <c r="BR135" i="2"/>
  <c r="BR136" i="2"/>
  <c r="BR137" i="2"/>
  <c r="BR138" i="2"/>
  <c r="BR139" i="2"/>
  <c r="BR140" i="2"/>
  <c r="BR141" i="2"/>
  <c r="BR142" i="2"/>
  <c r="BR143" i="2"/>
  <c r="BR144" i="2"/>
  <c r="BR145" i="2"/>
  <c r="BR146" i="2"/>
  <c r="BR147" i="2"/>
  <c r="BR148" i="2"/>
  <c r="BR149" i="2"/>
  <c r="BR150" i="2"/>
  <c r="BR151" i="2"/>
  <c r="BR152" i="2"/>
  <c r="BR153" i="2"/>
  <c r="BR154" i="2"/>
  <c r="BR4" i="2"/>
  <c r="BT5" i="2"/>
  <c r="BT6" i="2"/>
  <c r="BT7" i="2"/>
  <c r="BT8" i="2"/>
  <c r="BT9" i="2"/>
  <c r="BT10" i="2"/>
  <c r="BT11" i="2"/>
  <c r="BT12" i="2"/>
  <c r="BT13" i="2"/>
  <c r="BT14" i="2"/>
  <c r="BT15" i="2"/>
  <c r="BT16" i="2"/>
  <c r="BT17" i="2"/>
  <c r="BT18" i="2"/>
  <c r="BT19" i="2"/>
  <c r="BT20" i="2"/>
  <c r="BT21" i="2"/>
  <c r="BT22" i="2"/>
  <c r="BT23" i="2"/>
  <c r="BT24" i="2"/>
  <c r="BT25" i="2"/>
  <c r="BT26" i="2"/>
  <c r="BT27" i="2"/>
  <c r="BT28" i="2"/>
  <c r="BT29" i="2"/>
  <c r="BT30" i="2"/>
  <c r="BT31" i="2"/>
  <c r="BT32" i="2"/>
  <c r="BT33" i="2"/>
  <c r="BT34" i="2"/>
  <c r="BT35" i="2"/>
  <c r="BT36" i="2"/>
  <c r="BT37" i="2"/>
  <c r="BT38" i="2"/>
  <c r="BT39" i="2"/>
  <c r="BT40" i="2"/>
  <c r="BT41" i="2"/>
  <c r="BT42" i="2"/>
  <c r="BT43" i="2"/>
  <c r="BT44" i="2"/>
  <c r="BT45" i="2"/>
  <c r="BT46" i="2"/>
  <c r="BT47" i="2"/>
  <c r="BT48" i="2"/>
  <c r="BT49" i="2"/>
  <c r="BT50" i="2"/>
  <c r="BT51" i="2"/>
  <c r="BT52" i="2"/>
  <c r="BT53" i="2"/>
  <c r="BT54" i="2"/>
  <c r="BT55" i="2"/>
  <c r="BT56" i="2"/>
  <c r="BT57" i="2"/>
  <c r="BT58" i="2"/>
  <c r="BT59" i="2"/>
  <c r="BT60" i="2"/>
  <c r="BT61" i="2"/>
  <c r="BT62" i="2"/>
  <c r="BT63" i="2"/>
  <c r="BT64" i="2"/>
  <c r="BT65" i="2"/>
  <c r="BT66" i="2"/>
  <c r="BT67" i="2"/>
  <c r="BT68" i="2"/>
  <c r="BT69" i="2"/>
  <c r="BT70" i="2"/>
  <c r="BT71" i="2"/>
  <c r="BT72" i="2"/>
  <c r="BT73" i="2"/>
  <c r="BT74" i="2"/>
  <c r="BT75" i="2"/>
  <c r="BT76" i="2"/>
  <c r="BT77" i="2"/>
  <c r="BT78" i="2"/>
  <c r="BT79" i="2"/>
  <c r="BT80" i="2"/>
  <c r="BT81" i="2"/>
  <c r="BT82" i="2"/>
  <c r="BT83" i="2"/>
  <c r="BT84" i="2"/>
  <c r="BT85" i="2"/>
  <c r="BT86" i="2"/>
  <c r="BT87" i="2"/>
  <c r="BT88" i="2"/>
  <c r="BT89" i="2"/>
  <c r="BT90" i="2"/>
  <c r="BT91" i="2"/>
  <c r="BT92" i="2"/>
  <c r="BT93" i="2"/>
  <c r="BT94" i="2"/>
  <c r="BT95" i="2"/>
  <c r="BT96" i="2"/>
  <c r="BT97" i="2"/>
  <c r="BT98" i="2"/>
  <c r="BT99" i="2"/>
  <c r="BT100" i="2"/>
  <c r="BT101" i="2"/>
  <c r="BT102" i="2"/>
  <c r="BT103" i="2"/>
  <c r="BT104" i="2"/>
  <c r="BT105" i="2"/>
  <c r="BT106" i="2"/>
  <c r="BT107" i="2"/>
  <c r="BT108" i="2"/>
  <c r="BT109" i="2"/>
  <c r="BT110" i="2"/>
  <c r="BT111" i="2"/>
  <c r="BT112" i="2"/>
  <c r="BT113" i="2"/>
  <c r="BT114" i="2"/>
  <c r="BT115" i="2"/>
  <c r="BT116" i="2"/>
  <c r="BT117" i="2"/>
  <c r="BT118" i="2"/>
  <c r="BT119" i="2"/>
  <c r="BT120" i="2"/>
  <c r="BT121" i="2"/>
  <c r="BT122" i="2"/>
  <c r="BT123" i="2"/>
  <c r="BT124" i="2"/>
  <c r="BT125" i="2"/>
  <c r="BT126" i="2"/>
  <c r="BT127" i="2"/>
  <c r="BT128" i="2"/>
  <c r="BT129" i="2"/>
  <c r="BT130" i="2"/>
  <c r="BT131" i="2"/>
  <c r="BT132" i="2"/>
  <c r="BT133" i="2"/>
  <c r="BT134" i="2"/>
  <c r="BT135" i="2"/>
  <c r="BT136" i="2"/>
  <c r="BT137" i="2"/>
  <c r="BT138" i="2"/>
  <c r="BT139" i="2"/>
  <c r="BT140" i="2"/>
  <c r="BT141" i="2"/>
  <c r="BT142" i="2"/>
  <c r="BT143" i="2"/>
  <c r="BT144" i="2"/>
  <c r="BT145" i="2"/>
  <c r="BT146" i="2"/>
  <c r="BT147" i="2"/>
  <c r="BT148" i="2"/>
  <c r="BT149" i="2"/>
  <c r="BT150" i="2"/>
  <c r="BT151" i="2"/>
  <c r="BT152" i="2"/>
  <c r="BT153" i="2"/>
  <c r="BT154" i="2"/>
  <c r="BT4" i="2"/>
  <c r="BP5" i="2"/>
  <c r="BP6" i="2"/>
  <c r="BP7" i="2"/>
  <c r="BP8" i="2"/>
  <c r="BP9" i="2"/>
  <c r="BP10" i="2"/>
  <c r="BP11" i="2"/>
  <c r="BP12" i="2"/>
  <c r="BP13" i="2"/>
  <c r="BP14" i="2"/>
  <c r="BP15" i="2"/>
  <c r="BP16" i="2"/>
  <c r="BP17" i="2"/>
  <c r="BP18" i="2"/>
  <c r="BP19" i="2"/>
  <c r="BP21" i="2"/>
  <c r="BP22" i="2"/>
  <c r="BP23" i="2"/>
  <c r="BP24" i="2"/>
  <c r="BP25" i="2"/>
  <c r="BP26" i="2"/>
  <c r="BP27" i="2"/>
  <c r="BP28" i="2"/>
  <c r="BP29" i="2"/>
  <c r="BP30" i="2"/>
  <c r="BP31" i="2"/>
  <c r="BP32" i="2"/>
  <c r="BP33" i="2"/>
  <c r="BP35" i="2"/>
  <c r="BP36" i="2"/>
  <c r="BP37" i="2"/>
  <c r="BP38" i="2"/>
  <c r="BP39" i="2"/>
  <c r="BP40" i="2"/>
  <c r="BP41" i="2"/>
  <c r="BP42" i="2"/>
  <c r="BP43" i="2"/>
  <c r="BP44" i="2"/>
  <c r="BP45" i="2"/>
  <c r="BP47" i="2"/>
  <c r="BP48" i="2"/>
  <c r="BP49" i="2"/>
  <c r="BP50" i="2"/>
  <c r="BP51" i="2"/>
  <c r="BP52" i="2"/>
  <c r="BP53" i="2"/>
  <c r="BP54" i="2"/>
  <c r="BP55" i="2"/>
  <c r="BP56" i="2"/>
  <c r="BP57" i="2"/>
  <c r="BP58" i="2"/>
  <c r="BP59" i="2"/>
  <c r="BP60" i="2"/>
  <c r="BP61" i="2"/>
  <c r="BP62" i="2"/>
  <c r="BP64" i="2"/>
  <c r="BP65" i="2"/>
  <c r="BP66" i="2"/>
  <c r="BP67" i="2"/>
  <c r="BP68" i="2"/>
  <c r="BP69" i="2"/>
  <c r="BP70" i="2"/>
  <c r="BP71" i="2"/>
  <c r="BP72" i="2"/>
  <c r="BP73" i="2"/>
  <c r="BP74" i="2"/>
  <c r="BP75" i="2"/>
  <c r="BP76" i="2"/>
  <c r="BP77" i="2"/>
  <c r="BP78" i="2"/>
  <c r="BP79" i="2"/>
  <c r="BP80" i="2"/>
  <c r="BP82" i="2"/>
  <c r="BP83" i="2"/>
  <c r="BP84" i="2"/>
  <c r="BP85" i="2"/>
  <c r="BP86" i="2"/>
  <c r="BP87" i="2"/>
  <c r="BP88" i="2"/>
  <c r="BP89" i="2"/>
  <c r="BP102" i="2"/>
  <c r="BP103" i="2"/>
  <c r="BP104" i="2"/>
  <c r="BP105" i="2"/>
  <c r="BP106" i="2"/>
  <c r="BP107" i="2"/>
  <c r="BP108" i="2"/>
  <c r="BP109" i="2"/>
  <c r="BP110" i="2"/>
  <c r="BP111" i="2"/>
  <c r="BP113" i="2"/>
  <c r="BP114" i="2"/>
  <c r="BP115" i="2"/>
  <c r="BP116" i="2"/>
  <c r="BP117" i="2"/>
  <c r="BP118" i="2"/>
  <c r="BP119" i="2"/>
  <c r="BP120" i="2"/>
  <c r="BP121" i="2"/>
  <c r="BP122" i="2"/>
  <c r="BP123" i="2"/>
  <c r="BP124" i="2"/>
  <c r="BP126" i="2"/>
  <c r="BP127" i="2"/>
  <c r="BP128" i="2"/>
  <c r="BP129" i="2"/>
  <c r="BP130" i="2"/>
  <c r="BP131" i="2"/>
  <c r="BP132" i="2"/>
  <c r="BP133" i="2"/>
  <c r="BP134" i="2"/>
  <c r="BP135" i="2"/>
  <c r="BP136" i="2"/>
  <c r="BP137" i="2"/>
  <c r="BP139" i="2"/>
  <c r="BP140" i="2"/>
  <c r="BP141" i="2"/>
  <c r="BP142" i="2"/>
  <c r="BP143" i="2"/>
  <c r="BP144" i="2"/>
  <c r="BP145" i="2"/>
  <c r="BP146" i="2"/>
  <c r="BP147" i="2"/>
  <c r="BP148" i="2"/>
  <c r="BP149" i="2"/>
  <c r="BP150" i="2"/>
  <c r="BP151" i="2"/>
  <c r="BP152" i="2"/>
  <c r="BP153" i="2"/>
  <c r="BP154" i="2"/>
  <c r="BP4" i="2"/>
  <c r="BG37" i="1" l="1"/>
  <c r="CH5" i="2"/>
  <c r="CH6" i="2"/>
  <c r="CH7" i="2"/>
  <c r="CH8" i="2"/>
  <c r="CH9" i="2"/>
  <c r="CH10" i="2"/>
  <c r="CH11" i="2"/>
  <c r="CH12" i="2"/>
  <c r="CH13" i="2"/>
  <c r="CH14" i="2"/>
  <c r="CH15" i="2"/>
  <c r="CH16" i="2"/>
  <c r="CH17" i="2"/>
  <c r="CH18" i="2"/>
  <c r="CH19" i="2"/>
  <c r="CH21" i="2"/>
  <c r="CH22" i="2"/>
  <c r="CH23" i="2"/>
  <c r="CH24" i="2"/>
  <c r="CH25" i="2"/>
  <c r="CH26" i="2"/>
  <c r="CH27" i="2"/>
  <c r="CH28" i="2"/>
  <c r="CH29" i="2"/>
  <c r="CH30" i="2"/>
  <c r="CH31" i="2"/>
  <c r="CH32" i="2"/>
  <c r="CH33" i="2"/>
  <c r="CH35" i="2"/>
  <c r="CH36" i="2"/>
  <c r="CH37" i="2"/>
  <c r="CH38" i="2"/>
  <c r="CH39" i="2"/>
  <c r="CH40" i="2"/>
  <c r="CH41" i="2"/>
  <c r="CH42" i="2"/>
  <c r="CH43" i="2"/>
  <c r="CH44" i="2"/>
  <c r="CH45" i="2"/>
  <c r="CH47" i="2"/>
  <c r="CH48" i="2"/>
  <c r="CH49" i="2"/>
  <c r="CH50" i="2"/>
  <c r="CH51" i="2"/>
  <c r="CH52" i="2"/>
  <c r="CH53" i="2"/>
  <c r="CH54" i="2"/>
  <c r="CH55" i="2"/>
  <c r="CH56" i="2"/>
  <c r="CH57" i="2"/>
  <c r="CH58" i="2"/>
  <c r="CH59" i="2"/>
  <c r="CH60" i="2"/>
  <c r="CH61" i="2"/>
  <c r="CH62" i="2"/>
  <c r="CH64" i="2"/>
  <c r="CH65" i="2"/>
  <c r="CH66" i="2"/>
  <c r="CH67" i="2"/>
  <c r="CH68" i="2"/>
  <c r="CH69" i="2"/>
  <c r="CH70" i="2"/>
  <c r="CH71" i="2"/>
  <c r="CH72" i="2"/>
  <c r="CH73" i="2"/>
  <c r="CH74" i="2"/>
  <c r="CH75" i="2"/>
  <c r="CH76" i="2"/>
  <c r="CH77" i="2"/>
  <c r="CH78" i="2"/>
  <c r="CH79" i="2"/>
  <c r="CH80" i="2"/>
  <c r="CH82" i="2"/>
  <c r="CH83" i="2"/>
  <c r="CH84" i="2"/>
  <c r="CH85" i="2"/>
  <c r="CH86" i="2"/>
  <c r="CH87" i="2"/>
  <c r="CH88" i="2"/>
  <c r="CH89" i="2"/>
  <c r="CH102" i="2"/>
  <c r="CH103" i="2"/>
  <c r="CH104" i="2"/>
  <c r="CH105" i="2"/>
  <c r="CH106" i="2"/>
  <c r="CH107" i="2"/>
  <c r="CH108" i="2"/>
  <c r="CH109" i="2"/>
  <c r="CH110" i="2"/>
  <c r="CH111" i="2"/>
  <c r="CH113" i="2"/>
  <c r="CH114" i="2"/>
  <c r="CH115" i="2"/>
  <c r="CH116" i="2"/>
  <c r="CH117" i="2"/>
  <c r="CH118" i="2"/>
  <c r="CH119" i="2"/>
  <c r="CH120" i="2"/>
  <c r="CH121" i="2"/>
  <c r="CH122" i="2"/>
  <c r="CH123" i="2"/>
  <c r="CH124" i="2"/>
  <c r="CH126" i="2"/>
  <c r="CH127" i="2"/>
  <c r="CH128" i="2"/>
  <c r="CH129" i="2"/>
  <c r="CH130" i="2"/>
  <c r="CH131" i="2"/>
  <c r="CH132" i="2"/>
  <c r="CH133" i="2"/>
  <c r="CH134" i="2"/>
  <c r="CH135" i="2"/>
  <c r="CH136" i="2"/>
  <c r="CH137" i="2"/>
  <c r="CH139" i="2"/>
  <c r="CH140" i="2"/>
  <c r="CH141" i="2"/>
  <c r="CH142" i="2"/>
  <c r="CH143" i="2"/>
  <c r="CH144" i="2"/>
  <c r="CH145" i="2"/>
  <c r="CH146" i="2"/>
  <c r="CH147" i="2"/>
  <c r="CH148" i="2"/>
  <c r="CH149" i="2"/>
  <c r="CH150" i="2"/>
  <c r="CH151" i="2"/>
  <c r="CH152" i="2"/>
  <c r="CH153" i="2"/>
  <c r="CH154" i="2"/>
  <c r="CJ12" i="2"/>
  <c r="CJ13" i="2"/>
  <c r="CJ14" i="2"/>
  <c r="CJ15" i="2"/>
  <c r="CJ16" i="2"/>
  <c r="CJ17" i="2"/>
  <c r="CJ18" i="2"/>
  <c r="CJ19" i="2"/>
  <c r="CJ21" i="2"/>
  <c r="CJ22" i="2"/>
  <c r="CJ23" i="2"/>
  <c r="CJ24" i="2"/>
  <c r="CJ25" i="2"/>
  <c r="CJ26" i="2"/>
  <c r="CJ27" i="2"/>
  <c r="CJ28" i="2"/>
  <c r="CJ29" i="2"/>
  <c r="CJ30" i="2"/>
  <c r="CJ31" i="2"/>
  <c r="CJ32" i="2"/>
  <c r="CJ33" i="2"/>
  <c r="CJ35" i="2"/>
  <c r="CJ36" i="2"/>
  <c r="CJ37" i="2"/>
  <c r="CJ38" i="2"/>
  <c r="CJ39" i="2"/>
  <c r="CJ40" i="2"/>
  <c r="CJ41" i="2"/>
  <c r="CJ42" i="2"/>
  <c r="CJ43" i="2"/>
  <c r="CJ44" i="2"/>
  <c r="CJ45" i="2"/>
  <c r="CJ47" i="2"/>
  <c r="CJ48" i="2"/>
  <c r="CJ49" i="2"/>
  <c r="CJ50" i="2"/>
  <c r="CJ51" i="2"/>
  <c r="CJ52" i="2"/>
  <c r="CJ53" i="2"/>
  <c r="CJ54" i="2"/>
  <c r="CJ55" i="2"/>
  <c r="CJ56" i="2"/>
  <c r="CJ57" i="2"/>
  <c r="CJ58" i="2"/>
  <c r="CJ59" i="2"/>
  <c r="CJ60" i="2"/>
  <c r="CJ61" i="2"/>
  <c r="CJ62" i="2"/>
  <c r="CJ64" i="2"/>
  <c r="CJ65" i="2"/>
  <c r="CJ66" i="2"/>
  <c r="CJ67" i="2"/>
  <c r="CJ68" i="2"/>
  <c r="CJ69" i="2"/>
  <c r="CJ70" i="2"/>
  <c r="CJ71" i="2"/>
  <c r="CJ72" i="2"/>
  <c r="CJ73" i="2"/>
  <c r="CJ74" i="2"/>
  <c r="CJ75" i="2"/>
  <c r="CJ76" i="2"/>
  <c r="CJ77" i="2"/>
  <c r="CJ78" i="2"/>
  <c r="CJ79" i="2"/>
  <c r="CJ80" i="2"/>
  <c r="CJ82" i="2"/>
  <c r="CJ83" i="2"/>
  <c r="CJ84" i="2"/>
  <c r="CJ85" i="2"/>
  <c r="CJ86" i="2"/>
  <c r="CJ87" i="2"/>
  <c r="CJ88" i="2"/>
  <c r="CJ89" i="2"/>
  <c r="CJ102" i="2"/>
  <c r="CJ103" i="2"/>
  <c r="CJ104" i="2"/>
  <c r="CJ105" i="2"/>
  <c r="CJ106" i="2"/>
  <c r="CJ107" i="2"/>
  <c r="CJ108" i="2"/>
  <c r="CJ109" i="2"/>
  <c r="CJ110" i="2"/>
  <c r="CJ111" i="2"/>
  <c r="CJ113" i="2"/>
  <c r="CJ114" i="2"/>
  <c r="CJ115" i="2"/>
  <c r="CJ116" i="2"/>
  <c r="CJ117" i="2"/>
  <c r="CJ118" i="2"/>
  <c r="CJ119" i="2"/>
  <c r="CJ120" i="2"/>
  <c r="CJ121" i="2"/>
  <c r="CJ122" i="2"/>
  <c r="CJ123" i="2"/>
  <c r="CJ124" i="2"/>
  <c r="CJ126" i="2"/>
  <c r="CJ127" i="2"/>
  <c r="CJ128" i="2"/>
  <c r="CJ129" i="2"/>
  <c r="CJ130" i="2"/>
  <c r="CJ131" i="2"/>
  <c r="CJ132" i="2"/>
  <c r="CJ133" i="2"/>
  <c r="CJ134" i="2"/>
  <c r="CJ135" i="2"/>
  <c r="CJ136" i="2"/>
  <c r="CJ137" i="2"/>
  <c r="CJ139" i="2"/>
  <c r="CJ140" i="2"/>
  <c r="CJ141" i="2"/>
  <c r="CJ142" i="2"/>
  <c r="CJ143" i="2"/>
  <c r="CJ144" i="2"/>
  <c r="CJ145" i="2"/>
  <c r="CJ146" i="2"/>
  <c r="CJ147" i="2"/>
  <c r="CJ148" i="2"/>
  <c r="CJ149" i="2"/>
  <c r="CJ150" i="2"/>
  <c r="CJ151" i="2"/>
  <c r="CJ152" i="2"/>
  <c r="CJ153" i="2"/>
  <c r="CJ154" i="2"/>
  <c r="CJ5" i="2"/>
  <c r="CJ6" i="2"/>
  <c r="CJ7" i="2"/>
  <c r="CJ8" i="2"/>
  <c r="CJ9" i="2"/>
  <c r="CJ10" i="2"/>
  <c r="CJ11" i="2"/>
  <c r="CH4" i="2"/>
  <c r="CJ4" i="2"/>
  <c r="BP62" i="1"/>
  <c r="BP63" i="1"/>
  <c r="BP64" i="1"/>
  <c r="BP65" i="1"/>
  <c r="BP66" i="1"/>
  <c r="BP67" i="1"/>
  <c r="BP68" i="1"/>
  <c r="BP69" i="1"/>
  <c r="BP70" i="1"/>
  <c r="BP71" i="1"/>
  <c r="BP72" i="1"/>
  <c r="BP61" i="1"/>
  <c r="BG38" i="1"/>
  <c r="BG39" i="1"/>
  <c r="BG40" i="1"/>
  <c r="BG41" i="1"/>
  <c r="BG42" i="1"/>
  <c r="BG43" i="1"/>
  <c r="BG44" i="1"/>
  <c r="BG45" i="1"/>
  <c r="BG46" i="1"/>
  <c r="BG47" i="1"/>
  <c r="BG48" i="1"/>
  <c r="AL49" i="1" l="1"/>
  <c r="CD139" i="2"/>
  <c r="CD140" i="2"/>
  <c r="CD141" i="2"/>
  <c r="CD142" i="2"/>
  <c r="CD143" i="2"/>
  <c r="CD144" i="2"/>
  <c r="CD145" i="2"/>
  <c r="CD146" i="2"/>
  <c r="CD147" i="2"/>
  <c r="CD148" i="2"/>
  <c r="CD149" i="2"/>
  <c r="CD150" i="2"/>
  <c r="CD151" i="2"/>
  <c r="CD152" i="2"/>
  <c r="CD153" i="2"/>
  <c r="CD154" i="2"/>
  <c r="CF139" i="2"/>
  <c r="CF140" i="2"/>
  <c r="CF141" i="2"/>
  <c r="CF142" i="2"/>
  <c r="CF143" i="2"/>
  <c r="CF144" i="2"/>
  <c r="CF145" i="2"/>
  <c r="CF146" i="2"/>
  <c r="CF147" i="2"/>
  <c r="CF148" i="2"/>
  <c r="CF149" i="2"/>
  <c r="CF150" i="2"/>
  <c r="CF151" i="2"/>
  <c r="CF152" i="2"/>
  <c r="CF153" i="2"/>
  <c r="CF154" i="2"/>
  <c r="CD126" i="2"/>
  <c r="CD127" i="2"/>
  <c r="CD128" i="2"/>
  <c r="CD129" i="2"/>
  <c r="CD130" i="2"/>
  <c r="CD131" i="2"/>
  <c r="CD132" i="2"/>
  <c r="CD133" i="2"/>
  <c r="CD134" i="2"/>
  <c r="CD135" i="2"/>
  <c r="CD136" i="2"/>
  <c r="CD137" i="2"/>
  <c r="CF126" i="2"/>
  <c r="CF127" i="2"/>
  <c r="CF128" i="2"/>
  <c r="CF129" i="2"/>
  <c r="CF130" i="2"/>
  <c r="CF131" i="2"/>
  <c r="CF132" i="2"/>
  <c r="CF133" i="2"/>
  <c r="CF134" i="2"/>
  <c r="CF135" i="2"/>
  <c r="CF136" i="2"/>
  <c r="CF137" i="2"/>
  <c r="CD113" i="2"/>
  <c r="CD114" i="2"/>
  <c r="CD115" i="2"/>
  <c r="CD116" i="2"/>
  <c r="CD117" i="2"/>
  <c r="CD118" i="2"/>
  <c r="CD119" i="2"/>
  <c r="CD120" i="2"/>
  <c r="CD121" i="2"/>
  <c r="CD122" i="2"/>
  <c r="CD123" i="2"/>
  <c r="CD124" i="2"/>
  <c r="CF113" i="2"/>
  <c r="CF114" i="2"/>
  <c r="CF115" i="2"/>
  <c r="CF116" i="2"/>
  <c r="CF117" i="2"/>
  <c r="CF118" i="2"/>
  <c r="CF119" i="2"/>
  <c r="CF120" i="2"/>
  <c r="CF121" i="2"/>
  <c r="CF122" i="2"/>
  <c r="CF123" i="2"/>
  <c r="CF124" i="2"/>
  <c r="CD102" i="2"/>
  <c r="CD103" i="2"/>
  <c r="CD104" i="2"/>
  <c r="CD105" i="2"/>
  <c r="CD106" i="2"/>
  <c r="CD107" i="2"/>
  <c r="CD108" i="2"/>
  <c r="CD109" i="2"/>
  <c r="CD110" i="2"/>
  <c r="CD111" i="2"/>
  <c r="CF102" i="2"/>
  <c r="CF103" i="2"/>
  <c r="CF104" i="2"/>
  <c r="CF105" i="2"/>
  <c r="CF106" i="2"/>
  <c r="CF107" i="2"/>
  <c r="CF108" i="2"/>
  <c r="CF109" i="2"/>
  <c r="CF110" i="2"/>
  <c r="CF111" i="2"/>
  <c r="CD82" i="2"/>
  <c r="CD83" i="2"/>
  <c r="CD84" i="2"/>
  <c r="CD85" i="2"/>
  <c r="CD86" i="2"/>
  <c r="CD87" i="2"/>
  <c r="CD88" i="2"/>
  <c r="CD89" i="2"/>
  <c r="CF82" i="2"/>
  <c r="CF83" i="2"/>
  <c r="CF84" i="2"/>
  <c r="CF85" i="2"/>
  <c r="CF86" i="2"/>
  <c r="CF87" i="2"/>
  <c r="CF88" i="2"/>
  <c r="CF89" i="2"/>
  <c r="CD64" i="2"/>
  <c r="CD65" i="2"/>
  <c r="CD66" i="2"/>
  <c r="CD67" i="2"/>
  <c r="CD68" i="2"/>
  <c r="CD69" i="2"/>
  <c r="CD70" i="2"/>
  <c r="CD71" i="2"/>
  <c r="CD72" i="2"/>
  <c r="CD73" i="2"/>
  <c r="CD74" i="2"/>
  <c r="CD75" i="2"/>
  <c r="CD76" i="2"/>
  <c r="CD77" i="2"/>
  <c r="CD78" i="2"/>
  <c r="CD79" i="2"/>
  <c r="CD80" i="2"/>
  <c r="CF64" i="2"/>
  <c r="CF65" i="2"/>
  <c r="CF66" i="2"/>
  <c r="CF67" i="2"/>
  <c r="CF68" i="2"/>
  <c r="CF69" i="2"/>
  <c r="CF70" i="2"/>
  <c r="CF71" i="2"/>
  <c r="CF72" i="2"/>
  <c r="CF73" i="2"/>
  <c r="CF74" i="2"/>
  <c r="CF75" i="2"/>
  <c r="CF76" i="2"/>
  <c r="CF77" i="2"/>
  <c r="CF78" i="2"/>
  <c r="CF79" i="2"/>
  <c r="CF80" i="2"/>
  <c r="CD47" i="2"/>
  <c r="CD48" i="2"/>
  <c r="CD49" i="2"/>
  <c r="CD50" i="2"/>
  <c r="CD51" i="2"/>
  <c r="CD52" i="2"/>
  <c r="CD53" i="2"/>
  <c r="CD54" i="2"/>
  <c r="CD55" i="2"/>
  <c r="CD56" i="2"/>
  <c r="CD57" i="2"/>
  <c r="CD58" i="2"/>
  <c r="CD59" i="2"/>
  <c r="CD60" i="2"/>
  <c r="CD61" i="2"/>
  <c r="CD62" i="2"/>
  <c r="CF47" i="2"/>
  <c r="CF48" i="2"/>
  <c r="CF49" i="2"/>
  <c r="CF50" i="2"/>
  <c r="CF51" i="2"/>
  <c r="CF52" i="2"/>
  <c r="CF53" i="2"/>
  <c r="CF54" i="2"/>
  <c r="CF55" i="2"/>
  <c r="CF56" i="2"/>
  <c r="CF57" i="2"/>
  <c r="CF58" i="2"/>
  <c r="CF59" i="2"/>
  <c r="CF60" i="2"/>
  <c r="CF61" i="2"/>
  <c r="CF62" i="2"/>
  <c r="CD35" i="2"/>
  <c r="CD36" i="2"/>
  <c r="CD37" i="2"/>
  <c r="CD38" i="2"/>
  <c r="CD39" i="2"/>
  <c r="CD40" i="2"/>
  <c r="CD41" i="2"/>
  <c r="CD42" i="2"/>
  <c r="CD43" i="2"/>
  <c r="CD44" i="2"/>
  <c r="CD45" i="2"/>
  <c r="CF35" i="2"/>
  <c r="CF36" i="2"/>
  <c r="CF37" i="2"/>
  <c r="CF38" i="2"/>
  <c r="CF39" i="2"/>
  <c r="CF40" i="2"/>
  <c r="CF41" i="2"/>
  <c r="CF42" i="2"/>
  <c r="CF43" i="2"/>
  <c r="CF44" i="2"/>
  <c r="CF45" i="2"/>
  <c r="CD22" i="2"/>
  <c r="CD23" i="2"/>
  <c r="CD24" i="2"/>
  <c r="CD25" i="2"/>
  <c r="CD26" i="2"/>
  <c r="CD27" i="2"/>
  <c r="CD28" i="2"/>
  <c r="CD29" i="2"/>
  <c r="CD30" i="2"/>
  <c r="CD31" i="2"/>
  <c r="CD32" i="2"/>
  <c r="CD33" i="2"/>
  <c r="CD21" i="2"/>
  <c r="CF22" i="2"/>
  <c r="CF23" i="2"/>
  <c r="CF24" i="2"/>
  <c r="CF25" i="2"/>
  <c r="CF26" i="2"/>
  <c r="CF27" i="2"/>
  <c r="CF28" i="2"/>
  <c r="CF29" i="2"/>
  <c r="CF30" i="2"/>
  <c r="CF31" i="2"/>
  <c r="CF32" i="2"/>
  <c r="CF33" i="2"/>
  <c r="CF21" i="2"/>
  <c r="CD5" i="2" l="1"/>
  <c r="CD6" i="2"/>
  <c r="CD7" i="2"/>
  <c r="CD8" i="2"/>
  <c r="CD9" i="2"/>
  <c r="CD10" i="2"/>
  <c r="CD11" i="2"/>
  <c r="CD12" i="2"/>
  <c r="CD13" i="2"/>
  <c r="CD14" i="2"/>
  <c r="CD15" i="2"/>
  <c r="CD16" i="2"/>
  <c r="CD17" i="2"/>
  <c r="CD18" i="2"/>
  <c r="CD19" i="2"/>
  <c r="CD4" i="2"/>
  <c r="CF5" i="2"/>
  <c r="CF6" i="2"/>
  <c r="CF7" i="2"/>
  <c r="CF8" i="2"/>
  <c r="CF9" i="2"/>
  <c r="CF10" i="2"/>
  <c r="CF11" i="2"/>
  <c r="CF12" i="2"/>
  <c r="CF13" i="2"/>
  <c r="CF14" i="2"/>
  <c r="CF15" i="2"/>
  <c r="CF16" i="2"/>
  <c r="CF17" i="2"/>
  <c r="CF18" i="2"/>
  <c r="CF19" i="2"/>
  <c r="CF4" i="2"/>
  <c r="BN62" i="1"/>
  <c r="BN63" i="1"/>
  <c r="BN64" i="1"/>
  <c r="BN65" i="1"/>
  <c r="BN66" i="1"/>
  <c r="BN67" i="1"/>
  <c r="BN68" i="1"/>
  <c r="BN69" i="1"/>
  <c r="BN70" i="1"/>
  <c r="BN71" i="1"/>
  <c r="BN72" i="1"/>
  <c r="BN61" i="1"/>
  <c r="BE38" i="1"/>
  <c r="BE39" i="1"/>
  <c r="BE40" i="1"/>
  <c r="BE41" i="1"/>
  <c r="BE42" i="1"/>
  <c r="BE43" i="1"/>
  <c r="BE44" i="1"/>
  <c r="BE45" i="1"/>
  <c r="BE46" i="1"/>
  <c r="BE47" i="1"/>
  <c r="BE48" i="1"/>
  <c r="BE37" i="1"/>
  <c r="BD49" i="1" l="1"/>
  <c r="BG49" i="1" s="1"/>
  <c r="BC38" i="1"/>
  <c r="BC39" i="1"/>
  <c r="BC40" i="1"/>
  <c r="BC41" i="1"/>
  <c r="BC42" i="1"/>
  <c r="BC43" i="1"/>
  <c r="BC44" i="1"/>
  <c r="BC45" i="1"/>
  <c r="BC46" i="1"/>
  <c r="BC47" i="1"/>
  <c r="BC48" i="1"/>
  <c r="BC37" i="1"/>
  <c r="BL62" i="1"/>
  <c r="BL63" i="1"/>
  <c r="BL64" i="1"/>
  <c r="BL65" i="1"/>
  <c r="BL66" i="1"/>
  <c r="BL67" i="1"/>
  <c r="BL68" i="1"/>
  <c r="BL69" i="1"/>
  <c r="BL70" i="1"/>
  <c r="BL71" i="1"/>
  <c r="BL72" i="1"/>
  <c r="BL61" i="1"/>
  <c r="C49" i="1"/>
  <c r="D49" i="1"/>
  <c r="F49" i="1"/>
  <c r="H49" i="1"/>
  <c r="J49" i="1"/>
  <c r="L49" i="1"/>
  <c r="N49" i="1"/>
  <c r="P49" i="1"/>
  <c r="R49" i="1"/>
  <c r="T49" i="1"/>
  <c r="V49" i="1"/>
  <c r="X49" i="1"/>
  <c r="Z49" i="1"/>
  <c r="AB49" i="1"/>
  <c r="AD49" i="1"/>
  <c r="AF49" i="1"/>
  <c r="AH49" i="1"/>
  <c r="AJ49" i="1"/>
  <c r="B49" i="1"/>
  <c r="CB139" i="2"/>
  <c r="BZ139" i="2"/>
  <c r="CB140" i="2"/>
  <c r="BZ140" i="2"/>
  <c r="CB141" i="2"/>
  <c r="BZ141" i="2"/>
  <c r="CB142" i="2"/>
  <c r="BZ142" i="2"/>
  <c r="CB143" i="2"/>
  <c r="BZ143" i="2"/>
  <c r="CB144" i="2"/>
  <c r="BZ144" i="2"/>
  <c r="CB145" i="2"/>
  <c r="BZ145" i="2"/>
  <c r="CB146" i="2"/>
  <c r="BZ146" i="2"/>
  <c r="CB147" i="2"/>
  <c r="BZ147" i="2"/>
  <c r="CB148" i="2"/>
  <c r="BZ148" i="2"/>
  <c r="CB149" i="2"/>
  <c r="BZ149" i="2"/>
  <c r="CB150" i="2"/>
  <c r="BZ150" i="2"/>
  <c r="CB151" i="2"/>
  <c r="BZ151" i="2"/>
  <c r="CB152" i="2"/>
  <c r="BZ152" i="2"/>
  <c r="CB153" i="2"/>
  <c r="BZ153" i="2"/>
  <c r="CB154" i="2"/>
  <c r="BZ154" i="2"/>
  <c r="CB126" i="2"/>
  <c r="BZ126" i="2"/>
  <c r="CB127" i="2"/>
  <c r="BZ127" i="2"/>
  <c r="CB128" i="2"/>
  <c r="BZ128" i="2"/>
  <c r="CB129" i="2"/>
  <c r="BZ129" i="2"/>
  <c r="CB130" i="2"/>
  <c r="BZ130" i="2"/>
  <c r="CB131" i="2"/>
  <c r="BZ131" i="2"/>
  <c r="CB132" i="2"/>
  <c r="BZ132" i="2"/>
  <c r="CB133" i="2"/>
  <c r="BZ133" i="2"/>
  <c r="CB134" i="2"/>
  <c r="BZ134" i="2"/>
  <c r="CB135" i="2"/>
  <c r="BZ135" i="2"/>
  <c r="CB136" i="2"/>
  <c r="BZ136" i="2"/>
  <c r="CB137" i="2"/>
  <c r="BZ137" i="2"/>
  <c r="CB113" i="2"/>
  <c r="BZ113" i="2"/>
  <c r="CB114" i="2"/>
  <c r="BZ114" i="2"/>
  <c r="CB115" i="2"/>
  <c r="BZ115" i="2"/>
  <c r="CB116" i="2"/>
  <c r="BZ116" i="2"/>
  <c r="CB117" i="2"/>
  <c r="BZ117" i="2"/>
  <c r="CB118" i="2"/>
  <c r="BZ118" i="2"/>
  <c r="CB119" i="2"/>
  <c r="BZ119" i="2"/>
  <c r="CB120" i="2"/>
  <c r="BZ120" i="2"/>
  <c r="CB121" i="2"/>
  <c r="BZ121" i="2"/>
  <c r="CB122" i="2"/>
  <c r="BZ122" i="2"/>
  <c r="CB123" i="2"/>
  <c r="BZ123" i="2"/>
  <c r="CB124" i="2"/>
  <c r="BZ124" i="2"/>
  <c r="CB102" i="2"/>
  <c r="BZ102" i="2"/>
  <c r="CB103" i="2"/>
  <c r="BZ103" i="2"/>
  <c r="CB104" i="2"/>
  <c r="BZ104" i="2"/>
  <c r="CB105" i="2"/>
  <c r="BZ105" i="2"/>
  <c r="CB106" i="2"/>
  <c r="BZ106" i="2"/>
  <c r="CB107" i="2"/>
  <c r="BZ107" i="2"/>
  <c r="CB108" i="2"/>
  <c r="BZ108" i="2"/>
  <c r="CB109" i="2"/>
  <c r="BZ109" i="2"/>
  <c r="CB110" i="2"/>
  <c r="BZ110" i="2"/>
  <c r="CB111" i="2"/>
  <c r="BZ111" i="2"/>
  <c r="CB82" i="2"/>
  <c r="BZ82" i="2"/>
  <c r="CB83" i="2"/>
  <c r="BZ83" i="2"/>
  <c r="CB84" i="2"/>
  <c r="BZ84" i="2"/>
  <c r="CB85" i="2"/>
  <c r="BZ85" i="2"/>
  <c r="CB86" i="2"/>
  <c r="BZ86" i="2"/>
  <c r="CB87" i="2"/>
  <c r="BZ87" i="2"/>
  <c r="CB88" i="2"/>
  <c r="BZ88" i="2"/>
  <c r="CB89" i="2"/>
  <c r="BZ89" i="2"/>
  <c r="CB64" i="2"/>
  <c r="BZ64" i="2"/>
  <c r="CB65" i="2"/>
  <c r="BZ65" i="2"/>
  <c r="CB66" i="2"/>
  <c r="BZ66" i="2"/>
  <c r="CB67" i="2"/>
  <c r="BZ67" i="2"/>
  <c r="CB68" i="2"/>
  <c r="BZ68" i="2"/>
  <c r="CB69" i="2"/>
  <c r="BZ69" i="2"/>
  <c r="CB70" i="2"/>
  <c r="BZ70" i="2"/>
  <c r="CB71" i="2"/>
  <c r="BZ71" i="2"/>
  <c r="CB72" i="2"/>
  <c r="BZ72" i="2"/>
  <c r="CB73" i="2"/>
  <c r="BZ73" i="2"/>
  <c r="CB74" i="2"/>
  <c r="BZ74" i="2"/>
  <c r="CB75" i="2"/>
  <c r="BZ75" i="2"/>
  <c r="CB76" i="2"/>
  <c r="BZ76" i="2"/>
  <c r="CB77" i="2"/>
  <c r="BZ77" i="2"/>
  <c r="CB78" i="2"/>
  <c r="BZ78" i="2"/>
  <c r="CB79" i="2"/>
  <c r="BZ79" i="2"/>
  <c r="CB80" i="2"/>
  <c r="BZ80" i="2"/>
  <c r="CB47" i="2"/>
  <c r="BZ47" i="2"/>
  <c r="CB48" i="2"/>
  <c r="BZ48" i="2"/>
  <c r="CB49" i="2"/>
  <c r="BZ49" i="2"/>
  <c r="CB50" i="2"/>
  <c r="BZ50" i="2"/>
  <c r="CB51" i="2"/>
  <c r="BZ51" i="2"/>
  <c r="CB52" i="2"/>
  <c r="BZ52" i="2"/>
  <c r="CB53" i="2"/>
  <c r="BZ53" i="2"/>
  <c r="CB54" i="2"/>
  <c r="BZ54" i="2"/>
  <c r="CB55" i="2"/>
  <c r="BZ55" i="2"/>
  <c r="CB56" i="2"/>
  <c r="BZ56" i="2"/>
  <c r="CB57" i="2"/>
  <c r="BZ57" i="2"/>
  <c r="CB58" i="2"/>
  <c r="BZ58" i="2"/>
  <c r="CB59" i="2"/>
  <c r="BZ59" i="2"/>
  <c r="CB60" i="2"/>
  <c r="BZ60" i="2"/>
  <c r="CB61" i="2"/>
  <c r="BZ61" i="2"/>
  <c r="CB62" i="2"/>
  <c r="BZ62" i="2"/>
  <c r="CB35" i="2"/>
  <c r="BZ35" i="2"/>
  <c r="CB36" i="2"/>
  <c r="BZ36" i="2"/>
  <c r="CB37" i="2"/>
  <c r="BZ37" i="2"/>
  <c r="CB38" i="2"/>
  <c r="BZ38" i="2"/>
  <c r="CB39" i="2"/>
  <c r="BZ39" i="2"/>
  <c r="CB40" i="2"/>
  <c r="BZ40" i="2"/>
  <c r="CB41" i="2"/>
  <c r="BZ41" i="2"/>
  <c r="CB42" i="2"/>
  <c r="BZ42" i="2"/>
  <c r="CB43" i="2"/>
  <c r="BZ43" i="2"/>
  <c r="CB44" i="2"/>
  <c r="BZ44" i="2"/>
  <c r="CB45" i="2"/>
  <c r="BZ45" i="2"/>
  <c r="CB21" i="2"/>
  <c r="BZ21" i="2"/>
  <c r="CB22" i="2"/>
  <c r="BZ22" i="2"/>
  <c r="CB23" i="2"/>
  <c r="BZ23" i="2"/>
  <c r="CB24" i="2"/>
  <c r="BZ24" i="2"/>
  <c r="CB25" i="2"/>
  <c r="BZ25" i="2"/>
  <c r="CB26" i="2"/>
  <c r="BZ26" i="2"/>
  <c r="CB27" i="2"/>
  <c r="BZ27" i="2"/>
  <c r="CB28" i="2"/>
  <c r="BZ28" i="2"/>
  <c r="CB29" i="2"/>
  <c r="BZ29" i="2"/>
  <c r="CB30" i="2"/>
  <c r="BZ30" i="2"/>
  <c r="CB31" i="2"/>
  <c r="BZ31" i="2"/>
  <c r="CB32" i="2"/>
  <c r="BZ32" i="2"/>
  <c r="CB33" i="2"/>
  <c r="BZ33" i="2"/>
  <c r="CB5" i="2"/>
  <c r="BZ5" i="2"/>
  <c r="CB6" i="2"/>
  <c r="BZ6" i="2"/>
  <c r="CB7" i="2"/>
  <c r="BZ7" i="2"/>
  <c r="CB8" i="2"/>
  <c r="BZ8" i="2"/>
  <c r="CB9" i="2"/>
  <c r="BZ9" i="2"/>
  <c r="CB10" i="2"/>
  <c r="BZ10" i="2"/>
  <c r="CB11" i="2"/>
  <c r="BZ11" i="2"/>
  <c r="CB12" i="2"/>
  <c r="BZ12" i="2"/>
  <c r="CB13" i="2"/>
  <c r="BZ13" i="2"/>
  <c r="CB14" i="2"/>
  <c r="BZ14" i="2"/>
  <c r="CB15" i="2"/>
  <c r="BZ15" i="2"/>
  <c r="CB16" i="2"/>
  <c r="BZ16" i="2"/>
  <c r="CB17" i="2"/>
  <c r="BZ17" i="2"/>
  <c r="CB18" i="2"/>
  <c r="BZ18" i="2"/>
  <c r="CB19" i="2"/>
  <c r="BZ19" i="2"/>
  <c r="BZ4" i="2"/>
  <c r="CB4" i="2"/>
  <c r="BX47" i="2"/>
  <c r="BB49" i="1" l="1"/>
  <c r="BE49" i="1" s="1"/>
  <c r="BJ62" i="1"/>
  <c r="BJ63" i="1"/>
  <c r="BJ64" i="1"/>
  <c r="BJ65" i="1"/>
  <c r="BJ66" i="1"/>
  <c r="BJ67" i="1"/>
  <c r="BJ68" i="1"/>
  <c r="BJ69" i="1"/>
  <c r="BJ70" i="1"/>
  <c r="BJ71" i="1"/>
  <c r="BJ72" i="1"/>
  <c r="BJ61" i="1"/>
  <c r="BA38" i="1"/>
  <c r="BA39" i="1"/>
  <c r="BA40" i="1"/>
  <c r="BA41" i="1"/>
  <c r="BA42" i="1"/>
  <c r="BA43" i="1"/>
  <c r="BA44" i="1"/>
  <c r="BA45" i="1"/>
  <c r="BA46" i="1"/>
  <c r="BA47" i="1"/>
  <c r="BA48" i="1"/>
  <c r="BA37" i="1"/>
  <c r="BX102" i="2"/>
  <c r="BX103" i="2"/>
  <c r="BX104" i="2"/>
  <c r="BX105" i="2"/>
  <c r="BX106" i="2"/>
  <c r="BX107" i="2"/>
  <c r="BX108" i="2"/>
  <c r="BX109" i="2"/>
  <c r="BX110" i="2"/>
  <c r="BX111" i="2"/>
  <c r="BX113" i="2"/>
  <c r="BX114" i="2"/>
  <c r="BX115" i="2"/>
  <c r="BX116" i="2"/>
  <c r="BX117" i="2"/>
  <c r="BX118" i="2"/>
  <c r="BX119" i="2"/>
  <c r="BX120" i="2"/>
  <c r="BX121" i="2"/>
  <c r="BX122" i="2"/>
  <c r="BX123" i="2"/>
  <c r="BX124" i="2"/>
  <c r="BX126" i="2"/>
  <c r="BX127" i="2"/>
  <c r="BX128" i="2"/>
  <c r="BX129" i="2"/>
  <c r="BX130" i="2"/>
  <c r="BX131" i="2"/>
  <c r="BX132" i="2"/>
  <c r="BX133" i="2"/>
  <c r="BX134" i="2"/>
  <c r="BX135" i="2"/>
  <c r="BX136" i="2"/>
  <c r="BX137" i="2"/>
  <c r="BX139" i="2"/>
  <c r="BX140" i="2"/>
  <c r="BX141" i="2"/>
  <c r="BX142" i="2"/>
  <c r="BX143" i="2"/>
  <c r="BX144" i="2"/>
  <c r="BX145" i="2"/>
  <c r="BX146" i="2"/>
  <c r="BX147" i="2"/>
  <c r="BX148" i="2"/>
  <c r="BX149" i="2"/>
  <c r="BX150" i="2"/>
  <c r="BX151" i="2"/>
  <c r="BX152" i="2"/>
  <c r="BX153" i="2"/>
  <c r="BX154" i="2"/>
  <c r="BX82" i="2"/>
  <c r="BX83" i="2"/>
  <c r="BX84" i="2"/>
  <c r="BX85" i="2"/>
  <c r="BX86" i="2"/>
  <c r="BX87" i="2"/>
  <c r="BX88" i="2"/>
  <c r="BX89" i="2"/>
  <c r="BX64" i="2"/>
  <c r="BX65" i="2"/>
  <c r="BX66" i="2"/>
  <c r="BX67" i="2"/>
  <c r="BX68" i="2"/>
  <c r="BX69" i="2"/>
  <c r="BX70" i="2"/>
  <c r="BX71" i="2"/>
  <c r="BX72" i="2"/>
  <c r="BX73" i="2"/>
  <c r="BX74" i="2"/>
  <c r="BX75" i="2"/>
  <c r="BX76" i="2"/>
  <c r="BX77" i="2"/>
  <c r="BX78" i="2"/>
  <c r="BX79" i="2"/>
  <c r="BX80" i="2"/>
  <c r="BX48" i="2"/>
  <c r="BX49" i="2"/>
  <c r="BX50" i="2"/>
  <c r="BX51" i="2"/>
  <c r="BX52" i="2"/>
  <c r="BX53" i="2"/>
  <c r="BX54" i="2"/>
  <c r="BX55" i="2"/>
  <c r="BX56" i="2"/>
  <c r="BX57" i="2"/>
  <c r="BX58" i="2"/>
  <c r="BX59" i="2"/>
  <c r="BX60" i="2"/>
  <c r="BX61" i="2"/>
  <c r="BX62" i="2"/>
  <c r="BX35" i="2"/>
  <c r="BX36" i="2"/>
  <c r="BX37" i="2"/>
  <c r="BX38" i="2"/>
  <c r="BX39" i="2"/>
  <c r="BX40" i="2"/>
  <c r="BX41" i="2"/>
  <c r="BX42" i="2"/>
  <c r="BX43" i="2"/>
  <c r="BX44" i="2"/>
  <c r="BX45" i="2"/>
  <c r="BX21" i="2"/>
  <c r="BX22" i="2"/>
  <c r="BX23" i="2"/>
  <c r="BX24" i="2"/>
  <c r="BX25" i="2"/>
  <c r="BX26" i="2"/>
  <c r="BX27" i="2"/>
  <c r="BX28" i="2"/>
  <c r="BX29" i="2"/>
  <c r="BX30" i="2"/>
  <c r="BX31" i="2"/>
  <c r="BX32" i="2"/>
  <c r="BX33" i="2"/>
  <c r="BV64" i="2"/>
  <c r="BV65" i="2"/>
  <c r="BV66" i="2"/>
  <c r="BV67" i="2"/>
  <c r="BV68" i="2"/>
  <c r="BV69" i="2"/>
  <c r="BV70" i="2"/>
  <c r="BV71" i="2"/>
  <c r="BV72" i="2"/>
  <c r="BV73" i="2"/>
  <c r="BV74" i="2"/>
  <c r="BV75" i="2"/>
  <c r="BV76" i="2"/>
  <c r="BV77" i="2"/>
  <c r="BV78" i="2"/>
  <c r="BV79" i="2"/>
  <c r="BV80" i="2"/>
  <c r="BV82" i="2"/>
  <c r="BV83" i="2"/>
  <c r="BV84" i="2"/>
  <c r="BV85" i="2"/>
  <c r="BV86" i="2"/>
  <c r="BV87" i="2"/>
  <c r="BV88" i="2"/>
  <c r="BV89" i="2"/>
  <c r="BV102" i="2"/>
  <c r="BV103" i="2"/>
  <c r="BV104" i="2"/>
  <c r="BV105" i="2"/>
  <c r="BV106" i="2"/>
  <c r="BV107" i="2"/>
  <c r="BV108" i="2"/>
  <c r="BV109" i="2"/>
  <c r="BV110" i="2"/>
  <c r="BV111" i="2"/>
  <c r="BV113" i="2"/>
  <c r="BV114" i="2"/>
  <c r="BV115" i="2"/>
  <c r="BV116" i="2"/>
  <c r="BV117" i="2"/>
  <c r="BV118" i="2"/>
  <c r="BV119" i="2"/>
  <c r="BV120" i="2"/>
  <c r="BV121" i="2"/>
  <c r="BV122" i="2"/>
  <c r="BV123" i="2"/>
  <c r="BV124" i="2"/>
  <c r="BV126" i="2"/>
  <c r="BV127" i="2"/>
  <c r="BV128" i="2"/>
  <c r="BV129" i="2"/>
  <c r="BV130" i="2"/>
  <c r="BV131" i="2"/>
  <c r="BV132" i="2"/>
  <c r="BV133" i="2"/>
  <c r="BV134" i="2"/>
  <c r="BV135" i="2"/>
  <c r="BV136" i="2"/>
  <c r="BV137" i="2"/>
  <c r="BV139" i="2"/>
  <c r="BV140" i="2"/>
  <c r="BV141" i="2"/>
  <c r="BV142" i="2"/>
  <c r="BV143" i="2"/>
  <c r="BV144" i="2"/>
  <c r="BV145" i="2"/>
  <c r="BV146" i="2"/>
  <c r="BV147" i="2"/>
  <c r="BV148" i="2"/>
  <c r="BV149" i="2"/>
  <c r="BV150" i="2"/>
  <c r="BV151" i="2"/>
  <c r="BV152" i="2"/>
  <c r="BV153" i="2"/>
  <c r="BV154" i="2"/>
  <c r="BV47" i="2"/>
  <c r="BV48" i="2"/>
  <c r="BV49" i="2"/>
  <c r="BV50" i="2"/>
  <c r="BV51" i="2"/>
  <c r="BV52" i="2"/>
  <c r="BV53" i="2"/>
  <c r="BV54" i="2"/>
  <c r="BV55" i="2"/>
  <c r="BV56" i="2"/>
  <c r="BV57" i="2"/>
  <c r="BV58" i="2"/>
  <c r="BV59" i="2"/>
  <c r="BV60" i="2"/>
  <c r="BV61" i="2"/>
  <c r="BV62" i="2"/>
  <c r="BV35" i="2"/>
  <c r="BV37" i="2"/>
  <c r="BV38" i="2"/>
  <c r="BV39" i="2"/>
  <c r="BV40" i="2"/>
  <c r="BV41" i="2"/>
  <c r="BV42" i="2"/>
  <c r="BV43" i="2"/>
  <c r="BV44" i="2"/>
  <c r="BV45" i="2"/>
  <c r="BV21" i="2"/>
  <c r="BV22" i="2"/>
  <c r="BV23" i="2"/>
  <c r="BV24" i="2"/>
  <c r="BV25" i="2"/>
  <c r="BV26" i="2"/>
  <c r="BV27" i="2"/>
  <c r="BV28" i="2"/>
  <c r="BV29" i="2"/>
  <c r="BV30" i="2"/>
  <c r="BV31" i="2"/>
  <c r="BV32" i="2"/>
  <c r="BV33" i="2"/>
  <c r="BV5" i="2"/>
  <c r="BV6" i="2"/>
  <c r="BV7" i="2"/>
  <c r="BV8" i="2"/>
  <c r="BV9" i="2"/>
  <c r="BV10" i="2"/>
  <c r="BV11" i="2"/>
  <c r="BV12" i="2"/>
  <c r="BV13" i="2"/>
  <c r="BV14" i="2"/>
  <c r="BV15" i="2"/>
  <c r="BV16" i="2"/>
  <c r="BV17" i="2"/>
  <c r="BV18" i="2"/>
  <c r="BV19" i="2"/>
  <c r="BV4" i="2"/>
  <c r="BX5" i="2"/>
  <c r="BX6" i="2"/>
  <c r="BX7" i="2"/>
  <c r="BX8" i="2"/>
  <c r="BX9" i="2"/>
  <c r="BX10" i="2"/>
  <c r="BX11" i="2"/>
  <c r="BX12" i="2"/>
  <c r="BX13" i="2"/>
  <c r="BX14" i="2"/>
  <c r="BX15" i="2"/>
  <c r="BX16" i="2"/>
  <c r="BX17" i="2"/>
  <c r="BX18" i="2"/>
  <c r="BX19" i="2"/>
  <c r="BX4" i="2"/>
  <c r="BH62" i="1"/>
  <c r="BH63" i="1"/>
  <c r="BH64" i="1"/>
  <c r="BH65" i="1"/>
  <c r="BH66" i="1"/>
  <c r="BH67" i="1"/>
  <c r="BH68" i="1"/>
  <c r="BH69" i="1"/>
  <c r="BH70" i="1"/>
  <c r="BH71" i="1"/>
  <c r="BH72" i="1"/>
  <c r="BH61" i="1"/>
  <c r="AY38" i="1"/>
  <c r="AY39" i="1"/>
  <c r="AY40" i="1"/>
  <c r="AY41" i="1"/>
  <c r="AY42" i="1"/>
  <c r="AY43" i="1"/>
  <c r="AY44" i="1"/>
  <c r="AY45" i="1"/>
  <c r="AY46" i="1"/>
  <c r="AY47" i="1"/>
  <c r="AY48" i="1"/>
  <c r="AY37" i="1"/>
  <c r="BN4" i="2"/>
  <c r="BF62" i="1"/>
  <c r="BF63" i="1"/>
  <c r="BF64" i="1"/>
  <c r="BF65" i="1"/>
  <c r="BF66" i="1"/>
  <c r="BF68" i="1"/>
  <c r="BF69" i="1"/>
  <c r="BF70" i="1"/>
  <c r="BF71" i="1"/>
  <c r="BF72" i="1"/>
  <c r="BF61" i="1"/>
  <c r="AW38" i="1"/>
  <c r="AW39" i="1"/>
  <c r="AW40" i="1"/>
  <c r="AW41" i="1"/>
  <c r="AW42" i="1"/>
  <c r="AW43" i="1"/>
  <c r="AW44" i="1"/>
  <c r="AW45" i="1"/>
  <c r="AW46" i="1"/>
  <c r="AW47" i="1"/>
  <c r="AW37" i="1"/>
  <c r="BN102" i="2"/>
  <c r="BN139" i="2"/>
  <c r="BN140" i="2"/>
  <c r="BN141" i="2"/>
  <c r="BN142" i="2"/>
  <c r="BN143" i="2"/>
  <c r="BN144" i="2"/>
  <c r="BN145" i="2"/>
  <c r="BN146" i="2"/>
  <c r="BN147" i="2"/>
  <c r="BN148" i="2"/>
  <c r="BN149" i="2"/>
  <c r="BN150" i="2"/>
  <c r="BN151" i="2"/>
  <c r="BN152" i="2"/>
  <c r="BN153" i="2"/>
  <c r="BN154" i="2"/>
  <c r="BN126" i="2"/>
  <c r="BN127" i="2"/>
  <c r="BN128" i="2"/>
  <c r="BN129" i="2"/>
  <c r="BN130" i="2"/>
  <c r="BN131" i="2"/>
  <c r="BN132" i="2"/>
  <c r="BN133" i="2"/>
  <c r="BN134" i="2"/>
  <c r="BN135" i="2"/>
  <c r="BN136" i="2"/>
  <c r="BN137" i="2"/>
  <c r="BN113" i="2"/>
  <c r="BN114" i="2"/>
  <c r="BN115" i="2"/>
  <c r="BN116" i="2"/>
  <c r="BN117" i="2"/>
  <c r="BN118" i="2"/>
  <c r="BN119" i="2"/>
  <c r="BN120" i="2"/>
  <c r="BN121" i="2"/>
  <c r="BN122" i="2"/>
  <c r="BN123" i="2"/>
  <c r="BN124" i="2"/>
  <c r="BN103" i="2"/>
  <c r="BN104" i="2"/>
  <c r="BN105" i="2"/>
  <c r="BN106" i="2"/>
  <c r="BN107" i="2"/>
  <c r="BN108" i="2"/>
  <c r="BN109" i="2"/>
  <c r="BN110" i="2"/>
  <c r="BN111" i="2"/>
  <c r="BN82" i="2"/>
  <c r="BN83" i="2"/>
  <c r="BN84" i="2"/>
  <c r="BN85" i="2"/>
  <c r="BN86" i="2"/>
  <c r="BN87" i="2"/>
  <c r="BN88" i="2"/>
  <c r="BN89" i="2"/>
  <c r="BN64" i="2"/>
  <c r="BN65" i="2"/>
  <c r="BN66" i="2"/>
  <c r="BN67" i="2"/>
  <c r="BN68" i="2"/>
  <c r="BN69" i="2"/>
  <c r="BN70" i="2"/>
  <c r="BN71" i="2"/>
  <c r="BN72" i="2"/>
  <c r="BN73" i="2"/>
  <c r="BN74" i="2"/>
  <c r="BN75" i="2"/>
  <c r="BN76" i="2"/>
  <c r="BN77" i="2"/>
  <c r="BN78" i="2"/>
  <c r="BN79" i="2"/>
  <c r="BN80" i="2"/>
  <c r="BN47" i="2"/>
  <c r="BN48" i="2"/>
  <c r="BN49" i="2"/>
  <c r="BN50" i="2"/>
  <c r="BN51" i="2"/>
  <c r="BN52" i="2"/>
  <c r="BN53" i="2"/>
  <c r="BN54" i="2"/>
  <c r="BN55" i="2"/>
  <c r="BN56" i="2"/>
  <c r="BN57" i="2"/>
  <c r="BN58" i="2"/>
  <c r="BN59" i="2"/>
  <c r="BN60" i="2"/>
  <c r="BN61" i="2"/>
  <c r="BN62" i="2"/>
  <c r="BN35" i="2"/>
  <c r="BN36" i="2"/>
  <c r="BN37" i="2"/>
  <c r="BN38" i="2"/>
  <c r="BN39" i="2"/>
  <c r="BN40" i="2"/>
  <c r="BN41" i="2"/>
  <c r="BN42" i="2"/>
  <c r="BN43" i="2"/>
  <c r="BN44" i="2"/>
  <c r="BN45" i="2"/>
  <c r="AX49" i="1" l="1"/>
  <c r="AZ49" i="1"/>
  <c r="BC49" i="1" s="1"/>
  <c r="AV49" i="1"/>
  <c r="BN21" i="2"/>
  <c r="BN22" i="2"/>
  <c r="BN23" i="2"/>
  <c r="BN24" i="2"/>
  <c r="BN25" i="2"/>
  <c r="BN26" i="2"/>
  <c r="BN27" i="2"/>
  <c r="BN28" i="2"/>
  <c r="BN29" i="2"/>
  <c r="BN30" i="2"/>
  <c r="BN31" i="2"/>
  <c r="BN32" i="2"/>
  <c r="BN33" i="2"/>
  <c r="BN5" i="2"/>
  <c r="BN6" i="2"/>
  <c r="BN7" i="2"/>
  <c r="BN8" i="2"/>
  <c r="BN9" i="2"/>
  <c r="BN10" i="2"/>
  <c r="BN11" i="2"/>
  <c r="BN12" i="2"/>
  <c r="BN13" i="2"/>
  <c r="BN14" i="2"/>
  <c r="BN15" i="2"/>
  <c r="BN16" i="2"/>
  <c r="BN17" i="2"/>
  <c r="BN18" i="2"/>
  <c r="BN19" i="2"/>
  <c r="AU37" i="1"/>
  <c r="AU38" i="1"/>
  <c r="AU39" i="1"/>
  <c r="AU40" i="1"/>
  <c r="AU41" i="1"/>
  <c r="AU42" i="1"/>
  <c r="AU43" i="1"/>
  <c r="AU44" i="1"/>
  <c r="AU45" i="1"/>
  <c r="AU46" i="1"/>
  <c r="AU47" i="1"/>
  <c r="AT49" i="1" l="1"/>
  <c r="BD62" i="1"/>
  <c r="BD63" i="1"/>
  <c r="BD64" i="1"/>
  <c r="BD65" i="1"/>
  <c r="BD66" i="1"/>
  <c r="BD67" i="1"/>
  <c r="BD68" i="1"/>
  <c r="BD69" i="1"/>
  <c r="BD70" i="1"/>
  <c r="BD71" i="1"/>
  <c r="BD61" i="1"/>
  <c r="BL113" i="2"/>
  <c r="BL114" i="2"/>
  <c r="BL115" i="2"/>
  <c r="BL116" i="2"/>
  <c r="BL117" i="2"/>
  <c r="BL118" i="2"/>
  <c r="BL119" i="2"/>
  <c r="BL120" i="2"/>
  <c r="BL121" i="2"/>
  <c r="BL122" i="2"/>
  <c r="BL123" i="2"/>
  <c r="BL124" i="2"/>
  <c r="BL139" i="2"/>
  <c r="BL140" i="2"/>
  <c r="BL141" i="2"/>
  <c r="BL142" i="2"/>
  <c r="BL143" i="2"/>
  <c r="BL144" i="2"/>
  <c r="BL145" i="2"/>
  <c r="BL146" i="2"/>
  <c r="BL147" i="2"/>
  <c r="BL148" i="2"/>
  <c r="BL149" i="2"/>
  <c r="BL150" i="2"/>
  <c r="BL151" i="2"/>
  <c r="BL152" i="2"/>
  <c r="BL153" i="2"/>
  <c r="BL154" i="2"/>
  <c r="BL126" i="2"/>
  <c r="BL127" i="2"/>
  <c r="BL128" i="2"/>
  <c r="BL129" i="2"/>
  <c r="BL130" i="2"/>
  <c r="BL131" i="2"/>
  <c r="BL132" i="2"/>
  <c r="BL133" i="2"/>
  <c r="BL134" i="2"/>
  <c r="BL135" i="2"/>
  <c r="BL136" i="2"/>
  <c r="BL137" i="2"/>
  <c r="BL102" i="2"/>
  <c r="BL103" i="2"/>
  <c r="BL104" i="2"/>
  <c r="BL105" i="2"/>
  <c r="BL106" i="2"/>
  <c r="BL107" i="2"/>
  <c r="BL108" i="2"/>
  <c r="BL109" i="2"/>
  <c r="BL110" i="2"/>
  <c r="BL111" i="2"/>
  <c r="BL82" i="2"/>
  <c r="BL83" i="2"/>
  <c r="BL84" i="2"/>
  <c r="BL85" i="2"/>
  <c r="BL86" i="2"/>
  <c r="BL87" i="2"/>
  <c r="BL88" i="2"/>
  <c r="BL89" i="2"/>
  <c r="BL64" i="2"/>
  <c r="BL65" i="2"/>
  <c r="BL66" i="2"/>
  <c r="BL67" i="2"/>
  <c r="BL68" i="2"/>
  <c r="BL69" i="2"/>
  <c r="BL70" i="2"/>
  <c r="BL71" i="2"/>
  <c r="BL72" i="2"/>
  <c r="BL73" i="2"/>
  <c r="BL74" i="2"/>
  <c r="BL75" i="2"/>
  <c r="BL76" i="2"/>
  <c r="BL77" i="2"/>
  <c r="BL78" i="2"/>
  <c r="BL79" i="2"/>
  <c r="BL80" i="2"/>
  <c r="BL47" i="2"/>
  <c r="BL48" i="2"/>
  <c r="BL49" i="2"/>
  <c r="BL50" i="2"/>
  <c r="BL51" i="2"/>
  <c r="BL52" i="2"/>
  <c r="BL53" i="2"/>
  <c r="BL54" i="2"/>
  <c r="BL55" i="2"/>
  <c r="BL56" i="2"/>
  <c r="BL57" i="2"/>
  <c r="BL58" i="2"/>
  <c r="BL59" i="2"/>
  <c r="BL60" i="2"/>
  <c r="BL61" i="2"/>
  <c r="BL62" i="2"/>
  <c r="BL35" i="2"/>
  <c r="BL36" i="2"/>
  <c r="BL37" i="2"/>
  <c r="BL38" i="2"/>
  <c r="BL39" i="2"/>
  <c r="BL40" i="2"/>
  <c r="BL41" i="2"/>
  <c r="BL42" i="2"/>
  <c r="BL43" i="2"/>
  <c r="BL44" i="2"/>
  <c r="BL45" i="2"/>
  <c r="BL21" i="2"/>
  <c r="BL22" i="2"/>
  <c r="BL23" i="2"/>
  <c r="BL24" i="2"/>
  <c r="BL25" i="2"/>
  <c r="BL26" i="2"/>
  <c r="BL27" i="2"/>
  <c r="BL28" i="2"/>
  <c r="BL29" i="2"/>
  <c r="BL30" i="2"/>
  <c r="BL31" i="2"/>
  <c r="BL32" i="2"/>
  <c r="BL33" i="2"/>
  <c r="BL5" i="2"/>
  <c r="BL6" i="2"/>
  <c r="BL7" i="2"/>
  <c r="BL8" i="2"/>
  <c r="BL9" i="2"/>
  <c r="BL10" i="2"/>
  <c r="BL11" i="2"/>
  <c r="BL12" i="2"/>
  <c r="BL13" i="2"/>
  <c r="BL14" i="2"/>
  <c r="BL15" i="2"/>
  <c r="BL16" i="2"/>
  <c r="BL17" i="2"/>
  <c r="BL18" i="2"/>
  <c r="BL19" i="2"/>
  <c r="BL4" i="2"/>
  <c r="BB62" i="1"/>
  <c r="BB63" i="1"/>
  <c r="BB64" i="1"/>
  <c r="BB65" i="1"/>
  <c r="BB66" i="1"/>
  <c r="BB67" i="1"/>
  <c r="BB68" i="1"/>
  <c r="BB69" i="1"/>
  <c r="BB70" i="1"/>
  <c r="BB71" i="1"/>
  <c r="BB61" i="1"/>
  <c r="BA61" i="1"/>
  <c r="BA62" i="1"/>
  <c r="BA63" i="1"/>
  <c r="BA64" i="1"/>
  <c r="BA65" i="1"/>
  <c r="BA66" i="1"/>
  <c r="BA67" i="1"/>
  <c r="BA68" i="1"/>
  <c r="BA69" i="1"/>
  <c r="BA70" i="1"/>
  <c r="BA71" i="1"/>
  <c r="AZ62" i="1"/>
  <c r="AZ63" i="1"/>
  <c r="AZ64" i="1"/>
  <c r="AZ65" i="1"/>
  <c r="AZ66" i="1"/>
  <c r="AZ67" i="1"/>
  <c r="AZ68" i="1"/>
  <c r="AZ69" i="1"/>
  <c r="AZ70" i="1"/>
  <c r="AZ71" i="1"/>
  <c r="AZ61" i="1"/>
  <c r="AY62" i="1" l="1"/>
  <c r="AY63" i="1"/>
  <c r="AY64" i="1"/>
  <c r="AY65" i="1"/>
  <c r="AY66" i="1"/>
  <c r="AY67" i="1"/>
  <c r="AY68" i="1"/>
  <c r="AY69" i="1"/>
  <c r="AY70" i="1"/>
  <c r="AY71" i="1"/>
  <c r="AY61" i="1"/>
  <c r="BI139" i="2"/>
  <c r="BI140" i="2"/>
  <c r="BI141" i="2"/>
  <c r="BI142" i="2"/>
  <c r="BI143" i="2"/>
  <c r="BI144" i="2"/>
  <c r="BI145" i="2"/>
  <c r="BI146" i="2"/>
  <c r="BI147" i="2"/>
  <c r="BI148" i="2"/>
  <c r="BI149" i="2"/>
  <c r="BI150" i="2"/>
  <c r="BI151" i="2"/>
  <c r="BI152" i="2"/>
  <c r="BI153" i="2"/>
  <c r="BI154" i="2"/>
  <c r="BI126" i="2"/>
  <c r="BI127" i="2"/>
  <c r="BI128" i="2"/>
  <c r="BI129" i="2"/>
  <c r="BI130" i="2"/>
  <c r="BI131" i="2"/>
  <c r="BI132" i="2"/>
  <c r="BI133" i="2"/>
  <c r="BI134" i="2"/>
  <c r="BI135" i="2"/>
  <c r="BI136" i="2"/>
  <c r="BI137" i="2"/>
  <c r="BI113" i="2"/>
  <c r="BI114" i="2"/>
  <c r="BI115" i="2"/>
  <c r="BI116" i="2"/>
  <c r="BI117" i="2"/>
  <c r="BI118" i="2"/>
  <c r="BI119" i="2"/>
  <c r="BI120" i="2"/>
  <c r="BI121" i="2"/>
  <c r="BI122" i="2"/>
  <c r="BI123" i="2"/>
  <c r="BI124" i="2"/>
  <c r="BI102" i="2"/>
  <c r="BI103" i="2"/>
  <c r="BI104" i="2"/>
  <c r="BI105" i="2"/>
  <c r="BI106" i="2"/>
  <c r="BI107" i="2"/>
  <c r="BI108" i="2"/>
  <c r="BI109" i="2"/>
  <c r="BI110" i="2"/>
  <c r="BI111" i="2"/>
  <c r="BI82" i="2"/>
  <c r="BI83" i="2"/>
  <c r="BI84" i="2"/>
  <c r="BI85" i="2"/>
  <c r="BI86" i="2"/>
  <c r="BI87" i="2"/>
  <c r="BI88" i="2"/>
  <c r="BI89" i="2"/>
  <c r="BI64" i="2"/>
  <c r="BI65" i="2"/>
  <c r="BI66" i="2"/>
  <c r="BI67" i="2"/>
  <c r="BI68" i="2"/>
  <c r="BI69" i="2"/>
  <c r="BI70" i="2"/>
  <c r="BI71" i="2"/>
  <c r="BI72" i="2"/>
  <c r="BI73" i="2"/>
  <c r="BI74" i="2"/>
  <c r="BI75" i="2"/>
  <c r="BI76" i="2"/>
  <c r="BI77" i="2"/>
  <c r="BI78" i="2"/>
  <c r="BI79" i="2"/>
  <c r="BI80" i="2"/>
  <c r="BI47" i="2"/>
  <c r="BI48" i="2"/>
  <c r="BI49" i="2"/>
  <c r="BI50" i="2"/>
  <c r="BI51" i="2"/>
  <c r="BI52" i="2"/>
  <c r="BI53" i="2"/>
  <c r="BI54" i="2"/>
  <c r="BI55" i="2"/>
  <c r="BI56" i="2"/>
  <c r="BI57" i="2"/>
  <c r="BI58" i="2"/>
  <c r="BI59" i="2"/>
  <c r="BI60" i="2"/>
  <c r="BI61" i="2"/>
  <c r="BI62" i="2"/>
  <c r="BI36" i="2"/>
  <c r="BI37" i="2"/>
  <c r="BI38" i="2"/>
  <c r="BI39" i="2"/>
  <c r="BI40" i="2"/>
  <c r="BI41" i="2"/>
  <c r="BI42" i="2"/>
  <c r="BI43" i="2"/>
  <c r="BI44" i="2"/>
  <c r="BI45" i="2"/>
  <c r="BI35" i="2"/>
  <c r="BI21" i="2"/>
  <c r="BI22" i="2"/>
  <c r="BI23" i="2"/>
  <c r="BI24" i="2"/>
  <c r="BI25" i="2"/>
  <c r="BI26" i="2"/>
  <c r="BI27" i="2"/>
  <c r="BI28" i="2"/>
  <c r="BI29" i="2"/>
  <c r="BI30" i="2"/>
  <c r="BI31" i="2"/>
  <c r="BI32" i="2"/>
  <c r="BI33" i="2"/>
  <c r="BI5" i="2"/>
  <c r="BI6" i="2"/>
  <c r="BI7" i="2"/>
  <c r="BI8" i="2"/>
  <c r="BI9" i="2"/>
  <c r="BI10" i="2"/>
  <c r="BI11" i="2"/>
  <c r="BI12" i="2"/>
  <c r="BI13" i="2"/>
  <c r="BI14" i="2"/>
  <c r="BI15" i="2"/>
  <c r="BI16" i="2"/>
  <c r="BI17" i="2"/>
  <c r="BI18" i="2"/>
  <c r="BI19" i="2"/>
  <c r="BI4" i="2"/>
  <c r="AW62" i="1"/>
  <c r="AW63" i="1"/>
  <c r="AW64" i="1"/>
  <c r="AW65" i="1"/>
  <c r="AW66" i="1"/>
  <c r="AW67" i="1"/>
  <c r="AW68" i="1"/>
  <c r="AW69" i="1"/>
  <c r="AW70" i="1"/>
  <c r="AW71" i="1"/>
  <c r="AW61" i="1"/>
  <c r="BF140" i="2"/>
  <c r="BF141" i="2"/>
  <c r="BF142" i="2"/>
  <c r="BF143" i="2"/>
  <c r="BF144" i="2"/>
  <c r="BF145" i="2"/>
  <c r="BF146" i="2"/>
  <c r="BF147" i="2"/>
  <c r="BF148" i="2"/>
  <c r="BF149" i="2"/>
  <c r="BF150" i="2"/>
  <c r="BF151" i="2"/>
  <c r="BF152" i="2"/>
  <c r="BF153" i="2"/>
  <c r="BF154" i="2"/>
  <c r="BF139" i="2"/>
  <c r="BF126" i="2"/>
  <c r="BF127" i="2"/>
  <c r="BF128" i="2"/>
  <c r="BF129" i="2"/>
  <c r="BF130" i="2"/>
  <c r="BF131" i="2"/>
  <c r="BF132" i="2"/>
  <c r="BF133" i="2"/>
  <c r="BF134" i="2"/>
  <c r="BF135" i="2"/>
  <c r="BF136" i="2"/>
  <c r="BF137" i="2"/>
  <c r="BF114" i="2"/>
  <c r="BF115" i="2"/>
  <c r="BF116" i="2"/>
  <c r="BF117" i="2"/>
  <c r="BF118" i="2"/>
  <c r="BF119" i="2"/>
  <c r="BF120" i="2"/>
  <c r="BF121" i="2"/>
  <c r="BF122" i="2"/>
  <c r="BF123" i="2"/>
  <c r="BF124" i="2"/>
  <c r="BF113" i="2"/>
  <c r="BF103" i="2"/>
  <c r="BF104" i="2"/>
  <c r="BF105" i="2"/>
  <c r="BF106" i="2"/>
  <c r="BF107" i="2"/>
  <c r="BF108" i="2"/>
  <c r="BF109" i="2"/>
  <c r="BF110" i="2"/>
  <c r="BF111" i="2"/>
  <c r="BF102" i="2"/>
  <c r="BF83" i="2"/>
  <c r="BF84" i="2"/>
  <c r="BF85" i="2"/>
  <c r="BF86" i="2"/>
  <c r="BF87" i="2"/>
  <c r="BF88" i="2"/>
  <c r="BF89" i="2"/>
  <c r="BF82" i="2"/>
  <c r="BF65" i="2"/>
  <c r="BF66" i="2"/>
  <c r="BF67" i="2"/>
  <c r="BF68" i="2"/>
  <c r="BF69" i="2"/>
  <c r="BF70" i="2"/>
  <c r="BF71" i="2"/>
  <c r="BF72" i="2"/>
  <c r="BF73" i="2"/>
  <c r="BF74" i="2"/>
  <c r="BF75" i="2"/>
  <c r="BF76" i="2"/>
  <c r="BF77" i="2"/>
  <c r="BF78" i="2"/>
  <c r="BF79" i="2"/>
  <c r="BF80" i="2"/>
  <c r="BF64" i="2"/>
  <c r="BF5" i="2"/>
  <c r="BF6" i="2"/>
  <c r="BF7" i="2"/>
  <c r="BF8" i="2"/>
  <c r="BF9" i="2"/>
  <c r="BF10" i="2"/>
  <c r="BF11" i="2"/>
  <c r="BF12" i="2"/>
  <c r="BF13" i="2"/>
  <c r="BF14" i="2"/>
  <c r="BF15" i="2"/>
  <c r="BF16" i="2"/>
  <c r="BF17" i="2"/>
  <c r="BF18" i="2"/>
  <c r="BF19" i="2"/>
  <c r="BF21" i="2"/>
  <c r="BF22" i="2"/>
  <c r="BF23" i="2"/>
  <c r="BF24" i="2"/>
  <c r="BF25" i="2"/>
  <c r="BF26" i="2"/>
  <c r="BF27" i="2"/>
  <c r="BF28" i="2"/>
  <c r="BF29" i="2"/>
  <c r="BF30" i="2"/>
  <c r="BF31" i="2"/>
  <c r="BF32" i="2"/>
  <c r="BF33" i="2"/>
  <c r="BF35" i="2"/>
  <c r="BF37" i="2"/>
  <c r="BF38" i="2"/>
  <c r="BF39" i="2"/>
  <c r="BF40" i="2"/>
  <c r="BF41" i="2"/>
  <c r="BF42" i="2"/>
  <c r="BF43" i="2"/>
  <c r="BF44" i="2"/>
  <c r="BF45" i="2"/>
  <c r="BF4" i="2"/>
  <c r="BF62" i="2"/>
  <c r="BF48" i="2"/>
  <c r="BF49" i="2"/>
  <c r="BF50" i="2"/>
  <c r="BF51" i="2"/>
  <c r="BF52" i="2"/>
  <c r="BF53" i="2"/>
  <c r="BF54" i="2"/>
  <c r="BF55" i="2"/>
  <c r="BF56" i="2"/>
  <c r="BF57" i="2"/>
  <c r="BF58" i="2"/>
  <c r="BF59" i="2"/>
  <c r="BF60" i="2"/>
  <c r="BF61" i="2"/>
  <c r="BF47" i="2"/>
  <c r="AU62" i="1"/>
  <c r="AU63" i="1"/>
  <c r="AU64" i="1"/>
  <c r="AU65" i="1"/>
  <c r="AU66" i="1"/>
  <c r="AU67" i="1"/>
  <c r="AU68" i="1"/>
  <c r="AU69" i="1"/>
  <c r="AU70" i="1"/>
  <c r="AU71" i="1"/>
  <c r="AU61" i="1"/>
  <c r="AM38" i="1"/>
  <c r="BC140" i="2"/>
  <c r="BC141" i="2"/>
  <c r="BC142" i="2"/>
  <c r="BC143" i="2"/>
  <c r="BC144" i="2"/>
  <c r="BC145" i="2"/>
  <c r="BC146" i="2"/>
  <c r="BC147" i="2"/>
  <c r="BC148" i="2"/>
  <c r="BC149" i="2"/>
  <c r="BC150" i="2"/>
  <c r="BC151" i="2"/>
  <c r="BC152" i="2"/>
  <c r="BC153" i="2"/>
  <c r="BC154" i="2"/>
  <c r="BC139" i="2"/>
  <c r="BC127" i="2"/>
  <c r="BC128" i="2"/>
  <c r="BC129" i="2"/>
  <c r="BC130" i="2"/>
  <c r="BC131" i="2"/>
  <c r="BC132" i="2"/>
  <c r="BC133" i="2"/>
  <c r="BC134" i="2"/>
  <c r="BC135" i="2"/>
  <c r="BC136" i="2"/>
  <c r="BC137" i="2"/>
  <c r="BC126" i="2"/>
  <c r="BC114" i="2"/>
  <c r="BC115" i="2"/>
  <c r="BC116" i="2"/>
  <c r="BC117" i="2"/>
  <c r="BC118" i="2"/>
  <c r="BC119" i="2"/>
  <c r="BC120" i="2"/>
  <c r="BC121" i="2"/>
  <c r="BC122" i="2"/>
  <c r="BC123" i="2"/>
  <c r="BC124" i="2"/>
  <c r="BC113" i="2"/>
  <c r="BC103" i="2"/>
  <c r="BC104" i="2"/>
  <c r="BC105" i="2"/>
  <c r="BC106" i="2"/>
  <c r="BC107" i="2"/>
  <c r="BC108" i="2"/>
  <c r="BC109" i="2"/>
  <c r="BC110" i="2"/>
  <c r="BC111" i="2"/>
  <c r="BC102" i="2"/>
  <c r="BC83" i="2"/>
  <c r="BC84" i="2"/>
  <c r="BC85" i="2"/>
  <c r="BC86" i="2"/>
  <c r="BC87" i="2"/>
  <c r="BC88" i="2"/>
  <c r="BC89" i="2"/>
  <c r="BC82" i="2"/>
  <c r="BC65" i="2"/>
  <c r="BC66" i="2"/>
  <c r="BC67" i="2"/>
  <c r="BC68" i="2"/>
  <c r="BC69" i="2"/>
  <c r="BC70" i="2"/>
  <c r="BC71" i="2"/>
  <c r="BC72" i="2"/>
  <c r="BC73" i="2"/>
  <c r="BC74" i="2"/>
  <c r="BC75" i="2"/>
  <c r="BC76" i="2"/>
  <c r="BC77" i="2"/>
  <c r="BC78" i="2"/>
  <c r="BC79" i="2"/>
  <c r="BC80" i="2"/>
  <c r="BC64" i="2"/>
  <c r="BC48" i="2"/>
  <c r="BC49" i="2"/>
  <c r="BC50" i="2"/>
  <c r="BC51" i="2"/>
  <c r="BC52" i="2"/>
  <c r="BC53" i="2"/>
  <c r="BC54" i="2"/>
  <c r="BC55" i="2"/>
  <c r="BC56" i="2"/>
  <c r="BC57" i="2"/>
  <c r="BC58" i="2"/>
  <c r="BC59" i="2"/>
  <c r="BC60" i="2"/>
  <c r="BC61" i="2"/>
  <c r="BC62" i="2"/>
  <c r="BC47" i="2"/>
  <c r="BC37" i="2"/>
  <c r="BC38" i="2"/>
  <c r="BC39" i="2"/>
  <c r="BC40" i="2"/>
  <c r="BC41" i="2"/>
  <c r="BC42" i="2"/>
  <c r="BC43" i="2"/>
  <c r="BC44" i="2"/>
  <c r="BC45" i="2"/>
  <c r="BC35" i="2"/>
  <c r="BC22" i="2"/>
  <c r="BC23" i="2"/>
  <c r="BC24" i="2"/>
  <c r="BC25" i="2"/>
  <c r="BC26" i="2"/>
  <c r="BC27" i="2"/>
  <c r="BC28" i="2"/>
  <c r="BC29" i="2"/>
  <c r="BC30" i="2"/>
  <c r="BC31" i="2"/>
  <c r="BC32" i="2"/>
  <c r="BC33" i="2"/>
  <c r="BC21" i="2"/>
  <c r="BC5" i="2"/>
  <c r="BC6" i="2"/>
  <c r="BC7" i="2"/>
  <c r="BC8" i="2"/>
  <c r="BC9" i="2"/>
  <c r="BC10" i="2"/>
  <c r="BC11" i="2"/>
  <c r="BC12" i="2"/>
  <c r="BC13" i="2"/>
  <c r="BC14" i="2"/>
  <c r="BC15" i="2"/>
  <c r="BC16" i="2"/>
  <c r="BC17" i="2"/>
  <c r="BC18" i="2"/>
  <c r="BC19" i="2"/>
  <c r="BC4" i="2"/>
  <c r="AM39" i="1"/>
  <c r="AM40" i="1"/>
  <c r="AM41" i="1"/>
  <c r="AM42" i="1"/>
  <c r="AM43" i="1"/>
  <c r="AM44" i="1"/>
  <c r="AM45" i="1"/>
  <c r="AM46" i="1"/>
  <c r="AM47" i="1"/>
  <c r="AM37" i="1"/>
  <c r="AR62" i="1"/>
  <c r="AJ61" i="1"/>
  <c r="AJ62" i="1"/>
  <c r="AJ63" i="1"/>
  <c r="AJ64" i="1"/>
  <c r="AJ65" i="1"/>
  <c r="AJ66" i="1"/>
  <c r="AJ67" i="1"/>
  <c r="AJ68" i="1"/>
  <c r="AJ69" i="1"/>
  <c r="AJ70" i="1"/>
  <c r="AJ71" i="1"/>
  <c r="AJ72" i="1"/>
  <c r="AR63" i="1"/>
  <c r="AR64" i="1"/>
  <c r="AR65" i="1"/>
  <c r="AR66" i="1"/>
  <c r="AR67" i="1"/>
  <c r="AR68" i="1"/>
  <c r="AR69" i="1"/>
  <c r="AR70" i="1"/>
  <c r="AR71" i="1"/>
  <c r="AN62" i="1"/>
  <c r="AN63" i="1"/>
  <c r="AN64" i="1"/>
  <c r="AN65" i="1"/>
  <c r="AN66" i="1"/>
  <c r="AN67" i="1"/>
  <c r="AN68" i="1"/>
  <c r="AN69" i="1"/>
  <c r="AN70" i="1"/>
  <c r="AN71" i="1"/>
  <c r="AN61" i="1"/>
  <c r="AM62" i="1"/>
  <c r="AM63" i="1"/>
  <c r="AM64" i="1"/>
  <c r="AM65" i="1"/>
  <c r="AM66" i="1"/>
  <c r="AM67" i="1"/>
  <c r="AM68" i="1"/>
  <c r="AM69" i="1"/>
  <c r="AM70" i="1"/>
  <c r="AM71" i="1"/>
  <c r="AM61" i="1"/>
  <c r="AL70" i="1"/>
  <c r="AL62" i="1"/>
  <c r="AL63" i="1"/>
  <c r="AL64" i="1"/>
  <c r="AL65" i="1"/>
  <c r="AL66" i="1"/>
  <c r="AL67" i="1"/>
  <c r="AL68" i="1"/>
  <c r="AL69" i="1"/>
  <c r="AL71" i="1"/>
  <c r="AL61" i="1"/>
  <c r="AK37" i="1"/>
  <c r="AK38" i="1"/>
  <c r="AK39" i="1"/>
  <c r="AK40" i="1"/>
  <c r="AK41" i="1"/>
  <c r="AK42" i="1"/>
  <c r="AK43" i="1"/>
  <c r="AK44" i="1"/>
  <c r="AK45" i="1"/>
  <c r="AK46" i="1"/>
  <c r="AK47" i="1"/>
  <c r="AU4" i="2"/>
  <c r="AI38" i="1"/>
  <c r="AI39" i="1"/>
  <c r="AI40" i="1"/>
  <c r="AI41" i="1"/>
  <c r="AI42" i="1"/>
  <c r="AI43" i="1"/>
  <c r="AI44" i="1"/>
  <c r="AI45" i="1"/>
  <c r="AI46" i="1"/>
  <c r="AI47" i="1"/>
  <c r="AI37" i="1"/>
  <c r="AH61" i="1"/>
  <c r="AU114" i="2"/>
  <c r="AU115" i="2"/>
  <c r="AU116" i="2"/>
  <c r="AU117" i="2"/>
  <c r="AU118" i="2"/>
  <c r="AU119" i="2"/>
  <c r="AU120" i="2"/>
  <c r="AU121" i="2"/>
  <c r="AU122" i="2"/>
  <c r="AU123" i="2"/>
  <c r="AU124" i="2"/>
  <c r="AU113" i="2"/>
  <c r="AU140" i="2"/>
  <c r="AU141" i="2"/>
  <c r="AU142" i="2"/>
  <c r="AU143" i="2"/>
  <c r="AU144" i="2"/>
  <c r="AU145" i="2"/>
  <c r="AU146" i="2"/>
  <c r="AU147" i="2"/>
  <c r="AU148" i="2"/>
  <c r="AU149" i="2"/>
  <c r="AU150" i="2"/>
  <c r="AU151" i="2"/>
  <c r="AU152" i="2"/>
  <c r="AU153" i="2"/>
  <c r="AU154" i="2"/>
  <c r="AU139" i="2"/>
  <c r="AU127" i="2"/>
  <c r="AU128" i="2"/>
  <c r="AU129" i="2"/>
  <c r="AU130" i="2"/>
  <c r="AU131" i="2"/>
  <c r="AU132" i="2"/>
  <c r="AU133" i="2"/>
  <c r="AU134" i="2"/>
  <c r="AU135" i="2"/>
  <c r="AU136" i="2"/>
  <c r="AU137" i="2"/>
  <c r="AU126" i="2"/>
  <c r="AU103" i="2"/>
  <c r="AU104" i="2"/>
  <c r="AU105" i="2"/>
  <c r="AU106" i="2"/>
  <c r="AU107" i="2"/>
  <c r="AU108" i="2"/>
  <c r="AU109" i="2"/>
  <c r="AU110" i="2"/>
  <c r="AU111" i="2"/>
  <c r="AU102" i="2"/>
  <c r="AU83" i="2"/>
  <c r="AU84" i="2"/>
  <c r="AU85" i="2"/>
  <c r="AU86" i="2"/>
  <c r="AU87" i="2"/>
  <c r="AU88" i="2"/>
  <c r="AU89" i="2"/>
  <c r="AU82" i="2"/>
  <c r="AU65" i="2"/>
  <c r="AU66" i="2"/>
  <c r="AU67" i="2"/>
  <c r="AU68" i="2"/>
  <c r="AU69" i="2"/>
  <c r="AU70" i="2"/>
  <c r="AU71" i="2"/>
  <c r="AU72" i="2"/>
  <c r="AU73" i="2"/>
  <c r="AU74" i="2"/>
  <c r="AU75" i="2"/>
  <c r="AU76" i="2"/>
  <c r="AU77" i="2"/>
  <c r="AU78" i="2"/>
  <c r="AU79" i="2"/>
  <c r="AU80" i="2"/>
  <c r="AU64" i="2"/>
  <c r="AU48" i="2"/>
  <c r="AU49" i="2"/>
  <c r="AU50" i="2"/>
  <c r="AU51" i="2"/>
  <c r="AU52" i="2"/>
  <c r="AU53" i="2"/>
  <c r="AU54" i="2"/>
  <c r="AU55" i="2"/>
  <c r="AU56" i="2"/>
  <c r="AU57" i="2"/>
  <c r="AU58" i="2"/>
  <c r="AU59" i="2"/>
  <c r="AU60" i="2"/>
  <c r="AU61" i="2"/>
  <c r="AU62" i="2"/>
  <c r="AU47" i="2"/>
  <c r="AU37" i="2"/>
  <c r="AU38" i="2"/>
  <c r="AU39" i="2"/>
  <c r="AU40" i="2"/>
  <c r="AU41" i="2"/>
  <c r="AU42" i="2"/>
  <c r="AU43" i="2"/>
  <c r="AU44" i="2"/>
  <c r="AU45" i="2"/>
  <c r="AU35" i="2"/>
  <c r="AU22" i="2"/>
  <c r="AU23" i="2"/>
  <c r="AU24" i="2"/>
  <c r="AU25" i="2"/>
  <c r="AU26" i="2"/>
  <c r="AU27" i="2"/>
  <c r="AU28" i="2"/>
  <c r="AU29" i="2"/>
  <c r="AU30" i="2"/>
  <c r="AU31" i="2"/>
  <c r="AU32" i="2"/>
  <c r="AU33" i="2"/>
  <c r="AU21" i="2"/>
  <c r="AU5" i="2"/>
  <c r="AU6" i="2"/>
  <c r="AU7" i="2"/>
  <c r="AU8" i="2"/>
  <c r="AU9" i="2"/>
  <c r="AU10" i="2"/>
  <c r="AU11" i="2"/>
  <c r="AU12" i="2"/>
  <c r="AU13" i="2"/>
  <c r="AU14" i="2"/>
  <c r="AU15" i="2"/>
  <c r="AU16" i="2"/>
  <c r="AU17" i="2"/>
  <c r="AU18" i="2"/>
  <c r="AU19" i="2"/>
  <c r="AO139" i="2"/>
  <c r="AN140" i="2"/>
  <c r="AQ140" i="2" s="1"/>
  <c r="AR140" i="2" s="1"/>
  <c r="AN141" i="2"/>
  <c r="AQ141" i="2" s="1"/>
  <c r="AR141" i="2" s="1"/>
  <c r="AN142" i="2"/>
  <c r="AQ142" i="2" s="1"/>
  <c r="AR142" i="2" s="1"/>
  <c r="AN143" i="2"/>
  <c r="AQ143" i="2" s="1"/>
  <c r="AR143" i="2" s="1"/>
  <c r="AN144" i="2"/>
  <c r="AQ144" i="2" s="1"/>
  <c r="AR144" i="2" s="1"/>
  <c r="AN145" i="2"/>
  <c r="AQ145" i="2" s="1"/>
  <c r="AR145" i="2" s="1"/>
  <c r="AN146" i="2"/>
  <c r="AQ146" i="2" s="1"/>
  <c r="AR146" i="2" s="1"/>
  <c r="AN147" i="2"/>
  <c r="AQ147" i="2" s="1"/>
  <c r="AR147" i="2" s="1"/>
  <c r="AN148" i="2"/>
  <c r="AQ148" i="2" s="1"/>
  <c r="AR148" i="2" s="1"/>
  <c r="AN149" i="2"/>
  <c r="AQ149" i="2" s="1"/>
  <c r="AR149" i="2" s="1"/>
  <c r="AN150" i="2"/>
  <c r="AQ150" i="2" s="1"/>
  <c r="AR150" i="2" s="1"/>
  <c r="AN151" i="2"/>
  <c r="AQ151" i="2" s="1"/>
  <c r="AR151" i="2" s="1"/>
  <c r="AN152" i="2"/>
  <c r="AQ152" i="2" s="1"/>
  <c r="AR152" i="2" s="1"/>
  <c r="AN153" i="2"/>
  <c r="AQ153" i="2" s="1"/>
  <c r="AR153" i="2" s="1"/>
  <c r="AN154" i="2"/>
  <c r="AQ154" i="2" s="1"/>
  <c r="AR154" i="2" s="1"/>
  <c r="AN139" i="2"/>
  <c r="AQ139" i="2" s="1"/>
  <c r="AR139" i="2" s="1"/>
  <c r="AO126" i="2"/>
  <c r="AP126" i="2" s="1"/>
  <c r="AN127" i="2"/>
  <c r="AN128" i="2"/>
  <c r="AN129" i="2"/>
  <c r="AN130" i="2"/>
  <c r="AN131" i="2"/>
  <c r="AN132" i="2"/>
  <c r="AN133" i="2"/>
  <c r="AN134" i="2"/>
  <c r="AN135" i="2"/>
  <c r="AN136" i="2"/>
  <c r="AN137" i="2"/>
  <c r="AN126" i="2"/>
  <c r="AO113" i="2"/>
  <c r="AP113" i="2" s="1"/>
  <c r="AN114" i="2"/>
  <c r="AN115" i="2"/>
  <c r="AN116" i="2"/>
  <c r="AN117" i="2"/>
  <c r="AN118" i="2"/>
  <c r="AN119" i="2"/>
  <c r="AN120" i="2"/>
  <c r="AN121" i="2"/>
  <c r="AN122" i="2"/>
  <c r="AN123" i="2"/>
  <c r="AN124" i="2"/>
  <c r="AN113" i="2"/>
  <c r="AO102" i="2"/>
  <c r="AP102" i="2" s="1"/>
  <c r="AN103" i="2"/>
  <c r="AN104" i="2"/>
  <c r="AN105" i="2"/>
  <c r="AN106" i="2"/>
  <c r="AN107" i="2"/>
  <c r="AN108" i="2"/>
  <c r="AN109" i="2"/>
  <c r="AN110" i="2"/>
  <c r="AN111" i="2"/>
  <c r="AN102" i="2"/>
  <c r="AO82" i="2"/>
  <c r="AP82" i="2" s="1"/>
  <c r="AN83" i="2"/>
  <c r="AN84" i="2"/>
  <c r="AN85" i="2"/>
  <c r="AN86" i="2"/>
  <c r="AN87" i="2"/>
  <c r="AN88" i="2"/>
  <c r="AN89" i="2"/>
  <c r="AN82" i="2"/>
  <c r="AP64" i="2"/>
  <c r="AN65" i="2"/>
  <c r="AN66" i="2"/>
  <c r="AN67" i="2"/>
  <c r="AN68" i="2"/>
  <c r="AN69" i="2"/>
  <c r="AN70" i="2"/>
  <c r="AN71" i="2"/>
  <c r="AN72" i="2"/>
  <c r="AN73" i="2"/>
  <c r="AN74" i="2"/>
  <c r="AN75" i="2"/>
  <c r="AN76" i="2"/>
  <c r="AN77" i="2"/>
  <c r="AN78" i="2"/>
  <c r="AN79" i="2"/>
  <c r="AN80" i="2"/>
  <c r="AN64" i="2"/>
  <c r="AO47" i="2"/>
  <c r="AP47" i="2" s="1"/>
  <c r="AN48" i="2"/>
  <c r="AN49" i="2"/>
  <c r="AN50" i="2"/>
  <c r="AN51" i="2"/>
  <c r="AN52" i="2"/>
  <c r="AN53" i="2"/>
  <c r="AN54" i="2"/>
  <c r="AN55" i="2"/>
  <c r="AN56" i="2"/>
  <c r="AN57" i="2"/>
  <c r="AN58" i="2"/>
  <c r="AN59" i="2"/>
  <c r="AN60" i="2"/>
  <c r="AN61" i="2"/>
  <c r="AN62" i="2"/>
  <c r="AN47" i="2"/>
  <c r="AO35" i="2"/>
  <c r="AP35" i="2" s="1"/>
  <c r="AN36" i="2"/>
  <c r="AN37" i="2"/>
  <c r="AN38" i="2"/>
  <c r="AN39" i="2"/>
  <c r="AN40" i="2"/>
  <c r="AN41" i="2"/>
  <c r="AN42" i="2"/>
  <c r="AN43" i="2"/>
  <c r="AN44" i="2"/>
  <c r="AN45" i="2"/>
  <c r="AN35" i="2"/>
  <c r="AP21" i="2"/>
  <c r="AN22" i="2"/>
  <c r="AN23" i="2"/>
  <c r="AN24" i="2"/>
  <c r="AN25" i="2"/>
  <c r="AN26" i="2"/>
  <c r="AN27" i="2"/>
  <c r="AN28" i="2"/>
  <c r="AN29" i="2"/>
  <c r="AN30" i="2"/>
  <c r="AN31" i="2"/>
  <c r="AN32" i="2"/>
  <c r="AN33" i="2"/>
  <c r="AN21" i="2"/>
  <c r="AG37" i="1"/>
  <c r="AG47" i="1"/>
  <c r="AG46" i="1"/>
  <c r="AG45" i="1"/>
  <c r="AG42" i="1"/>
  <c r="AG41" i="1"/>
  <c r="AG40" i="1"/>
  <c r="AG38" i="1"/>
  <c r="AG44" i="1"/>
  <c r="AH62" i="1"/>
  <c r="AH64" i="1"/>
  <c r="AH65" i="1"/>
  <c r="AH66" i="1"/>
  <c r="AH67" i="1"/>
  <c r="AH68" i="1"/>
  <c r="AH69" i="1"/>
  <c r="AH70" i="1"/>
  <c r="AH71" i="1"/>
  <c r="AC61" i="1"/>
  <c r="AG103" i="2"/>
  <c r="AH103" i="2" s="1"/>
  <c r="AI103" i="2" s="1"/>
  <c r="AG104" i="2"/>
  <c r="AH104" i="2" s="1"/>
  <c r="AI104" i="2" s="1"/>
  <c r="AG105" i="2"/>
  <c r="AH105" i="2" s="1"/>
  <c r="AI105" i="2" s="1"/>
  <c r="AG106" i="2"/>
  <c r="AH106" i="2" s="1"/>
  <c r="AI106" i="2" s="1"/>
  <c r="AG107" i="2"/>
  <c r="AH107" i="2" s="1"/>
  <c r="AI107" i="2" s="1"/>
  <c r="AG108" i="2"/>
  <c r="AH108" i="2" s="1"/>
  <c r="AI108" i="2" s="1"/>
  <c r="AG109" i="2"/>
  <c r="AH109" i="2" s="1"/>
  <c r="AI109" i="2" s="1"/>
  <c r="AG110" i="2"/>
  <c r="AH110" i="2" s="1"/>
  <c r="AI110" i="2" s="1"/>
  <c r="AG111" i="2"/>
  <c r="AH111" i="2" s="1"/>
  <c r="AI111" i="2" s="1"/>
  <c r="AG102" i="2"/>
  <c r="AH102" i="2" s="1"/>
  <c r="AI102" i="2" s="1"/>
  <c r="AK101" i="2"/>
  <c r="AJ139" i="2"/>
  <c r="AG140" i="2" s="1"/>
  <c r="AH140" i="2" s="1"/>
  <c r="AI140" i="2" s="1"/>
  <c r="AJ126" i="2"/>
  <c r="AG132" i="2" s="1"/>
  <c r="AG114" i="2"/>
  <c r="AG115" i="2"/>
  <c r="AG116" i="2"/>
  <c r="AG117" i="2"/>
  <c r="AG118" i="2"/>
  <c r="AG119" i="2"/>
  <c r="AG120" i="2"/>
  <c r="AG121" i="2"/>
  <c r="AG122" i="2"/>
  <c r="AG123" i="2"/>
  <c r="AG124" i="2"/>
  <c r="AG113" i="2"/>
  <c r="AK113" i="2"/>
  <c r="AK112" i="2" s="1"/>
  <c r="AH118" i="2" s="1"/>
  <c r="AI118" i="2" s="1"/>
  <c r="AJ82" i="2"/>
  <c r="AG84" i="2" s="1"/>
  <c r="AJ64" i="2"/>
  <c r="AG80" i="2" s="1"/>
  <c r="AJ47" i="2"/>
  <c r="AG49" i="2" s="1"/>
  <c r="AJ35" i="2"/>
  <c r="AG38" i="2" s="1"/>
  <c r="AJ21" i="2"/>
  <c r="AK20" i="2" s="1"/>
  <c r="AF4" i="2"/>
  <c r="AJ1" i="2"/>
  <c r="AG8" i="2" s="1"/>
  <c r="AE47" i="1"/>
  <c r="AE46" i="1"/>
  <c r="AE45" i="1"/>
  <c r="AE44" i="1"/>
  <c r="AE43" i="1"/>
  <c r="AE42" i="1"/>
  <c r="AE41" i="1"/>
  <c r="AE40" i="1"/>
  <c r="AE39" i="1"/>
  <c r="AE38" i="1"/>
  <c r="AE37" i="1"/>
  <c r="AE49" i="1" l="1"/>
  <c r="AI49" i="1"/>
  <c r="AG49" i="1"/>
  <c r="AQ22" i="2"/>
  <c r="AR22" i="2" s="1"/>
  <c r="AQ87" i="2"/>
  <c r="AR87" i="2" s="1"/>
  <c r="AQ120" i="2"/>
  <c r="AR120" i="2" s="1"/>
  <c r="AQ104" i="2"/>
  <c r="AR104" i="2" s="1"/>
  <c r="AG58" i="2"/>
  <c r="AG74" i="2"/>
  <c r="AQ37" i="2"/>
  <c r="AR37" i="2" s="1"/>
  <c r="AG86" i="2"/>
  <c r="AQ74" i="2"/>
  <c r="AR74" i="2" s="1"/>
  <c r="AQ25" i="2"/>
  <c r="AR25" i="2" s="1"/>
  <c r="AH113" i="2"/>
  <c r="AI113" i="2" s="1"/>
  <c r="AG4" i="2"/>
  <c r="AH121" i="2"/>
  <c r="AI121" i="2" s="1"/>
  <c r="AG19" i="2"/>
  <c r="AG17" i="2"/>
  <c r="AG134" i="2"/>
  <c r="AQ73" i="2"/>
  <c r="AR73" i="2" s="1"/>
  <c r="AG27" i="2"/>
  <c r="AH27" i="2" s="1"/>
  <c r="AI27" i="2" s="1"/>
  <c r="AG25" i="2"/>
  <c r="AH25" i="2" s="1"/>
  <c r="AI25" i="2" s="1"/>
  <c r="AG60" i="2"/>
  <c r="AG35" i="2"/>
  <c r="AG56" i="2"/>
  <c r="AG40" i="2"/>
  <c r="AG53" i="2"/>
  <c r="AQ119" i="2"/>
  <c r="AR119" i="2" s="1"/>
  <c r="AG52" i="2"/>
  <c r="AQ64" i="2"/>
  <c r="AR64" i="2" s="1"/>
  <c r="AG48" i="2"/>
  <c r="AG28" i="2"/>
  <c r="AH28" i="2" s="1"/>
  <c r="AI28" i="2" s="1"/>
  <c r="AK46" i="2"/>
  <c r="AQ65" i="2"/>
  <c r="AR65" i="2" s="1"/>
  <c r="AG61" i="2"/>
  <c r="AQ126" i="2"/>
  <c r="AR126" i="2" s="1"/>
  <c r="AQ130" i="2"/>
  <c r="AR130" i="2" s="1"/>
  <c r="AQ131" i="2"/>
  <c r="AR131" i="2" s="1"/>
  <c r="AG71" i="2"/>
  <c r="AQ23" i="2"/>
  <c r="AR23" i="2" s="1"/>
  <c r="AQ44" i="2"/>
  <c r="AR44" i="2" s="1"/>
  <c r="AQ102" i="2"/>
  <c r="AR102" i="2" s="1"/>
  <c r="AG12" i="2"/>
  <c r="AG79" i="2"/>
  <c r="AG69" i="2"/>
  <c r="AG127" i="2"/>
  <c r="AQ21" i="2"/>
  <c r="AR21" i="2" s="1"/>
  <c r="AQ36" i="2"/>
  <c r="AR36" i="2" s="1"/>
  <c r="AG11" i="2"/>
  <c r="AG78" i="2"/>
  <c r="AG68" i="2"/>
  <c r="AQ33" i="2"/>
  <c r="AR33" i="2" s="1"/>
  <c r="AG9" i="2"/>
  <c r="AG77" i="2"/>
  <c r="AG67" i="2"/>
  <c r="AG154" i="2"/>
  <c r="AH154" i="2" s="1"/>
  <c r="AI154" i="2" s="1"/>
  <c r="AQ31" i="2"/>
  <c r="AR31" i="2" s="1"/>
  <c r="AG76" i="2"/>
  <c r="AG66" i="2"/>
  <c r="AG146" i="2"/>
  <c r="AH146" i="2" s="1"/>
  <c r="AI146" i="2" s="1"/>
  <c r="AQ29" i="2"/>
  <c r="AR29" i="2" s="1"/>
  <c r="AG70" i="2"/>
  <c r="AG50" i="2"/>
  <c r="AG75" i="2"/>
  <c r="AK63" i="2"/>
  <c r="AQ26" i="2"/>
  <c r="AR26" i="2" s="1"/>
  <c r="AG24" i="2"/>
  <c r="AH24" i="2" s="1"/>
  <c r="AI24" i="2" s="1"/>
  <c r="AG32" i="2"/>
  <c r="AH32" i="2" s="1"/>
  <c r="AI32" i="2" s="1"/>
  <c r="AG26" i="2"/>
  <c r="AH26" i="2" s="1"/>
  <c r="AI26" i="2" s="1"/>
  <c r="AG21" i="2"/>
  <c r="AH21" i="2" s="1"/>
  <c r="AI21" i="2" s="1"/>
  <c r="AG29" i="2"/>
  <c r="AH29" i="2" s="1"/>
  <c r="AI29" i="2" s="1"/>
  <c r="AG23" i="2"/>
  <c r="AH23" i="2" s="1"/>
  <c r="AI23" i="2" s="1"/>
  <c r="AG22" i="2"/>
  <c r="AH22" i="2" s="1"/>
  <c r="AI22" i="2" s="1"/>
  <c r="AG30" i="2"/>
  <c r="AH30" i="2" s="1"/>
  <c r="AI30" i="2" s="1"/>
  <c r="AG31" i="2"/>
  <c r="AH31" i="2" s="1"/>
  <c r="AI31" i="2" s="1"/>
  <c r="AG37" i="2"/>
  <c r="AG45" i="2"/>
  <c r="AG39" i="2"/>
  <c r="AK34" i="2"/>
  <c r="AH38" i="2" s="1"/>
  <c r="AI38" i="2" s="1"/>
  <c r="AG42" i="2"/>
  <c r="AG44" i="2"/>
  <c r="AG43" i="2"/>
  <c r="AG36" i="2"/>
  <c r="AG87" i="2"/>
  <c r="AH119" i="2"/>
  <c r="AI119" i="2" s="1"/>
  <c r="AG135" i="2"/>
  <c r="AG148" i="2"/>
  <c r="AH148" i="2" s="1"/>
  <c r="AI148" i="2" s="1"/>
  <c r="AQ50" i="2"/>
  <c r="AR50" i="2" s="1"/>
  <c r="AQ58" i="2"/>
  <c r="AR58" i="2" s="1"/>
  <c r="AQ59" i="2"/>
  <c r="AR59" i="2" s="1"/>
  <c r="AQ52" i="2"/>
  <c r="AR52" i="2" s="1"/>
  <c r="AQ60" i="2"/>
  <c r="AR60" i="2" s="1"/>
  <c r="AQ55" i="2"/>
  <c r="AR55" i="2" s="1"/>
  <c r="AQ47" i="2"/>
  <c r="AR47" i="2" s="1"/>
  <c r="AQ48" i="2"/>
  <c r="AR48" i="2" s="1"/>
  <c r="AQ56" i="2"/>
  <c r="AR56" i="2" s="1"/>
  <c r="AQ51" i="2"/>
  <c r="AR51" i="2" s="1"/>
  <c r="AQ49" i="2"/>
  <c r="AR49" i="2" s="1"/>
  <c r="AQ57" i="2"/>
  <c r="AR57" i="2" s="1"/>
  <c r="AG33" i="2"/>
  <c r="AH33" i="2" s="1"/>
  <c r="AI33" i="2" s="1"/>
  <c r="AG41" i="2"/>
  <c r="AG141" i="2"/>
  <c r="AH141" i="2" s="1"/>
  <c r="AI141" i="2" s="1"/>
  <c r="AQ41" i="2"/>
  <c r="AR41" i="2" s="1"/>
  <c r="AQ42" i="2"/>
  <c r="AR42" i="2" s="1"/>
  <c r="AQ43" i="2"/>
  <c r="AR43" i="2" s="1"/>
  <c r="AQ38" i="2"/>
  <c r="AR38" i="2" s="1"/>
  <c r="AQ35" i="2"/>
  <c r="AR35" i="2" s="1"/>
  <c r="AQ39" i="2"/>
  <c r="AR39" i="2" s="1"/>
  <c r="AQ40" i="2"/>
  <c r="AR40" i="2" s="1"/>
  <c r="AQ62" i="2"/>
  <c r="AR62" i="2" s="1"/>
  <c r="AH117" i="2"/>
  <c r="AI117" i="2" s="1"/>
  <c r="AH124" i="2"/>
  <c r="AI124" i="2" s="1"/>
  <c r="AH116" i="2"/>
  <c r="AI116" i="2" s="1"/>
  <c r="AQ45" i="2"/>
  <c r="AR45" i="2" s="1"/>
  <c r="AQ61" i="2"/>
  <c r="AR61" i="2" s="1"/>
  <c r="AQ70" i="2"/>
  <c r="AR70" i="2" s="1"/>
  <c r="AQ78" i="2"/>
  <c r="AR78" i="2" s="1"/>
  <c r="AQ71" i="2"/>
  <c r="AR71" i="2" s="1"/>
  <c r="AQ79" i="2"/>
  <c r="AR79" i="2" s="1"/>
  <c r="AQ72" i="2"/>
  <c r="AR72" i="2" s="1"/>
  <c r="AQ80" i="2"/>
  <c r="AR80" i="2" s="1"/>
  <c r="AQ67" i="2"/>
  <c r="AR67" i="2" s="1"/>
  <c r="AQ75" i="2"/>
  <c r="AR75" i="2" s="1"/>
  <c r="AQ68" i="2"/>
  <c r="AR68" i="2" s="1"/>
  <c r="AQ76" i="2"/>
  <c r="AR76" i="2" s="1"/>
  <c r="AQ69" i="2"/>
  <c r="AR69" i="2" s="1"/>
  <c r="AQ77" i="2"/>
  <c r="AR77" i="2" s="1"/>
  <c r="AQ127" i="2"/>
  <c r="AR127" i="2" s="1"/>
  <c r="AQ135" i="2"/>
  <c r="AR135" i="2" s="1"/>
  <c r="AQ128" i="2"/>
  <c r="AR128" i="2" s="1"/>
  <c r="AQ136" i="2"/>
  <c r="AR136" i="2" s="1"/>
  <c r="AQ129" i="2"/>
  <c r="AR129" i="2" s="1"/>
  <c r="AQ137" i="2"/>
  <c r="AR137" i="2" s="1"/>
  <c r="AQ132" i="2"/>
  <c r="AR132" i="2" s="1"/>
  <c r="AQ133" i="2"/>
  <c r="AR133" i="2" s="1"/>
  <c r="AQ134" i="2"/>
  <c r="AR134" i="2" s="1"/>
  <c r="AH123" i="2"/>
  <c r="AI123" i="2" s="1"/>
  <c r="AH115" i="2"/>
  <c r="AI115" i="2" s="1"/>
  <c r="AQ54" i="2"/>
  <c r="AR54" i="2" s="1"/>
  <c r="AH122" i="2"/>
  <c r="AI122" i="2" s="1"/>
  <c r="AH114" i="2"/>
  <c r="AI114" i="2" s="1"/>
  <c r="AG145" i="2"/>
  <c r="AH145" i="2" s="1"/>
  <c r="AI145" i="2" s="1"/>
  <c r="AG153" i="2"/>
  <c r="AH153" i="2" s="1"/>
  <c r="AI153" i="2" s="1"/>
  <c r="AG147" i="2"/>
  <c r="AH147" i="2" s="1"/>
  <c r="AI147" i="2" s="1"/>
  <c r="AG139" i="2"/>
  <c r="AH139" i="2" s="1"/>
  <c r="AI139" i="2" s="1"/>
  <c r="AG142" i="2"/>
  <c r="AH142" i="2" s="1"/>
  <c r="AI142" i="2" s="1"/>
  <c r="AG150" i="2"/>
  <c r="AH150" i="2" s="1"/>
  <c r="AI150" i="2" s="1"/>
  <c r="AG144" i="2"/>
  <c r="AH144" i="2" s="1"/>
  <c r="AI144" i="2" s="1"/>
  <c r="AG143" i="2"/>
  <c r="AH143" i="2" s="1"/>
  <c r="AI143" i="2" s="1"/>
  <c r="AG151" i="2"/>
  <c r="AH151" i="2" s="1"/>
  <c r="AI151" i="2" s="1"/>
  <c r="AG152" i="2"/>
  <c r="AH152" i="2" s="1"/>
  <c r="AI152" i="2" s="1"/>
  <c r="AQ53" i="2"/>
  <c r="AR53" i="2" s="1"/>
  <c r="AQ83" i="2"/>
  <c r="AR83" i="2" s="1"/>
  <c r="AQ84" i="2"/>
  <c r="AR84" i="2" s="1"/>
  <c r="AQ85" i="2"/>
  <c r="AR85" i="2" s="1"/>
  <c r="AQ88" i="2"/>
  <c r="AR88" i="2" s="1"/>
  <c r="AQ89" i="2"/>
  <c r="AR89" i="2" s="1"/>
  <c r="AQ82" i="2"/>
  <c r="AR82" i="2" s="1"/>
  <c r="AQ109" i="2"/>
  <c r="AR109" i="2" s="1"/>
  <c r="AQ110" i="2"/>
  <c r="AR110" i="2" s="1"/>
  <c r="AQ103" i="2"/>
  <c r="AR103" i="2" s="1"/>
  <c r="AQ111" i="2"/>
  <c r="AR111" i="2" s="1"/>
  <c r="AQ106" i="2"/>
  <c r="AR106" i="2" s="1"/>
  <c r="AQ107" i="2"/>
  <c r="AR107" i="2" s="1"/>
  <c r="AQ108" i="2"/>
  <c r="AR108" i="2" s="1"/>
  <c r="AG83" i="2"/>
  <c r="AK81" i="2"/>
  <c r="AH84" i="2" s="1"/>
  <c r="AI84" i="2" s="1"/>
  <c r="AG85" i="2"/>
  <c r="AG88" i="2"/>
  <c r="AG89" i="2"/>
  <c r="AG82" i="2"/>
  <c r="AH120" i="2"/>
  <c r="AI120" i="2" s="1"/>
  <c r="AG131" i="2"/>
  <c r="AK125" i="2"/>
  <c r="AH132" i="2" s="1"/>
  <c r="AI132" i="2" s="1"/>
  <c r="AG133" i="2"/>
  <c r="AG128" i="2"/>
  <c r="AG136" i="2"/>
  <c r="AG129" i="2"/>
  <c r="AG137" i="2"/>
  <c r="AG130" i="2"/>
  <c r="AG126" i="2"/>
  <c r="AG149" i="2"/>
  <c r="AH149" i="2" s="1"/>
  <c r="AI149" i="2" s="1"/>
  <c r="AQ66" i="2"/>
  <c r="AR66" i="2" s="1"/>
  <c r="AQ86" i="2"/>
  <c r="AR86" i="2" s="1"/>
  <c r="AQ105" i="2"/>
  <c r="AR105" i="2" s="1"/>
  <c r="AQ116" i="2"/>
  <c r="AR116" i="2" s="1"/>
  <c r="AQ124" i="2"/>
  <c r="AR124" i="2" s="1"/>
  <c r="AQ117" i="2"/>
  <c r="AR117" i="2" s="1"/>
  <c r="AQ113" i="2"/>
  <c r="AR113" i="2" s="1"/>
  <c r="AQ118" i="2"/>
  <c r="AR118" i="2" s="1"/>
  <c r="AQ121" i="2"/>
  <c r="AR121" i="2" s="1"/>
  <c r="AQ114" i="2"/>
  <c r="AR114" i="2" s="1"/>
  <c r="AQ122" i="2"/>
  <c r="AR122" i="2" s="1"/>
  <c r="AQ115" i="2"/>
  <c r="AR115" i="2" s="1"/>
  <c r="AQ123" i="2"/>
  <c r="AR123" i="2" s="1"/>
  <c r="AG7" i="2"/>
  <c r="AG14" i="2"/>
  <c r="AG6" i="2"/>
  <c r="AG47" i="2"/>
  <c r="AG55" i="2"/>
  <c r="AG73" i="2"/>
  <c r="AG65" i="2"/>
  <c r="AQ28" i="2"/>
  <c r="AR28" i="2" s="1"/>
  <c r="AG15" i="2"/>
  <c r="AG13" i="2"/>
  <c r="AG5" i="2"/>
  <c r="AG62" i="2"/>
  <c r="AG54" i="2"/>
  <c r="AG64" i="2"/>
  <c r="AG72" i="2"/>
  <c r="AQ27" i="2"/>
  <c r="AR27" i="2" s="1"/>
  <c r="AG18" i="2"/>
  <c r="AG10" i="2"/>
  <c r="AG59" i="2"/>
  <c r="AG51" i="2"/>
  <c r="AQ32" i="2"/>
  <c r="AR32" i="2" s="1"/>
  <c r="AQ24" i="2"/>
  <c r="AR24" i="2" s="1"/>
  <c r="AG16" i="2"/>
  <c r="AG57" i="2"/>
  <c r="AQ30" i="2"/>
  <c r="AR30" i="2" s="1"/>
  <c r="AF5" i="2"/>
  <c r="AF6" i="2"/>
  <c r="AF7" i="2"/>
  <c r="AF8" i="2"/>
  <c r="AF9" i="2"/>
  <c r="AF10" i="2"/>
  <c r="AF11" i="2"/>
  <c r="AF12" i="2"/>
  <c r="AF13" i="2"/>
  <c r="AF14" i="2"/>
  <c r="AF15" i="2"/>
  <c r="AF16" i="2"/>
  <c r="AF17" i="2"/>
  <c r="AF18" i="2"/>
  <c r="AF19" i="2"/>
  <c r="AF21" i="2"/>
  <c r="AF22" i="2"/>
  <c r="AF23" i="2"/>
  <c r="AF24" i="2"/>
  <c r="AF25" i="2"/>
  <c r="AF26" i="2"/>
  <c r="AF27" i="2"/>
  <c r="AF28" i="2"/>
  <c r="AF29" i="2"/>
  <c r="AF30" i="2"/>
  <c r="AF31" i="2"/>
  <c r="AF32" i="2"/>
  <c r="AF33"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2" i="2"/>
  <c r="AF83" i="2"/>
  <c r="AF84" i="2"/>
  <c r="AF85" i="2"/>
  <c r="AF86" i="2"/>
  <c r="AF87" i="2"/>
  <c r="AF88" i="2"/>
  <c r="AF89"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C62" i="1"/>
  <c r="AC63" i="1"/>
  <c r="AC64" i="1"/>
  <c r="AC65" i="1"/>
  <c r="AC66" i="1"/>
  <c r="AC67" i="1"/>
  <c r="AC68" i="1"/>
  <c r="AC69" i="1"/>
  <c r="AC70" i="1"/>
  <c r="AC71" i="1"/>
  <c r="AC38" i="1"/>
  <c r="AC39" i="1"/>
  <c r="AC40" i="1"/>
  <c r="AC41" i="1"/>
  <c r="AC42" i="1"/>
  <c r="AC43" i="1"/>
  <c r="AC44" i="1"/>
  <c r="AC45" i="1"/>
  <c r="AC46" i="1"/>
  <c r="AC47" i="1"/>
  <c r="AC37" i="1"/>
  <c r="AC60" i="2"/>
  <c r="AC49" i="1" l="1"/>
  <c r="AH50" i="2"/>
  <c r="AI50" i="2" s="1"/>
  <c r="AH59" i="2"/>
  <c r="AI59" i="2" s="1"/>
  <c r="AH56" i="2"/>
  <c r="AI56" i="2" s="1"/>
  <c r="AH57" i="2"/>
  <c r="AI57" i="2" s="1"/>
  <c r="AH49" i="2"/>
  <c r="AI49" i="2" s="1"/>
  <c r="AH41" i="2"/>
  <c r="AI41" i="2" s="1"/>
  <c r="AH48" i="2"/>
  <c r="AI48" i="2" s="1"/>
  <c r="AH54" i="2"/>
  <c r="AI54" i="2" s="1"/>
  <c r="AH55" i="2"/>
  <c r="AI55" i="2" s="1"/>
  <c r="AH51" i="2"/>
  <c r="AI51" i="2" s="1"/>
  <c r="AH62" i="2"/>
  <c r="AI62" i="2" s="1"/>
  <c r="AH47" i="2"/>
  <c r="AI47" i="2" s="1"/>
  <c r="AH60" i="2"/>
  <c r="AI60" i="2" s="1"/>
  <c r="AH52" i="2"/>
  <c r="AI52" i="2" s="1"/>
  <c r="AH44" i="2"/>
  <c r="AI44" i="2" s="1"/>
  <c r="AH77" i="2"/>
  <c r="AI77" i="2" s="1"/>
  <c r="AH61" i="2"/>
  <c r="AI61" i="2" s="1"/>
  <c r="AH53" i="2"/>
  <c r="AI53" i="2" s="1"/>
  <c r="AH40" i="2"/>
  <c r="AI40" i="2" s="1"/>
  <c r="AH82" i="2"/>
  <c r="AI82" i="2" s="1"/>
  <c r="AH66" i="2"/>
  <c r="AI66" i="2" s="1"/>
  <c r="AH42" i="2"/>
  <c r="AI42" i="2" s="1"/>
  <c r="AH45" i="2"/>
  <c r="AI45" i="2" s="1"/>
  <c r="AH70" i="2"/>
  <c r="AI70" i="2" s="1"/>
  <c r="AH67" i="2"/>
  <c r="AI67" i="2" s="1"/>
  <c r="AH72" i="2"/>
  <c r="AI72" i="2" s="1"/>
  <c r="AH65" i="2"/>
  <c r="AI65" i="2" s="1"/>
  <c r="AH35" i="2"/>
  <c r="AI35" i="2" s="1"/>
  <c r="AH64" i="2"/>
  <c r="AI64" i="2" s="1"/>
  <c r="AH73" i="2"/>
  <c r="AI73" i="2" s="1"/>
  <c r="AH43" i="2"/>
  <c r="AI43" i="2" s="1"/>
  <c r="AH89" i="2"/>
  <c r="AI89" i="2" s="1"/>
  <c r="AH74" i="2"/>
  <c r="AI74" i="2" s="1"/>
  <c r="AH88" i="2"/>
  <c r="AI88" i="2" s="1"/>
  <c r="AH85" i="2"/>
  <c r="AI85" i="2" s="1"/>
  <c r="AH80" i="2"/>
  <c r="AI80" i="2" s="1"/>
  <c r="AH69" i="2"/>
  <c r="AI69" i="2" s="1"/>
  <c r="AH76" i="2"/>
  <c r="AI76" i="2" s="1"/>
  <c r="AH58" i="2"/>
  <c r="AI58" i="2" s="1"/>
  <c r="AH6" i="2"/>
  <c r="AI6" i="2" s="1"/>
  <c r="AH71" i="2"/>
  <c r="AI71" i="2" s="1"/>
  <c r="AH79" i="2"/>
  <c r="AI79" i="2" s="1"/>
  <c r="AH75" i="2"/>
  <c r="AI75" i="2" s="1"/>
  <c r="AH68" i="2"/>
  <c r="AI68" i="2" s="1"/>
  <c r="AH87" i="2"/>
  <c r="AI87" i="2" s="1"/>
  <c r="AH78" i="2"/>
  <c r="AI78" i="2" s="1"/>
  <c r="AH17" i="2"/>
  <c r="AI17" i="2" s="1"/>
  <c r="AH37" i="2"/>
  <c r="AI37" i="2" s="1"/>
  <c r="AH13" i="2"/>
  <c r="AI13" i="2" s="1"/>
  <c r="AH10" i="2"/>
  <c r="AI10" i="2" s="1"/>
  <c r="AH83" i="2"/>
  <c r="AI83" i="2" s="1"/>
  <c r="AH36" i="2"/>
  <c r="AI36" i="2" s="1"/>
  <c r="AH126" i="2"/>
  <c r="AI126" i="2" s="1"/>
  <c r="AH14" i="2"/>
  <c r="AI14" i="2" s="1"/>
  <c r="AH18" i="2"/>
  <c r="AI18" i="2" s="1"/>
  <c r="AH130" i="2"/>
  <c r="AI130" i="2" s="1"/>
  <c r="AH7" i="2"/>
  <c r="AI7" i="2" s="1"/>
  <c r="AH11" i="2"/>
  <c r="AI11" i="2" s="1"/>
  <c r="AH137" i="2"/>
  <c r="AI137" i="2" s="1"/>
  <c r="AH134" i="2"/>
  <c r="AI134" i="2" s="1"/>
  <c r="AH15" i="2"/>
  <c r="AI15" i="2" s="1"/>
  <c r="AH4" i="2"/>
  <c r="AI4" i="2" s="1"/>
  <c r="AH129" i="2"/>
  <c r="AI129" i="2" s="1"/>
  <c r="AH127" i="2"/>
  <c r="AI127" i="2" s="1"/>
  <c r="AH8" i="2"/>
  <c r="AI8" i="2" s="1"/>
  <c r="AH19" i="2"/>
  <c r="AI19" i="2" s="1"/>
  <c r="AH136" i="2"/>
  <c r="AI136" i="2" s="1"/>
  <c r="AH86" i="2"/>
  <c r="AI86" i="2" s="1"/>
  <c r="AH131" i="2"/>
  <c r="AI131" i="2" s="1"/>
  <c r="AH16" i="2"/>
  <c r="AI16" i="2" s="1"/>
  <c r="AH12" i="2"/>
  <c r="AI12" i="2" s="1"/>
  <c r="AH128" i="2"/>
  <c r="AI128" i="2" s="1"/>
  <c r="AH135" i="2"/>
  <c r="AI135" i="2" s="1"/>
  <c r="AH9" i="2"/>
  <c r="AI9" i="2" s="1"/>
  <c r="AH5" i="2"/>
  <c r="AI5" i="2" s="1"/>
  <c r="AH133" i="2"/>
  <c r="AI133" i="2" s="1"/>
  <c r="AH39" i="2"/>
  <c r="AI39" i="2" s="1"/>
  <c r="AA38" i="1"/>
  <c r="AA39" i="1"/>
  <c r="AA40" i="1"/>
  <c r="AA41" i="1"/>
  <c r="AA42" i="1"/>
  <c r="AA43" i="1"/>
  <c r="AA44" i="1"/>
  <c r="AA45" i="1"/>
  <c r="AA46" i="1"/>
  <c r="AA47" i="1"/>
  <c r="AA37" i="1"/>
  <c r="AA62" i="1"/>
  <c r="AA61" i="1"/>
  <c r="AA64" i="1"/>
  <c r="AA65" i="1"/>
  <c r="AA66" i="1"/>
  <c r="AA67" i="1"/>
  <c r="AA68" i="1"/>
  <c r="AA69" i="1"/>
  <c r="AA70" i="1"/>
  <c r="AA71" i="1"/>
  <c r="AA63" i="1"/>
  <c r="Y38" i="1"/>
  <c r="Y62" i="1"/>
  <c r="Y63" i="1"/>
  <c r="Y64" i="1"/>
  <c r="Y65" i="1"/>
  <c r="Y66" i="1"/>
  <c r="Y67" i="1"/>
  <c r="Y68" i="1"/>
  <c r="Y69" i="1"/>
  <c r="Y70" i="1"/>
  <c r="Y71" i="1"/>
  <c r="Y61" i="1"/>
  <c r="Y40" i="1"/>
  <c r="Y41" i="1"/>
  <c r="Y42" i="1"/>
  <c r="Y44" i="1"/>
  <c r="Y45" i="1"/>
  <c r="Y46" i="1"/>
  <c r="Y47" i="1"/>
  <c r="Y37" i="1"/>
  <c r="AA49" i="1" l="1"/>
  <c r="Y49" i="1"/>
  <c r="W71" i="1"/>
  <c r="W70" i="1"/>
  <c r="W69" i="1"/>
  <c r="W68" i="1"/>
  <c r="W67" i="1"/>
  <c r="W66" i="1"/>
  <c r="W65" i="1"/>
  <c r="W64" i="1"/>
  <c r="W63" i="1"/>
  <c r="W62" i="1"/>
  <c r="W61" i="1"/>
  <c r="W37" i="1"/>
  <c r="W47" i="1"/>
  <c r="W46" i="1"/>
  <c r="W45" i="1"/>
  <c r="W44" i="1"/>
  <c r="W42" i="1"/>
  <c r="W41" i="1"/>
  <c r="W40" i="1"/>
  <c r="W38" i="1"/>
  <c r="W49" i="1" l="1"/>
  <c r="U37" i="1"/>
  <c r="U47" i="1"/>
  <c r="U46" i="1"/>
  <c r="U45" i="1"/>
  <c r="U44" i="1"/>
  <c r="U43" i="1"/>
  <c r="U42" i="1"/>
  <c r="U41" i="1"/>
  <c r="U40" i="1"/>
  <c r="U39" i="1"/>
  <c r="U38" i="1"/>
  <c r="U67" i="1"/>
  <c r="U71" i="1"/>
  <c r="U62" i="1"/>
  <c r="U63" i="1"/>
  <c r="U64" i="1"/>
  <c r="U65" i="1"/>
  <c r="U66" i="1"/>
  <c r="U68" i="1"/>
  <c r="U69" i="1"/>
  <c r="U70" i="1"/>
  <c r="U61" i="1"/>
  <c r="U49" i="1" l="1"/>
  <c r="S37" i="1"/>
  <c r="S75" i="1" l="1"/>
  <c r="S76" i="1"/>
  <c r="S77" i="1"/>
  <c r="S78" i="1"/>
  <c r="S79" i="1"/>
  <c r="S80" i="1"/>
  <c r="S81" i="1"/>
  <c r="S82" i="1"/>
  <c r="S83" i="1"/>
  <c r="S84" i="1"/>
  <c r="S74" i="1"/>
  <c r="S47" i="1" l="1"/>
  <c r="S46" i="1"/>
  <c r="S45" i="1"/>
  <c r="S44" i="1"/>
  <c r="S43" i="1"/>
  <c r="S42" i="1"/>
  <c r="S41" i="1"/>
  <c r="S40" i="1"/>
  <c r="S39" i="1"/>
  <c r="S38" i="1"/>
  <c r="S62" i="1"/>
  <c r="S63" i="1"/>
  <c r="S64" i="1"/>
  <c r="S65" i="1"/>
  <c r="S66" i="1"/>
  <c r="S67" i="1"/>
  <c r="S68" i="1"/>
  <c r="S69" i="1"/>
  <c r="S70" i="1"/>
  <c r="S71" i="1"/>
  <c r="S61" i="1"/>
  <c r="S49" i="1" l="1"/>
  <c r="Q38" i="1"/>
  <c r="Q39" i="1"/>
  <c r="Q40" i="1"/>
  <c r="Q41" i="1"/>
  <c r="Q42" i="1"/>
  <c r="Q43" i="1"/>
  <c r="Q44" i="1"/>
  <c r="Q45" i="1"/>
  <c r="Q46" i="1"/>
  <c r="Q47" i="1"/>
  <c r="Q37" i="1"/>
  <c r="O37" i="1"/>
  <c r="Q62" i="1"/>
  <c r="Q63" i="1"/>
  <c r="Q64" i="1"/>
  <c r="Q65" i="1"/>
  <c r="Q66" i="1"/>
  <c r="Q67" i="1"/>
  <c r="Q68" i="1"/>
  <c r="Q69" i="1"/>
  <c r="Q70" i="1"/>
  <c r="Q71" i="1"/>
  <c r="Q61" i="1"/>
  <c r="O61" i="1"/>
  <c r="Q49" i="1" l="1"/>
  <c r="K37" i="1"/>
  <c r="G37" i="1"/>
  <c r="O38" i="1"/>
  <c r="O39" i="1"/>
  <c r="O40" i="1"/>
  <c r="O41" i="1"/>
  <c r="O42" i="1"/>
  <c r="O43" i="1"/>
  <c r="O44" i="1"/>
  <c r="O45" i="1"/>
  <c r="O46" i="1"/>
  <c r="O47" i="1"/>
  <c r="O62" i="1"/>
  <c r="O63" i="1"/>
  <c r="O64" i="1"/>
  <c r="O65" i="1"/>
  <c r="O66" i="1"/>
  <c r="O67" i="1"/>
  <c r="O68" i="1"/>
  <c r="O69" i="1"/>
  <c r="O70" i="1"/>
  <c r="O71" i="1"/>
  <c r="M61" i="1"/>
  <c r="M37" i="1"/>
  <c r="M47" i="1"/>
  <c r="M46" i="1"/>
  <c r="M45" i="1"/>
  <c r="M44" i="1"/>
  <c r="M43" i="1"/>
  <c r="M42" i="1"/>
  <c r="M41" i="1"/>
  <c r="M40" i="1"/>
  <c r="M39" i="1"/>
  <c r="M38" i="1"/>
  <c r="K47" i="1"/>
  <c r="K46" i="1"/>
  <c r="K45" i="1"/>
  <c r="K44" i="1"/>
  <c r="K43" i="1"/>
  <c r="K42" i="1"/>
  <c r="K41" i="1"/>
  <c r="K40" i="1"/>
  <c r="K39" i="1"/>
  <c r="K38" i="1"/>
  <c r="I47" i="1"/>
  <c r="I46" i="1"/>
  <c r="I45" i="1"/>
  <c r="I44" i="1"/>
  <c r="I43" i="1"/>
  <c r="I42" i="1"/>
  <c r="I41" i="1"/>
  <c r="I40" i="1"/>
  <c r="I39" i="1"/>
  <c r="I38" i="1"/>
  <c r="I37" i="1"/>
  <c r="G47" i="1"/>
  <c r="G46" i="1"/>
  <c r="G45" i="1"/>
  <c r="G44" i="1"/>
  <c r="G43" i="1"/>
  <c r="G42" i="1"/>
  <c r="G41" i="1"/>
  <c r="G40" i="1"/>
  <c r="G39" i="1"/>
  <c r="G38" i="1"/>
  <c r="E38" i="1"/>
  <c r="E39" i="1"/>
  <c r="E40" i="1"/>
  <c r="E41" i="1"/>
  <c r="E42" i="1"/>
  <c r="E43" i="1"/>
  <c r="E44" i="1"/>
  <c r="E45" i="1"/>
  <c r="E46" i="1"/>
  <c r="E47" i="1"/>
  <c r="E37" i="1"/>
  <c r="O49" i="1" l="1"/>
  <c r="M49" i="1"/>
  <c r="I49" i="1"/>
  <c r="E49" i="1"/>
  <c r="G49" i="1"/>
  <c r="K49" i="1"/>
  <c r="M71" i="1"/>
  <c r="M70" i="1"/>
  <c r="M69" i="1"/>
  <c r="M68" i="1"/>
  <c r="M67" i="1"/>
  <c r="M66" i="1"/>
  <c r="M65" i="1"/>
  <c r="M64" i="1"/>
  <c r="M63" i="1"/>
  <c r="M62" i="1"/>
  <c r="K71" i="1"/>
  <c r="K70" i="1"/>
  <c r="K69" i="1"/>
  <c r="K68" i="1"/>
  <c r="K67" i="1"/>
  <c r="K66" i="1"/>
  <c r="K65" i="1"/>
  <c r="K64" i="1"/>
  <c r="K63" i="1"/>
  <c r="K62" i="1"/>
  <c r="K61" i="1"/>
  <c r="I71" i="1"/>
  <c r="I70" i="1"/>
  <c r="I69" i="1"/>
  <c r="I68" i="1"/>
  <c r="I67" i="1"/>
  <c r="I66" i="1"/>
  <c r="I65" i="1"/>
  <c r="I64" i="1"/>
  <c r="I63" i="1"/>
  <c r="I62" i="1"/>
  <c r="I61" i="1"/>
  <c r="G61" i="1"/>
  <c r="G71" i="1"/>
  <c r="G70" i="1"/>
  <c r="G69" i="1"/>
  <c r="G68" i="1"/>
  <c r="G67" i="1"/>
  <c r="G66" i="1"/>
  <c r="G65" i="1"/>
  <c r="G64" i="1"/>
  <c r="G63" i="1"/>
  <c r="G62" i="1"/>
  <c r="E62" i="1"/>
  <c r="E63" i="1"/>
  <c r="E64" i="1"/>
  <c r="E65" i="1"/>
  <c r="E66" i="1"/>
  <c r="E67" i="1"/>
  <c r="E68" i="1"/>
  <c r="E69" i="1"/>
  <c r="E70" i="1"/>
  <c r="E71" i="1"/>
  <c r="E61" i="1"/>
  <c r="GR18" i="2"/>
  <c r="GR21" i="2"/>
  <c r="GR47" i="2"/>
  <c r="GR49" i="2"/>
  <c r="GR64" i="2"/>
  <c r="GR66" i="2"/>
  <c r="GR80" i="2"/>
  <c r="GR83" i="2"/>
  <c r="GR95" i="2"/>
  <c r="GR97" i="2"/>
  <c r="GR115" i="2"/>
  <c r="GR117" i="2"/>
  <c r="GR133" i="2"/>
  <c r="GR135" i="2"/>
  <c r="GR150" i="2"/>
  <c r="GR152" i="2"/>
  <c r="GR137" i="2" l="1"/>
  <c r="GR5" i="2"/>
  <c r="GR96" i="2"/>
  <c r="GR85" i="2"/>
  <c r="GR50" i="2"/>
  <c r="GR65" i="2"/>
  <c r="GR17" i="2"/>
  <c r="GR131" i="2"/>
  <c r="GR124" i="2"/>
  <c r="GR93" i="2"/>
  <c r="GR78" i="2"/>
  <c r="GR61" i="2"/>
  <c r="GR44" i="2"/>
  <c r="GR33" i="2"/>
  <c r="GR16" i="2"/>
  <c r="GR23" i="2"/>
  <c r="GR102" i="2"/>
  <c r="GR82" i="2"/>
  <c r="GR113" i="2"/>
  <c r="GR15" i="2"/>
  <c r="GR68" i="2"/>
  <c r="GR84" i="2"/>
  <c r="GR48" i="2"/>
  <c r="GR132" i="2"/>
  <c r="GR147" i="2"/>
  <c r="GR59" i="2"/>
  <c r="GR42" i="2"/>
  <c r="GR31" i="2"/>
  <c r="GR14" i="2"/>
  <c r="GR103" i="2"/>
  <c r="GR67" i="2"/>
  <c r="GR43" i="2"/>
  <c r="GR145" i="2"/>
  <c r="GR41" i="2"/>
  <c r="GR30" i="2"/>
  <c r="GR13" i="2"/>
  <c r="GR51" i="2"/>
  <c r="GR118" i="2"/>
  <c r="GR116" i="2"/>
  <c r="GR114" i="2"/>
  <c r="GR76" i="2"/>
  <c r="GR127" i="2"/>
  <c r="GR29" i="2"/>
  <c r="GR12" i="2"/>
  <c r="GR153" i="2"/>
  <c r="GR134" i="2"/>
  <c r="GR79" i="2"/>
  <c r="GR100" i="2"/>
  <c r="GR129" i="2"/>
  <c r="GR75" i="2"/>
  <c r="GR74" i="2"/>
  <c r="GR98" i="2"/>
  <c r="GR73" i="2"/>
  <c r="GR56" i="2"/>
  <c r="GR39" i="2"/>
  <c r="GR28" i="2"/>
  <c r="GR11" i="2"/>
  <c r="GR94" i="2"/>
  <c r="GR77" i="2"/>
  <c r="GR146" i="2"/>
  <c r="GR91" i="2"/>
  <c r="GR99" i="2"/>
  <c r="GR143" i="2"/>
  <c r="GR142" i="2"/>
  <c r="GR89" i="2"/>
  <c r="GR72" i="2"/>
  <c r="GR55" i="2"/>
  <c r="GR38" i="2"/>
  <c r="GR27" i="2"/>
  <c r="GR10" i="2"/>
  <c r="GR154" i="2"/>
  <c r="GR136" i="2"/>
  <c r="GR151" i="2"/>
  <c r="GR45" i="2"/>
  <c r="GR60" i="2"/>
  <c r="GR111" i="2"/>
  <c r="GR128" i="2"/>
  <c r="GR144" i="2"/>
  <c r="GR40" i="2"/>
  <c r="GR107" i="2"/>
  <c r="GR141" i="2"/>
  <c r="GR122" i="2"/>
  <c r="GR106" i="2"/>
  <c r="GR88" i="2"/>
  <c r="GR71" i="2"/>
  <c r="GR54" i="2"/>
  <c r="GR37" i="2"/>
  <c r="GR26" i="2"/>
  <c r="GR9" i="2"/>
  <c r="GR119" i="2"/>
  <c r="GR22" i="2"/>
  <c r="GR149" i="2"/>
  <c r="GR148" i="2"/>
  <c r="GR130" i="2"/>
  <c r="GR92" i="2"/>
  <c r="GR110" i="2"/>
  <c r="GR57" i="2"/>
  <c r="GR108" i="2"/>
  <c r="GR123" i="2"/>
  <c r="GR140" i="2"/>
  <c r="GR121" i="2"/>
  <c r="GR105" i="2"/>
  <c r="GR87" i="2"/>
  <c r="GR70" i="2"/>
  <c r="GR53" i="2"/>
  <c r="GR36" i="2"/>
  <c r="GR25" i="2"/>
  <c r="GR8" i="2"/>
  <c r="GR6" i="2"/>
  <c r="GR19" i="2"/>
  <c r="GR62" i="2"/>
  <c r="GR32" i="2"/>
  <c r="GR58" i="2"/>
  <c r="GR109" i="2"/>
  <c r="GR126" i="2"/>
  <c r="GR4" i="2"/>
  <c r="GR139" i="2"/>
  <c r="GR120" i="2"/>
  <c r="GR104" i="2"/>
  <c r="GR86" i="2"/>
  <c r="GR69" i="2"/>
  <c r="GR52" i="2"/>
  <c r="GR35" i="2"/>
  <c r="GR24" i="2"/>
  <c r="GR7" i="2"/>
</calcChain>
</file>

<file path=xl/sharedStrings.xml><?xml version="1.0" encoding="utf-8"?>
<sst xmlns="http://schemas.openxmlformats.org/spreadsheetml/2006/main" count="3468" uniqueCount="265">
  <si>
    <t>февраль</t>
  </si>
  <si>
    <t>март</t>
  </si>
  <si>
    <t>апрель</t>
  </si>
  <si>
    <t>май</t>
  </si>
  <si>
    <t>июнь</t>
  </si>
  <si>
    <t>июль</t>
  </si>
  <si>
    <t>август</t>
  </si>
  <si>
    <t>Восточный АО</t>
  </si>
  <si>
    <t>Западный АО</t>
  </si>
  <si>
    <t>Новомосковский</t>
  </si>
  <si>
    <t>Северный АО</t>
  </si>
  <si>
    <t>Северо-Восточный АО</t>
  </si>
  <si>
    <t>Северо-Западный АО</t>
  </si>
  <si>
    <t>Троицкий</t>
  </si>
  <si>
    <t>Центральный АО</t>
  </si>
  <si>
    <t>Юго-Восточный АО</t>
  </si>
  <si>
    <t>Юго-Западный АО</t>
  </si>
  <si>
    <t>Южный АО</t>
  </si>
  <si>
    <t>-</t>
  </si>
  <si>
    <t xml:space="preserve">Изменение объема предложения по административным округам Москвы </t>
  </si>
  <si>
    <t>Богородское</t>
  </si>
  <si>
    <t>Вешняки</t>
  </si>
  <si>
    <t>Восточное Измайлово</t>
  </si>
  <si>
    <t>Восточный</t>
  </si>
  <si>
    <t>Гольяново</t>
  </si>
  <si>
    <t>Ивановское</t>
  </si>
  <si>
    <t>Измайлово</t>
  </si>
  <si>
    <t>Косино-Ухтомский</t>
  </si>
  <si>
    <t>Метрогородок</t>
  </si>
  <si>
    <t>Новогиреево</t>
  </si>
  <si>
    <t>Новокосино</t>
  </si>
  <si>
    <t>Перово</t>
  </si>
  <si>
    <t>Преображенское</t>
  </si>
  <si>
    <t>Северное Измайлово</t>
  </si>
  <si>
    <t>Соколиная Гора</t>
  </si>
  <si>
    <t>Сокольники</t>
  </si>
  <si>
    <t>Внуково</t>
  </si>
  <si>
    <t>Дорогомилово</t>
  </si>
  <si>
    <t>Крылатское</t>
  </si>
  <si>
    <t>Кунцево</t>
  </si>
  <si>
    <t>Можайский</t>
  </si>
  <si>
    <t>Ново-Переделкино</t>
  </si>
  <si>
    <t>Очаково-Матвеевское</t>
  </si>
  <si>
    <t>Проспект Вернадского</t>
  </si>
  <si>
    <t>Раменки</t>
  </si>
  <si>
    <t>Солнцево</t>
  </si>
  <si>
    <t>Тропарево-Никулино</t>
  </si>
  <si>
    <t>Филевский Парк</t>
  </si>
  <si>
    <t>Фили-Давыдково</t>
  </si>
  <si>
    <t>Внуковское</t>
  </si>
  <si>
    <t>Воскресенское</t>
  </si>
  <si>
    <t>Десеновское</t>
  </si>
  <si>
    <t>Кокошкино</t>
  </si>
  <si>
    <t>Марушкинское</t>
  </si>
  <si>
    <t>Московский</t>
  </si>
  <si>
    <t>Мосрентген</t>
  </si>
  <si>
    <t>Рязановское</t>
  </si>
  <si>
    <t>Сосенское</t>
  </si>
  <si>
    <t>Филимонковское</t>
  </si>
  <si>
    <t>Щербинка</t>
  </si>
  <si>
    <t>Аэропорт</t>
  </si>
  <si>
    <t>Беговой</t>
  </si>
  <si>
    <t>Бескудниковский</t>
  </si>
  <si>
    <t>Войковский</t>
  </si>
  <si>
    <t>Восточное Дегунино</t>
  </si>
  <si>
    <t>Головинский</t>
  </si>
  <si>
    <t>Дмитровский</t>
  </si>
  <si>
    <t>Западное Дегунино</t>
  </si>
  <si>
    <t>Коптево</t>
  </si>
  <si>
    <t>Левобережный</t>
  </si>
  <si>
    <t>Молжаниновский</t>
  </si>
  <si>
    <t>Савеловский</t>
  </si>
  <si>
    <t>Сокол</t>
  </si>
  <si>
    <t>Тимирязевский</t>
  </si>
  <si>
    <t>Ховрино</t>
  </si>
  <si>
    <t>Хорошевский</t>
  </si>
  <si>
    <t>Алексеевский</t>
  </si>
  <si>
    <t>Алтуфьевский</t>
  </si>
  <si>
    <t>Бабушкинский</t>
  </si>
  <si>
    <t>Бибирево</t>
  </si>
  <si>
    <t>Бутырский</t>
  </si>
  <si>
    <t>Лианозово</t>
  </si>
  <si>
    <t>Лосиноостровский</t>
  </si>
  <si>
    <t>Марфино</t>
  </si>
  <si>
    <t>Марьина Роща</t>
  </si>
  <si>
    <t>Останкинский</t>
  </si>
  <si>
    <t>Отрадное</t>
  </si>
  <si>
    <t>Ростокино</t>
  </si>
  <si>
    <t>Свиблово</t>
  </si>
  <si>
    <t>Северное Медведково</t>
  </si>
  <si>
    <t>Северный</t>
  </si>
  <si>
    <t>Южное Медведково</t>
  </si>
  <si>
    <t>Ярославский</t>
  </si>
  <si>
    <t>Куркино</t>
  </si>
  <si>
    <t>Митино</t>
  </si>
  <si>
    <t>Покровское-Стрешнево</t>
  </si>
  <si>
    <t>Северное Тушино</t>
  </si>
  <si>
    <t>Строгино</t>
  </si>
  <si>
    <t>Хорошево-Мневники</t>
  </si>
  <si>
    <t>Щукино</t>
  </si>
  <si>
    <t>Южное Тушино</t>
  </si>
  <si>
    <t>Кленовское</t>
  </si>
  <si>
    <t>Краснопахорское</t>
  </si>
  <si>
    <t>Новофедоровское</t>
  </si>
  <si>
    <t>Первомайское</t>
  </si>
  <si>
    <t>Роговское</t>
  </si>
  <si>
    <t>Троицк</t>
  </si>
  <si>
    <t>Щаповское</t>
  </si>
  <si>
    <t>Арбат</t>
  </si>
  <si>
    <t>Басманный</t>
  </si>
  <si>
    <t>Замоскворечье</t>
  </si>
  <si>
    <t>Красносельский</t>
  </si>
  <si>
    <t>Мещанский</t>
  </si>
  <si>
    <t>Пресненский</t>
  </si>
  <si>
    <t>Таганский</t>
  </si>
  <si>
    <t>Тверской</t>
  </si>
  <si>
    <t>Хамовники</t>
  </si>
  <si>
    <t>Якиманка</t>
  </si>
  <si>
    <t>Выхино-Жулебино</t>
  </si>
  <si>
    <t>Кузьминки</t>
  </si>
  <si>
    <t>Лефортово</t>
  </si>
  <si>
    <t>Люблино</t>
  </si>
  <si>
    <t>Марьино</t>
  </si>
  <si>
    <t>Некрасовка</t>
  </si>
  <si>
    <t>Нижегородский</t>
  </si>
  <si>
    <t>Печатники</t>
  </si>
  <si>
    <t>Текстильщики</t>
  </si>
  <si>
    <t>Южнопортовый</t>
  </si>
  <si>
    <t>Академический</t>
  </si>
  <si>
    <t>Гагаринский</t>
  </si>
  <si>
    <t>Зюзино</t>
  </si>
  <si>
    <t>Коньково</t>
  </si>
  <si>
    <t>Котловка</t>
  </si>
  <si>
    <t>Ломоносовский</t>
  </si>
  <si>
    <t>Обручевский</t>
  </si>
  <si>
    <t>Северное Бутово</t>
  </si>
  <si>
    <t>Теплый Стан</t>
  </si>
  <si>
    <t>Черемушки</t>
  </si>
  <si>
    <t>Южное Бутово</t>
  </si>
  <si>
    <t>Ясенево</t>
  </si>
  <si>
    <t>Бирюлёво Восточное</t>
  </si>
  <si>
    <t>Бирюлёво Западное</t>
  </si>
  <si>
    <t>Братеево</t>
  </si>
  <si>
    <t>Даниловский</t>
  </si>
  <si>
    <t>Донской</t>
  </si>
  <si>
    <t>Зябликово</t>
  </si>
  <si>
    <t>Москворечье-Сабурово</t>
  </si>
  <si>
    <t>Нагатино-Садовники</t>
  </si>
  <si>
    <t>Нагатинский Затон</t>
  </si>
  <si>
    <t>Нагорный</t>
  </si>
  <si>
    <t>Орехово-Борисово Северное</t>
  </si>
  <si>
    <t>Орехово-Борисово Южное</t>
  </si>
  <si>
    <t>Царицыно</t>
  </si>
  <si>
    <t>Чертаново Северное</t>
  </si>
  <si>
    <t>Чертаново Центральное</t>
  </si>
  <si>
    <t>Чертаново Южное</t>
  </si>
  <si>
    <t>цена</t>
  </si>
  <si>
    <t>кол-во</t>
  </si>
  <si>
    <t>ВОСТОЧНЫЙ АО</t>
  </si>
  <si>
    <t>ЗАПАДНЫЙ АО</t>
  </si>
  <si>
    <t>НОВОМОСКОВСКИЙ</t>
  </si>
  <si>
    <t>СЕВЕРНЫЙ АО</t>
  </si>
  <si>
    <t>СЕВЕРО-ВОСТОЧНЫЙ АО</t>
  </si>
  <si>
    <t>ТРОИЦКИЙ</t>
  </si>
  <si>
    <t>ЦЕНТРАЛЬНЫЙ АО</t>
  </si>
  <si>
    <t>СЕВЕРО-ЗАПАДНЫЙ АО</t>
  </si>
  <si>
    <t>ЮГО-ВОСТОЧНЫЙ АО</t>
  </si>
  <si>
    <t>ЮГО-ЗАПАДНЫЙ</t>
  </si>
  <si>
    <t>ЮЖНЫЙ АО</t>
  </si>
  <si>
    <t>Михайлово-Ярцевское</t>
  </si>
  <si>
    <t>Рязанский</t>
  </si>
  <si>
    <t>сентябрь</t>
  </si>
  <si>
    <t>октябрь</t>
  </si>
  <si>
    <t>ноябрь</t>
  </si>
  <si>
    <t>декабрь</t>
  </si>
  <si>
    <t>Зеленоградский АО</t>
  </si>
  <si>
    <t>Динамика средней взвешенной цены предложения по административным округам Москвы, 2020-2021 год.</t>
  </si>
  <si>
    <t>Вороновское</t>
  </si>
  <si>
    <t>Киевский</t>
  </si>
  <si>
    <t>Капотня</t>
  </si>
  <si>
    <t>темп прироста цены</t>
  </si>
  <si>
    <t>январь</t>
  </si>
  <si>
    <t>изм кол-ва</t>
  </si>
  <si>
    <t>изм цены</t>
  </si>
  <si>
    <t/>
  </si>
  <si>
    <t>Итоги апреля</t>
  </si>
  <si>
    <t>Округ</t>
  </si>
  <si>
    <t>Средневзвешенная цена</t>
  </si>
  <si>
    <t>Период</t>
  </si>
  <si>
    <t>Объем предложения</t>
  </si>
  <si>
    <t>Сумма по полю Средневзвешенная цена</t>
  </si>
  <si>
    <t>2022</t>
  </si>
  <si>
    <t>2023</t>
  </si>
  <si>
    <t>янв</t>
  </si>
  <si>
    <t>фев</t>
  </si>
  <si>
    <t>мар</t>
  </si>
  <si>
    <t>апр</t>
  </si>
  <si>
    <t>июн</t>
  </si>
  <si>
    <t>июл</t>
  </si>
  <si>
    <t>авг</t>
  </si>
  <si>
    <t>сен</t>
  </si>
  <si>
    <t>окт</t>
  </si>
  <si>
    <t>ноя</t>
  </si>
  <si>
    <t>дек</t>
  </si>
  <si>
    <t>Годы</t>
  </si>
  <si>
    <t>Значения</t>
  </si>
  <si>
    <t>Год</t>
  </si>
  <si>
    <t>Изменение объема к предыдущему месяцу</t>
  </si>
  <si>
    <t>Изменение цены к предыдущему месяцу</t>
  </si>
  <si>
    <t>Объем</t>
  </si>
  <si>
    <t>Изменение</t>
  </si>
  <si>
    <t>Цена</t>
  </si>
  <si>
    <t>Динамика цен выставления по административным округам Москвы</t>
  </si>
  <si>
    <t>ВАО</t>
  </si>
  <si>
    <t>ЗАО</t>
  </si>
  <si>
    <t>НАО</t>
  </si>
  <si>
    <t>САО</t>
  </si>
  <si>
    <t>СВАО</t>
  </si>
  <si>
    <t>СЗАО</t>
  </si>
  <si>
    <t>ЦАО</t>
  </si>
  <si>
    <t>ЮВАО</t>
  </si>
  <si>
    <t>ЮЗАО</t>
  </si>
  <si>
    <t>ЮАО</t>
  </si>
  <si>
    <t>Объем предложения 
по административным округам Москвы</t>
  </si>
  <si>
    <t>Средняя взвешенная цена квадратного метра  по административным округам Москвы</t>
  </si>
  <si>
    <t>Изменение объема относительно прошлого месяца</t>
  </si>
  <si>
    <t>Западный</t>
  </si>
  <si>
    <t>Северо-Западный</t>
  </si>
  <si>
    <t>Центральный</t>
  </si>
  <si>
    <t>Южный</t>
  </si>
  <si>
    <t>Юго-Восточный</t>
  </si>
  <si>
    <t>Юго-Западный</t>
  </si>
  <si>
    <t>2020</t>
  </si>
  <si>
    <t>2021</t>
  </si>
  <si>
    <t>Изменение средней цены относительно прошлого месяца</t>
  </si>
  <si>
    <t>Месяц</t>
  </si>
  <si>
    <t>Изм объема</t>
  </si>
  <si>
    <t>Итог</t>
  </si>
  <si>
    <t>Северо-Восточный</t>
  </si>
  <si>
    <t>Названия строк</t>
  </si>
  <si>
    <t xml:space="preserve">объем предложения </t>
  </si>
  <si>
    <t>Названия столбцов</t>
  </si>
  <si>
    <t>2024</t>
  </si>
  <si>
    <t>Изменение цены относительно месяца 2023 года</t>
  </si>
  <si>
    <t xml:space="preserve">Северо-Восточный </t>
  </si>
  <si>
    <t>Динамика объема предложения</t>
  </si>
  <si>
    <t>Динамика объема предложения по годам</t>
  </si>
  <si>
    <t>2025</t>
  </si>
  <si>
    <t>Административный округ</t>
  </si>
  <si>
    <t>Район_x</t>
  </si>
  <si>
    <t>count</t>
  </si>
  <si>
    <t>mean</t>
  </si>
  <si>
    <t>count*mean</t>
  </si>
  <si>
    <t>price_per_sc_x</t>
  </si>
  <si>
    <t>10-й</t>
  </si>
  <si>
    <t>14-й</t>
  </si>
  <si>
    <t>15-й</t>
  </si>
  <si>
    <t>17-й</t>
  </si>
  <si>
    <t>19-й</t>
  </si>
  <si>
    <t>20-й</t>
  </si>
  <si>
    <t>23-й</t>
  </si>
  <si>
    <t>Крюково</t>
  </si>
  <si>
    <t>Матушкино</t>
  </si>
  <si>
    <t>АО</t>
  </si>
  <si>
    <t>район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</si>
</sst>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_-* #,##0_-;\-* #,##0_-;_-* &quot;-&quot;??_-;_-@_-"/>
    <numFmt numFmtId="166" formatCode="#,##0_ ;\-#,##0\ "/>
    <numFmt numFmtId="167" formatCode="0.0"/>
  </numFmts>
  <fonts count="2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charset val="204"/>
      <scheme val="minor"/>
    </font>
    <font>
      <sz val="8"/>
      <name val="Calibri"/>
      <family val="2"/>
      <scheme val="minor"/>
    </font>
    <font>
      <b/>
      <sz val="11"/>
      <color theme="1"/>
      <name val="Calibri"/>
      <family val="2"/>
      <scheme val="minor"/>
    </font>
    <font>
      <i/>
      <sz val="11"/>
      <color theme="1"/>
      <name val="Calibri"/>
      <family val="2"/>
      <charset val="204"/>
      <scheme val="minor"/>
    </font>
    <font>
      <b/>
      <i/>
      <sz val="11"/>
      <color theme="1"/>
      <name val="Calibri"/>
      <family val="2"/>
      <charset val="204"/>
      <scheme val="minor"/>
    </font>
    <font>
      <sz val="11"/>
      <color theme="0"/>
      <name val="Calibri"/>
      <family val="2"/>
      <scheme val="minor"/>
    </font>
    <font>
      <b/>
      <sz val="11"/>
      <name val="Calibri"/>
      <family val="2"/>
      <charset val="204"/>
    </font>
    <font>
      <b/>
      <sz val="11"/>
      <name val="Calibri"/>
      <family val="2"/>
      <charset val="204"/>
    </font>
    <font>
      <i/>
      <sz val="11"/>
      <color theme="2" tint="-0.249977111117893"/>
      <name val="Calibri"/>
      <family val="2"/>
      <charset val="204"/>
      <scheme val="minor"/>
    </font>
    <font>
      <b/>
      <sz val="11"/>
      <name val="Calibri"/>
      <family val="2"/>
      <charset val="204"/>
    </font>
    <font>
      <b/>
      <sz val="11"/>
      <name val="Calibri"/>
      <family val="2"/>
      <charset val="204"/>
    </font>
    <font>
      <b/>
      <sz val="11"/>
      <name val="Calibri"/>
      <family val="2"/>
      <scheme val="minor"/>
    </font>
    <font>
      <sz val="11"/>
      <name val="Calibri"/>
      <family val="2"/>
      <charset val="204"/>
      <scheme val="minor"/>
    </font>
    <font>
      <b/>
      <sz val="11"/>
      <name val="Calibri"/>
      <family val="2"/>
      <charset val="204"/>
      <scheme val="minor"/>
    </font>
    <font>
      <b/>
      <i/>
      <sz val="10"/>
      <color theme="1"/>
      <name val="Calibri"/>
      <family val="2"/>
      <charset val="204"/>
      <scheme val="minor"/>
    </font>
    <font>
      <b/>
      <sz val="11"/>
      <name val="Calibri"/>
      <family val="2"/>
      <charset val="204"/>
    </font>
    <font>
      <b/>
      <sz val="11"/>
      <name val="Calibri"/>
      <family val="2"/>
      <charset val="204"/>
    </font>
    <font>
      <b/>
      <sz val="11"/>
      <name val="Calibri"/>
    </font>
  </fonts>
  <fills count="9">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49">
    <border>
      <left/>
      <right/>
      <top/>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double">
        <color theme="0" tint="-0.34998626667073579"/>
      </left>
      <right/>
      <top/>
      <bottom/>
      <diagonal/>
    </border>
    <border>
      <left style="double">
        <color theme="0" tint="-0.34998626667073579"/>
      </left>
      <right/>
      <top style="double">
        <color theme="0" tint="-0.34998626667073579"/>
      </top>
      <bottom/>
      <diagonal/>
    </border>
    <border>
      <left/>
      <right/>
      <top style="double">
        <color theme="0" tint="-0.34998626667073579"/>
      </top>
      <bottom/>
      <diagonal/>
    </border>
    <border>
      <left/>
      <right style="double">
        <color theme="0" tint="-0.34998626667073579"/>
      </right>
      <top style="double">
        <color theme="0" tint="-0.34998626667073579"/>
      </top>
      <bottom/>
      <diagonal/>
    </border>
    <border>
      <left/>
      <right style="double">
        <color theme="0" tint="-0.34998626667073579"/>
      </right>
      <top/>
      <bottom/>
      <diagonal/>
    </border>
    <border>
      <left style="double">
        <color theme="0" tint="-0.34998626667073579"/>
      </left>
      <right/>
      <top/>
      <bottom style="double">
        <color theme="0" tint="-0.34998626667073579"/>
      </bottom>
      <diagonal/>
    </border>
    <border>
      <left/>
      <right/>
      <top/>
      <bottom style="double">
        <color theme="0" tint="-0.34998626667073579"/>
      </bottom>
      <diagonal/>
    </border>
    <border>
      <left/>
      <right style="double">
        <color theme="0" tint="-0.34998626667073579"/>
      </right>
      <top/>
      <bottom style="double">
        <color theme="0" tint="-0.34998626667073579"/>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style="thin">
        <color theme="0" tint="-0.34998626667073579"/>
      </bottom>
      <diagonal/>
    </border>
    <border>
      <left style="thin">
        <color indexed="64"/>
      </left>
      <right/>
      <top/>
      <bottom style="thin">
        <color indexed="64"/>
      </bottom>
      <diagonal/>
    </border>
    <border>
      <left/>
      <right/>
      <top style="double">
        <color indexed="64"/>
      </top>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top style="thin">
        <color theme="0" tint="-0.34998626667073579"/>
      </top>
      <bottom style="thin">
        <color theme="0" tint="-0.34998626667073579"/>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style="thin">
        <color auto="1"/>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238">
    <xf numFmtId="0" fontId="0" fillId="0" borderId="0" xfId="0"/>
    <xf numFmtId="165" fontId="0" fillId="0" borderId="0" xfId="1" applyNumberFormat="1" applyFont="1"/>
    <xf numFmtId="0" fontId="8" fillId="0" borderId="1" xfId="0" applyFont="1" applyBorder="1" applyAlignment="1">
      <alignment horizontal="left"/>
    </xf>
    <xf numFmtId="0" fontId="6" fillId="0" borderId="0" xfId="0" applyFont="1"/>
    <xf numFmtId="0" fontId="10" fillId="0" borderId="0" xfId="0" applyFont="1"/>
    <xf numFmtId="0" fontId="0" fillId="2" borderId="0" xfId="0" applyFill="1"/>
    <xf numFmtId="0" fontId="10" fillId="2" borderId="0" xfId="0" applyFont="1" applyFill="1"/>
    <xf numFmtId="0" fontId="0" fillId="2" borderId="2" xfId="0" applyFill="1" applyBorder="1"/>
    <xf numFmtId="0" fontId="6" fillId="2" borderId="2" xfId="0" applyFont="1" applyFill="1" applyBorder="1"/>
    <xf numFmtId="0" fontId="8" fillId="2" borderId="2" xfId="0" applyFont="1" applyFill="1" applyBorder="1" applyAlignment="1">
      <alignment horizontal="left"/>
    </xf>
    <xf numFmtId="165" fontId="0" fillId="2" borderId="2" xfId="1" applyNumberFormat="1" applyFont="1" applyFill="1" applyBorder="1"/>
    <xf numFmtId="9" fontId="9" fillId="2" borderId="2" xfId="2" applyFont="1" applyFill="1" applyBorder="1"/>
    <xf numFmtId="165" fontId="0" fillId="2" borderId="0" xfId="1" applyNumberFormat="1" applyFont="1" applyFill="1"/>
    <xf numFmtId="9" fontId="0" fillId="0" borderId="0" xfId="2" applyFont="1"/>
    <xf numFmtId="0" fontId="8" fillId="2" borderId="0" xfId="0" applyFont="1" applyFill="1" applyAlignment="1">
      <alignment horizontal="left"/>
    </xf>
    <xf numFmtId="165" fontId="0" fillId="2" borderId="0" xfId="1" applyNumberFormat="1" applyFont="1" applyFill="1" applyBorder="1"/>
    <xf numFmtId="9" fontId="9" fillId="2" borderId="0" xfId="2" applyFont="1" applyFill="1" applyBorder="1"/>
    <xf numFmtId="9" fontId="0" fillId="2" borderId="0" xfId="2" applyFont="1" applyFill="1"/>
    <xf numFmtId="165" fontId="4" fillId="2" borderId="0" xfId="0" applyNumberFormat="1" applyFont="1" applyFill="1"/>
    <xf numFmtId="0" fontId="4" fillId="2" borderId="0" xfId="2" applyNumberFormat="1" applyFont="1" applyFill="1" applyBorder="1"/>
    <xf numFmtId="9" fontId="4" fillId="2" borderId="0" xfId="2" applyFont="1" applyFill="1" applyBorder="1"/>
    <xf numFmtId="0" fontId="4" fillId="2" borderId="0" xfId="0" applyFont="1" applyFill="1"/>
    <xf numFmtId="165" fontId="0" fillId="0" borderId="3" xfId="1" applyNumberFormat="1" applyFont="1" applyBorder="1"/>
    <xf numFmtId="0" fontId="0" fillId="0" borderId="3" xfId="0" applyBorder="1"/>
    <xf numFmtId="0" fontId="0" fillId="0" borderId="4" xfId="0" applyBorder="1"/>
    <xf numFmtId="165" fontId="0" fillId="0" borderId="4" xfId="1" applyNumberFormat="1" applyFont="1" applyBorder="1"/>
    <xf numFmtId="0" fontId="0" fillId="0" borderId="5" xfId="0" applyBorder="1"/>
    <xf numFmtId="0" fontId="0" fillId="0" borderId="6" xfId="0" applyBorder="1"/>
    <xf numFmtId="0" fontId="0" fillId="0" borderId="7" xfId="0" applyBorder="1"/>
    <xf numFmtId="0" fontId="0" fillId="0" borderId="8" xfId="0" applyBorder="1"/>
    <xf numFmtId="165" fontId="0" fillId="0" borderId="8" xfId="1" applyNumberFormat="1" applyFont="1" applyBorder="1"/>
    <xf numFmtId="0" fontId="0" fillId="0" borderId="9" xfId="0" applyBorder="1"/>
    <xf numFmtId="0" fontId="0" fillId="0" borderId="10" xfId="0" applyBorder="1"/>
    <xf numFmtId="165" fontId="0" fillId="0" borderId="5" xfId="1" applyNumberFormat="1" applyFont="1" applyBorder="1"/>
    <xf numFmtId="43" fontId="0" fillId="0" borderId="0" xfId="1" applyFont="1"/>
    <xf numFmtId="165" fontId="0" fillId="0" borderId="0" xfId="0" applyNumberFormat="1"/>
    <xf numFmtId="9" fontId="0" fillId="0" borderId="0" xfId="0" applyNumberFormat="1"/>
    <xf numFmtId="165" fontId="0" fillId="0" borderId="8" xfId="0" applyNumberFormat="1" applyBorder="1"/>
    <xf numFmtId="165" fontId="0" fillId="0" borderId="4" xfId="0" applyNumberFormat="1" applyBorder="1"/>
    <xf numFmtId="165" fontId="0" fillId="0" borderId="3" xfId="0" applyNumberFormat="1" applyBorder="1"/>
    <xf numFmtId="165" fontId="0" fillId="0" borderId="5" xfId="0" applyNumberFormat="1" applyBorder="1"/>
    <xf numFmtId="0" fontId="0" fillId="0" borderId="2" xfId="0" applyBorder="1"/>
    <xf numFmtId="165" fontId="0" fillId="0" borderId="2" xfId="0" applyNumberFormat="1" applyBorder="1"/>
    <xf numFmtId="9" fontId="11" fillId="0" borderId="0" xfId="2" applyFont="1"/>
    <xf numFmtId="0" fontId="0" fillId="0" borderId="11" xfId="0" applyBorder="1"/>
    <xf numFmtId="0" fontId="0" fillId="0" borderId="12" xfId="0" applyBorder="1"/>
    <xf numFmtId="165" fontId="0" fillId="0" borderId="13" xfId="0" applyNumberFormat="1" applyBorder="1"/>
    <xf numFmtId="0" fontId="0" fillId="0" borderId="14" xfId="0" applyBorder="1"/>
    <xf numFmtId="165" fontId="0" fillId="0" borderId="15" xfId="0" applyNumberFormat="1" applyBorder="1"/>
    <xf numFmtId="0" fontId="0" fillId="0" borderId="16" xfId="0" applyBorder="1"/>
    <xf numFmtId="165" fontId="0" fillId="0" borderId="11" xfId="0" applyNumberFormat="1" applyBorder="1"/>
    <xf numFmtId="0" fontId="0" fillId="2" borderId="18" xfId="0" applyFill="1" applyBorder="1"/>
    <xf numFmtId="0" fontId="0" fillId="2" borderId="17" xfId="0" applyFill="1" applyBorder="1"/>
    <xf numFmtId="9" fontId="9" fillId="2" borderId="17" xfId="2" applyFont="1" applyFill="1" applyBorder="1"/>
    <xf numFmtId="0" fontId="0" fillId="0" borderId="17" xfId="0" applyBorder="1"/>
    <xf numFmtId="165" fontId="0" fillId="0" borderId="11" xfId="1" applyNumberFormat="1" applyFont="1" applyBorder="1"/>
    <xf numFmtId="165" fontId="0" fillId="0" borderId="13" xfId="1" applyNumberFormat="1" applyFont="1" applyBorder="1"/>
    <xf numFmtId="165" fontId="0" fillId="0" borderId="15" xfId="1" applyNumberFormat="1" applyFont="1" applyBorder="1"/>
    <xf numFmtId="43" fontId="0" fillId="0" borderId="13" xfId="1" applyFont="1" applyBorder="1"/>
    <xf numFmtId="0" fontId="8" fillId="0" borderId="1" xfId="0" applyFont="1" applyBorder="1"/>
    <xf numFmtId="17" fontId="0" fillId="0" borderId="0" xfId="0" applyNumberFormat="1"/>
    <xf numFmtId="165" fontId="0" fillId="0" borderId="0" xfId="1" applyNumberFormat="1" applyFont="1" applyBorder="1"/>
    <xf numFmtId="0" fontId="0" fillId="3" borderId="0" xfId="0" applyFill="1"/>
    <xf numFmtId="165" fontId="0" fillId="0" borderId="20" xfId="1" applyNumberFormat="1" applyFont="1" applyBorder="1"/>
    <xf numFmtId="0" fontId="0" fillId="0" borderId="20" xfId="0" applyBorder="1"/>
    <xf numFmtId="43" fontId="0" fillId="0" borderId="0" xfId="1" applyFont="1" applyBorder="1"/>
    <xf numFmtId="165" fontId="0" fillId="0" borderId="20" xfId="0" applyNumberFormat="1" applyBorder="1"/>
    <xf numFmtId="165" fontId="0" fillId="3" borderId="20" xfId="0" applyNumberFormat="1" applyFill="1" applyBorder="1"/>
    <xf numFmtId="0" fontId="0" fillId="3" borderId="20" xfId="0" applyFill="1" applyBorder="1"/>
    <xf numFmtId="43" fontId="0" fillId="0" borderId="20" xfId="1" applyFont="1" applyBorder="1"/>
    <xf numFmtId="0" fontId="0" fillId="0" borderId="21" xfId="0" applyBorder="1"/>
    <xf numFmtId="165" fontId="0" fillId="0" borderId="21" xfId="1" applyNumberFormat="1" applyFont="1" applyBorder="1"/>
    <xf numFmtId="165" fontId="0" fillId="0" borderId="21" xfId="0" applyNumberFormat="1" applyBorder="1"/>
    <xf numFmtId="0" fontId="0" fillId="3" borderId="21" xfId="0" applyFill="1" applyBorder="1"/>
    <xf numFmtId="43" fontId="0" fillId="0" borderId="21" xfId="1" applyFont="1" applyBorder="1"/>
    <xf numFmtId="0" fontId="0" fillId="0" borderId="13" xfId="0" applyBorder="1"/>
    <xf numFmtId="0" fontId="0" fillId="0" borderId="15" xfId="0" applyBorder="1"/>
    <xf numFmtId="10" fontId="0" fillId="0" borderId="0" xfId="0" applyNumberFormat="1"/>
    <xf numFmtId="164" fontId="0" fillId="0" borderId="0" xfId="0" applyNumberFormat="1"/>
    <xf numFmtId="0" fontId="12" fillId="0" borderId="17" xfId="0" applyFont="1" applyBorder="1" applyAlignment="1">
      <alignment horizontal="center" vertical="top"/>
    </xf>
    <xf numFmtId="165" fontId="12" fillId="0" borderId="17" xfId="1" applyNumberFormat="1" applyFont="1" applyBorder="1" applyAlignment="1">
      <alignment horizontal="center" vertical="top"/>
    </xf>
    <xf numFmtId="165" fontId="0" fillId="0" borderId="0" xfId="1" applyNumberFormat="1" applyFont="1" applyAlignment="1">
      <alignment horizontal="center"/>
    </xf>
    <xf numFmtId="17" fontId="4" fillId="2" borderId="0" xfId="0" applyNumberFormat="1" applyFont="1" applyFill="1"/>
    <xf numFmtId="9" fontId="8" fillId="2" borderId="2" xfId="2" applyFont="1" applyFill="1" applyBorder="1" applyAlignment="1">
      <alignment horizontal="left"/>
    </xf>
    <xf numFmtId="17" fontId="8" fillId="0" borderId="17" xfId="0" applyNumberFormat="1" applyFont="1" applyBorder="1" applyAlignment="1">
      <alignment horizontal="center" vertical="top"/>
    </xf>
    <xf numFmtId="9" fontId="14" fillId="0" borderId="0" xfId="2" applyFont="1"/>
    <xf numFmtId="165" fontId="0" fillId="0" borderId="26" xfId="0" applyNumberFormat="1" applyBorder="1"/>
    <xf numFmtId="165" fontId="0" fillId="0" borderId="27" xfId="0" applyNumberFormat="1" applyBorder="1"/>
    <xf numFmtId="165" fontId="0" fillId="0" borderId="28" xfId="0" applyNumberFormat="1" applyBorder="1"/>
    <xf numFmtId="0" fontId="0" fillId="0" borderId="26" xfId="0" applyBorder="1"/>
    <xf numFmtId="0" fontId="0" fillId="0" borderId="27" xfId="0" applyBorder="1"/>
    <xf numFmtId="0" fontId="0" fillId="0" borderId="28" xfId="0" applyBorder="1"/>
    <xf numFmtId="0" fontId="8" fillId="2" borderId="17" xfId="0" applyFont="1" applyFill="1" applyBorder="1" applyAlignment="1">
      <alignment horizontal="left"/>
    </xf>
    <xf numFmtId="0" fontId="8" fillId="2" borderId="18" xfId="0" applyFont="1" applyFill="1" applyBorder="1" applyAlignment="1">
      <alignment horizontal="left"/>
    </xf>
    <xf numFmtId="0" fontId="6" fillId="2" borderId="17" xfId="0" applyFont="1" applyFill="1" applyBorder="1"/>
    <xf numFmtId="17" fontId="6" fillId="2" borderId="17" xfId="0" applyNumberFormat="1" applyFont="1" applyFill="1" applyBorder="1"/>
    <xf numFmtId="17" fontId="0" fillId="0" borderId="17" xfId="0" applyNumberFormat="1" applyBorder="1"/>
    <xf numFmtId="165" fontId="0" fillId="2" borderId="17" xfId="1" applyNumberFormat="1" applyFont="1" applyFill="1" applyBorder="1"/>
    <xf numFmtId="165" fontId="0" fillId="0" borderId="17" xfId="0" applyNumberFormat="1" applyBorder="1"/>
    <xf numFmtId="165" fontId="0" fillId="0" borderId="17" xfId="1" applyNumberFormat="1" applyFont="1" applyBorder="1"/>
    <xf numFmtId="165" fontId="4" fillId="2" borderId="17" xfId="0" applyNumberFormat="1" applyFont="1" applyFill="1" applyBorder="1"/>
    <xf numFmtId="0" fontId="4" fillId="2" borderId="17" xfId="2" applyNumberFormat="1" applyFont="1" applyFill="1" applyBorder="1"/>
    <xf numFmtId="9" fontId="4" fillId="2" borderId="17" xfId="2" applyFont="1" applyFill="1" applyBorder="1"/>
    <xf numFmtId="0" fontId="4" fillId="2" borderId="17" xfId="0" applyFont="1" applyFill="1" applyBorder="1"/>
    <xf numFmtId="0" fontId="3" fillId="0" borderId="17" xfId="0" applyFont="1" applyBorder="1"/>
    <xf numFmtId="9" fontId="0" fillId="0" borderId="17" xfId="2" applyFont="1" applyBorder="1"/>
    <xf numFmtId="9" fontId="0" fillId="0" borderId="17" xfId="2" applyFont="1" applyBorder="1" applyAlignment="1">
      <alignment horizontal="left"/>
    </xf>
    <xf numFmtId="9" fontId="13" fillId="0" borderId="17" xfId="2" applyFont="1" applyBorder="1" applyAlignment="1">
      <alignment horizontal="center" vertical="top"/>
    </xf>
    <xf numFmtId="0" fontId="0" fillId="0" borderId="17" xfId="0" applyBorder="1" applyAlignment="1">
      <alignment horizontal="center"/>
    </xf>
    <xf numFmtId="9" fontId="0" fillId="0" borderId="0" xfId="2" applyFont="1" applyBorder="1"/>
    <xf numFmtId="10" fontId="0" fillId="0" borderId="0" xfId="2" applyNumberFormat="1" applyFont="1"/>
    <xf numFmtId="0" fontId="0" fillId="0" borderId="0" xfId="0" applyAlignment="1">
      <alignment horizontal="left"/>
    </xf>
    <xf numFmtId="165" fontId="6" fillId="0" borderId="1" xfId="0" applyNumberFormat="1" applyFont="1" applyBorder="1"/>
    <xf numFmtId="165" fontId="2" fillId="0" borderId="17" xfId="0" applyNumberFormat="1" applyFont="1" applyBorder="1"/>
    <xf numFmtId="17" fontId="12" fillId="0" borderId="17" xfId="0" applyNumberFormat="1" applyFont="1" applyBorder="1" applyAlignment="1">
      <alignment horizontal="center" vertical="top"/>
    </xf>
    <xf numFmtId="9" fontId="12" fillId="0" borderId="17" xfId="2" applyFont="1" applyBorder="1" applyAlignment="1">
      <alignment horizontal="center" vertical="top"/>
    </xf>
    <xf numFmtId="0" fontId="0" fillId="0" borderId="29" xfId="0" applyBorder="1"/>
    <xf numFmtId="9" fontId="2" fillId="0" borderId="29" xfId="2" applyFont="1" applyBorder="1" applyAlignment="1">
      <alignment horizontal="left"/>
    </xf>
    <xf numFmtId="0" fontId="8" fillId="0" borderId="0" xfId="0" applyFont="1" applyAlignment="1">
      <alignment horizontal="left"/>
    </xf>
    <xf numFmtId="165" fontId="0" fillId="0" borderId="22" xfId="1" applyNumberFormat="1" applyFont="1" applyBorder="1"/>
    <xf numFmtId="0" fontId="0" fillId="0" borderId="30" xfId="0" applyBorder="1"/>
    <xf numFmtId="165" fontId="0" fillId="0" borderId="23" xfId="1" applyNumberFormat="1" applyFont="1" applyBorder="1"/>
    <xf numFmtId="0" fontId="0" fillId="0" borderId="31" xfId="0" applyBorder="1"/>
    <xf numFmtId="165" fontId="0" fillId="0" borderId="19" xfId="1" applyNumberFormat="1" applyFont="1" applyBorder="1"/>
    <xf numFmtId="0" fontId="0" fillId="0" borderId="32" xfId="0" applyBorder="1"/>
    <xf numFmtId="9" fontId="0" fillId="0" borderId="0" xfId="2" applyFont="1" applyAlignment="1">
      <alignment horizontal="left" indent="1"/>
    </xf>
    <xf numFmtId="0" fontId="0" fillId="0" borderId="33" xfId="0" applyBorder="1"/>
    <xf numFmtId="0" fontId="12" fillId="0" borderId="0" xfId="0" applyFont="1" applyAlignment="1">
      <alignment horizontal="center" vertical="top"/>
    </xf>
    <xf numFmtId="0" fontId="15" fillId="0" borderId="0" xfId="0" applyFont="1" applyAlignment="1">
      <alignment horizontal="center" vertical="top"/>
    </xf>
    <xf numFmtId="17" fontId="0" fillId="0" borderId="34" xfId="0" applyNumberFormat="1" applyBorder="1"/>
    <xf numFmtId="165" fontId="0" fillId="0" borderId="24" xfId="1" applyNumberFormat="1" applyFont="1" applyBorder="1"/>
    <xf numFmtId="165" fontId="0" fillId="0" borderId="25" xfId="1" applyNumberFormat="1" applyFont="1" applyBorder="1"/>
    <xf numFmtId="0" fontId="16" fillId="0" borderId="29" xfId="0" applyFont="1" applyBorder="1" applyAlignment="1">
      <alignment horizontal="left" vertical="top"/>
    </xf>
    <xf numFmtId="0" fontId="0" fillId="0" borderId="0" xfId="0" applyAlignment="1">
      <alignment wrapText="1"/>
    </xf>
    <xf numFmtId="165" fontId="0" fillId="0" borderId="0" xfId="1" applyNumberFormat="1" applyFont="1" applyAlignment="1">
      <alignment wrapText="1"/>
    </xf>
    <xf numFmtId="17" fontId="0" fillId="0" borderId="0" xfId="0" applyNumberFormat="1" applyAlignment="1">
      <alignment wrapText="1"/>
    </xf>
    <xf numFmtId="43" fontId="0" fillId="0" borderId="0" xfId="1" applyFont="1" applyAlignment="1">
      <alignment wrapText="1"/>
    </xf>
    <xf numFmtId="17" fontId="6" fillId="4" borderId="17" xfId="0" applyNumberFormat="1" applyFont="1" applyFill="1" applyBorder="1"/>
    <xf numFmtId="0" fontId="6" fillId="2" borderId="35" xfId="0" applyFont="1" applyFill="1" applyBorder="1"/>
    <xf numFmtId="0" fontId="3" fillId="0" borderId="0" xfId="0" applyFont="1"/>
    <xf numFmtId="9" fontId="0" fillId="0" borderId="0" xfId="2" applyFont="1" applyBorder="1" applyAlignment="1">
      <alignment horizontal="left"/>
    </xf>
    <xf numFmtId="9" fontId="13" fillId="0" borderId="0" xfId="2" applyFont="1" applyBorder="1" applyAlignment="1">
      <alignment horizontal="center" vertical="top"/>
    </xf>
    <xf numFmtId="165" fontId="2" fillId="0" borderId="0" xfId="0" applyNumberFormat="1" applyFont="1"/>
    <xf numFmtId="9" fontId="2" fillId="0" borderId="0" xfId="2" applyFont="1" applyBorder="1" applyAlignment="1">
      <alignment horizontal="left"/>
    </xf>
    <xf numFmtId="9" fontId="12" fillId="0" borderId="0" xfId="2" applyFont="1" applyBorder="1" applyAlignment="1">
      <alignment horizontal="center" vertical="top"/>
    </xf>
    <xf numFmtId="17" fontId="0" fillId="6" borderId="0" xfId="0" applyNumberFormat="1" applyFill="1" applyAlignment="1">
      <alignment wrapText="1"/>
    </xf>
    <xf numFmtId="43" fontId="0" fillId="0" borderId="23" xfId="1" applyFont="1" applyBorder="1"/>
    <xf numFmtId="0" fontId="17" fillId="2" borderId="2" xfId="0" applyFont="1" applyFill="1" applyBorder="1" applyAlignment="1">
      <alignment horizontal="left"/>
    </xf>
    <xf numFmtId="0" fontId="0" fillId="0" borderId="0" xfId="2" applyNumberFormat="1" applyFont="1"/>
    <xf numFmtId="17" fontId="0" fillId="0" borderId="29" xfId="0" applyNumberFormat="1" applyBorder="1"/>
    <xf numFmtId="17" fontId="0" fillId="5" borderId="37" xfId="0" applyNumberFormat="1" applyFill="1" applyBorder="1"/>
    <xf numFmtId="17" fontId="0" fillId="5" borderId="38" xfId="0" applyNumberFormat="1" applyFill="1" applyBorder="1"/>
    <xf numFmtId="17" fontId="0" fillId="5" borderId="39" xfId="0" applyNumberFormat="1" applyFill="1" applyBorder="1"/>
    <xf numFmtId="165" fontId="0" fillId="0" borderId="40" xfId="1" applyNumberFormat="1" applyFont="1" applyBorder="1"/>
    <xf numFmtId="165" fontId="0" fillId="0" borderId="41" xfId="1" applyNumberFormat="1" applyFont="1" applyBorder="1"/>
    <xf numFmtId="165" fontId="0" fillId="0" borderId="42" xfId="1" applyNumberFormat="1" applyFont="1" applyBorder="1"/>
    <xf numFmtId="165" fontId="0" fillId="0" borderId="43" xfId="1" applyNumberFormat="1" applyFont="1" applyBorder="1"/>
    <xf numFmtId="165" fontId="0" fillId="0" borderId="44" xfId="1" applyNumberFormat="1" applyFont="1" applyBorder="1"/>
    <xf numFmtId="165" fontId="0" fillId="0" borderId="45" xfId="1" applyNumberFormat="1" applyFont="1" applyBorder="1"/>
    <xf numFmtId="17" fontId="0" fillId="5" borderId="34" xfId="0" applyNumberFormat="1" applyFill="1" applyBorder="1"/>
    <xf numFmtId="0" fontId="0" fillId="5" borderId="0" xfId="0" applyFill="1"/>
    <xf numFmtId="17" fontId="6" fillId="0" borderId="0" xfId="0" applyNumberFormat="1" applyFont="1"/>
    <xf numFmtId="17" fontId="6" fillId="0" borderId="36" xfId="0" applyNumberFormat="1" applyFont="1" applyBorder="1"/>
    <xf numFmtId="0" fontId="0" fillId="0" borderId="9" xfId="0" applyBorder="1" applyAlignment="1">
      <alignment horizontal="center"/>
    </xf>
    <xf numFmtId="14" fontId="0" fillId="0" borderId="0" xfId="0" applyNumberFormat="1"/>
    <xf numFmtId="0" fontId="1" fillId="2" borderId="0" xfId="0" applyFont="1" applyFill="1" applyAlignment="1">
      <alignment horizontal="left"/>
    </xf>
    <xf numFmtId="0" fontId="18" fillId="2" borderId="18" xfId="0" applyFont="1" applyFill="1" applyBorder="1" applyAlignment="1">
      <alignment horizontal="left"/>
    </xf>
    <xf numFmtId="0" fontId="1" fillId="2" borderId="18" xfId="0" applyFont="1" applyFill="1" applyBorder="1" applyAlignment="1">
      <alignment horizontal="left"/>
    </xf>
    <xf numFmtId="14" fontId="0" fillId="7" borderId="0" xfId="0" applyNumberFormat="1" applyFill="1"/>
    <xf numFmtId="0" fontId="19" fillId="7" borderId="18" xfId="0" applyFont="1" applyFill="1" applyBorder="1" applyAlignment="1">
      <alignment horizontal="left"/>
    </xf>
    <xf numFmtId="0" fontId="6" fillId="7" borderId="0" xfId="0" applyFont="1" applyFill="1"/>
    <xf numFmtId="0" fontId="0" fillId="7" borderId="0" xfId="0" applyFill="1"/>
    <xf numFmtId="0" fontId="0" fillId="0" borderId="0" xfId="0" pivotButton="1"/>
    <xf numFmtId="0" fontId="19" fillId="5" borderId="0" xfId="0" applyFont="1" applyFill="1" applyAlignment="1">
      <alignment wrapText="1"/>
    </xf>
    <xf numFmtId="9" fontId="0" fillId="7" borderId="0" xfId="2" applyFont="1" applyFill="1"/>
    <xf numFmtId="0" fontId="0" fillId="4" borderId="0" xfId="0" applyFill="1"/>
    <xf numFmtId="0" fontId="10" fillId="4" borderId="0" xfId="0" applyFont="1" applyFill="1"/>
    <xf numFmtId="0" fontId="20" fillId="0" borderId="0" xfId="0" applyFont="1" applyAlignment="1">
      <alignment vertical="center" readingOrder="1"/>
    </xf>
    <xf numFmtId="9" fontId="0" fillId="2" borderId="0" xfId="0" applyNumberFormat="1" applyFill="1"/>
    <xf numFmtId="0" fontId="19" fillId="0" borderId="0" xfId="0" applyFont="1" applyAlignment="1">
      <alignment wrapText="1"/>
    </xf>
    <xf numFmtId="14" fontId="18" fillId="0" borderId="0" xfId="0" applyNumberFormat="1" applyFont="1" applyAlignment="1">
      <alignment wrapText="1"/>
    </xf>
    <xf numFmtId="0" fontId="18" fillId="0" borderId="0" xfId="0" applyFont="1" applyAlignment="1">
      <alignment wrapText="1"/>
    </xf>
    <xf numFmtId="1" fontId="18" fillId="0" borderId="0" xfId="0" applyNumberFormat="1" applyFont="1" applyAlignment="1">
      <alignment wrapText="1"/>
    </xf>
    <xf numFmtId="3" fontId="0" fillId="0" borderId="0" xfId="0" applyNumberFormat="1"/>
    <xf numFmtId="3" fontId="0" fillId="0" borderId="0" xfId="0" applyNumberFormat="1" applyAlignment="1">
      <alignment horizontal="center"/>
    </xf>
    <xf numFmtId="166" fontId="0" fillId="0" borderId="0" xfId="0" applyNumberFormat="1"/>
    <xf numFmtId="9" fontId="0" fillId="2" borderId="0" xfId="0" applyNumberFormat="1" applyFill="1" applyAlignment="1">
      <alignment horizontal="right"/>
    </xf>
    <xf numFmtId="9" fontId="6" fillId="0" borderId="0" xfId="2" applyFont="1"/>
    <xf numFmtId="0" fontId="6" fillId="7" borderId="0" xfId="0" applyFont="1" applyFill="1" applyAlignment="1">
      <alignment horizontal="right"/>
    </xf>
    <xf numFmtId="3" fontId="6" fillId="7" borderId="0" xfId="0" applyNumberFormat="1" applyFont="1" applyFill="1"/>
    <xf numFmtId="9" fontId="6" fillId="7" borderId="0" xfId="2" applyFont="1" applyFill="1"/>
    <xf numFmtId="49" fontId="0" fillId="0" borderId="0" xfId="0" applyNumberFormat="1" applyAlignment="1">
      <alignment wrapText="1"/>
    </xf>
    <xf numFmtId="14" fontId="0" fillId="0" borderId="0" xfId="0" applyNumberFormat="1" applyAlignment="1">
      <alignment horizontal="left"/>
    </xf>
    <xf numFmtId="14" fontId="0" fillId="0" borderId="0" xfId="0" applyNumberFormat="1" applyAlignment="1">
      <alignment horizontal="left" indent="1"/>
    </xf>
    <xf numFmtId="9" fontId="0" fillId="0" borderId="0" xfId="0" applyNumberFormat="1" applyAlignment="1">
      <alignment horizontal="left"/>
    </xf>
    <xf numFmtId="167" fontId="0" fillId="0" borderId="0" xfId="0" applyNumberFormat="1"/>
    <xf numFmtId="1" fontId="0" fillId="0" borderId="0" xfId="0" applyNumberFormat="1"/>
    <xf numFmtId="0" fontId="21" fillId="0" borderId="17" xfId="0" applyFont="1" applyBorder="1" applyAlignment="1">
      <alignment horizontal="center" vertical="top"/>
    </xf>
    <xf numFmtId="43" fontId="6" fillId="7" borderId="0" xfId="1" applyFont="1" applyFill="1"/>
    <xf numFmtId="43" fontId="19" fillId="5" borderId="0" xfId="1" applyFont="1" applyFill="1" applyAlignment="1">
      <alignment wrapText="1"/>
    </xf>
    <xf numFmtId="43" fontId="0" fillId="0" borderId="0" xfId="1" applyFont="1" applyFill="1" applyAlignment="1">
      <alignment wrapText="1"/>
    </xf>
    <xf numFmtId="43" fontId="0" fillId="7" borderId="0" xfId="1" applyFont="1" applyFill="1" applyBorder="1"/>
    <xf numFmtId="43" fontId="0" fillId="7" borderId="0" xfId="1" applyFont="1" applyFill="1"/>
    <xf numFmtId="0" fontId="0" fillId="0" borderId="46" xfId="0" applyBorder="1"/>
    <xf numFmtId="0" fontId="0" fillId="8" borderId="46" xfId="0" applyFill="1" applyBorder="1"/>
    <xf numFmtId="0" fontId="12" fillId="8" borderId="17" xfId="0" applyFont="1" applyFill="1" applyBorder="1" applyAlignment="1">
      <alignment horizontal="center" vertical="top"/>
    </xf>
    <xf numFmtId="0" fontId="12" fillId="0" borderId="47" xfId="0" applyFont="1" applyBorder="1" applyAlignment="1">
      <alignment horizontal="center" vertical="top"/>
    </xf>
    <xf numFmtId="165" fontId="0" fillId="8" borderId="46" xfId="1" applyNumberFormat="1" applyFont="1" applyFill="1" applyBorder="1"/>
    <xf numFmtId="165" fontId="0" fillId="0" borderId="46" xfId="1" applyNumberFormat="1" applyFont="1" applyBorder="1"/>
    <xf numFmtId="0" fontId="12" fillId="8" borderId="47" xfId="0" applyFont="1" applyFill="1" applyBorder="1" applyAlignment="1">
      <alignment horizontal="center" vertical="top"/>
    </xf>
    <xf numFmtId="43" fontId="0" fillId="8" borderId="46" xfId="1" applyFont="1" applyFill="1" applyBorder="1"/>
    <xf numFmtId="43" fontId="0" fillId="0" borderId="46" xfId="1" applyFont="1" applyBorder="1"/>
    <xf numFmtId="0" fontId="12" fillId="8" borderId="26" xfId="0" applyFont="1" applyFill="1" applyBorder="1" applyAlignment="1">
      <alignment horizontal="center" vertical="top"/>
    </xf>
    <xf numFmtId="165" fontId="0" fillId="0" borderId="48" xfId="1" applyNumberFormat="1" applyFont="1" applyBorder="1"/>
    <xf numFmtId="43" fontId="0" fillId="0" borderId="48" xfId="1" applyFont="1" applyBorder="1"/>
    <xf numFmtId="0" fontId="12" fillId="0" borderId="26" xfId="0" applyFont="1" applyBorder="1" applyAlignment="1">
      <alignment horizontal="center" vertical="top"/>
    </xf>
    <xf numFmtId="0" fontId="22" fillId="0" borderId="17" xfId="0" applyFont="1" applyBorder="1" applyAlignment="1">
      <alignment horizontal="center" vertical="top"/>
    </xf>
    <xf numFmtId="0" fontId="22" fillId="0" borderId="26" xfId="0" applyFont="1" applyBorder="1" applyAlignment="1">
      <alignment horizontal="center" vertical="top"/>
    </xf>
    <xf numFmtId="0" fontId="23" fillId="0" borderId="17" xfId="0" applyFont="1" applyBorder="1" applyAlignment="1">
      <alignment horizontal="center" vertical="top"/>
    </xf>
    <xf numFmtId="0" fontId="23" fillId="0" borderId="26" xfId="0" applyFont="1" applyBorder="1" applyAlignment="1">
      <alignment horizontal="center" vertical="top"/>
    </xf>
    <xf numFmtId="0" fontId="0" fillId="0" borderId="0" xfId="0" applyAlignment="1">
      <alignment horizontal="center"/>
    </xf>
    <xf numFmtId="17" fontId="6" fillId="0" borderId="3" xfId="0" applyNumberFormat="1" applyFont="1" applyBorder="1" applyAlignment="1">
      <alignment horizontal="center"/>
    </xf>
    <xf numFmtId="17" fontId="6" fillId="0" borderId="0" xfId="0" applyNumberFormat="1" applyFont="1" applyAlignment="1">
      <alignment horizontal="center"/>
    </xf>
    <xf numFmtId="17" fontId="6" fillId="0" borderId="8" xfId="0" applyNumberFormat="1" applyFont="1" applyBorder="1" applyAlignment="1">
      <alignment horizontal="center"/>
    </xf>
    <xf numFmtId="17" fontId="6" fillId="0" borderId="9" xfId="0" applyNumberFormat="1" applyFont="1" applyBorder="1" applyAlignment="1">
      <alignment horizontal="center"/>
    </xf>
    <xf numFmtId="17" fontId="6" fillId="0" borderId="10" xfId="0" applyNumberFormat="1" applyFont="1" applyBorder="1" applyAlignment="1">
      <alignment horizontal="center"/>
    </xf>
    <xf numFmtId="0" fontId="6" fillId="0" borderId="8" xfId="0" applyFont="1" applyBorder="1" applyAlignment="1">
      <alignment horizontal="center"/>
    </xf>
    <xf numFmtId="0" fontId="6" fillId="0" borderId="10" xfId="0" applyFont="1" applyBorder="1" applyAlignment="1">
      <alignment horizontal="center"/>
    </xf>
    <xf numFmtId="0" fontId="6" fillId="0" borderId="0" xfId="0" applyFont="1" applyAlignment="1">
      <alignment horizontal="center"/>
    </xf>
    <xf numFmtId="0" fontId="6" fillId="0" borderId="3"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left"/>
    </xf>
    <xf numFmtId="0" fontId="6" fillId="0" borderId="9" xfId="0" applyFont="1" applyBorder="1" applyAlignment="1">
      <alignment horizontal="left"/>
    </xf>
    <xf numFmtId="0" fontId="6" fillId="0" borderId="9" xfId="0" applyFont="1" applyBorder="1" applyAlignment="1">
      <alignment horizontal="center"/>
    </xf>
    <xf numFmtId="14" fontId="0" fillId="0" borderId="0" xfId="0" applyNumberFormat="1" applyBorder="1"/>
    <xf numFmtId="0" fontId="0" fillId="0" borderId="0" xfId="0" applyBorder="1"/>
    <xf numFmtId="0" fontId="0" fillId="0" borderId="0" xfId="0" applyAlignment="1"/>
    <xf numFmtId="0" fontId="0" fillId="0" borderId="0" xfId="0" applyNumberFormat="1" applyFill="1" applyAlignment="1"/>
  </cellXfs>
  <cellStyles count="3">
    <cellStyle name="Обычный" xfId="0" builtinId="0"/>
    <cellStyle name="Процентный" xfId="2" builtinId="5"/>
    <cellStyle name="Финансовый" xfId="1" builtinId="3"/>
  </cellStyles>
  <dxfs count="458">
    <dxf>
      <numFmt numFmtId="13" formatCode="0%"/>
    </dxf>
    <dxf>
      <numFmt numFmtId="165" formatCode="_-* #,##0_-;\-* #,##0_-;_-* &quot;-&quot;??_-;_-@_-"/>
    </dxf>
    <dxf>
      <numFmt numFmtId="165" formatCode="_-* #,##0_-;\-* #,##0_-;_-* &quot;-&quot;??_-;_-@_-"/>
    </dxf>
    <dxf>
      <numFmt numFmtId="166" formatCode="#,##0_ ;\-#,##0\ "/>
    </dxf>
    <dxf>
      <numFmt numFmtId="165" formatCode="_-* #,##0_-;\-* #,##0_-;_-* &quot;-&quot;??_-;_-@_-"/>
    </dxf>
    <dxf>
      <numFmt numFmtId="166" formatCode="#,##0_ ;\-#,##0\ "/>
    </dxf>
    <dxf>
      <numFmt numFmtId="13" formatCode="0%"/>
    </dxf>
    <dxf>
      <alignment horizontal="center"/>
    </dxf>
    <dxf>
      <numFmt numFmtId="3" formatCode="#,##0"/>
    </dxf>
    <dxf>
      <numFmt numFmtId="165" formatCode="_-* #,##0_-;\-* #,##0_-;_-* &quot;-&quot;??_-;_-@_-"/>
    </dxf>
    <dxf>
      <numFmt numFmtId="13" formatCode="0%"/>
    </dxf>
    <dxf>
      <numFmt numFmtId="166" formatCode="#,##0_ ;\-#,##0\ "/>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 formatCode="#,##0"/>
    </dxf>
    <dxf>
      <numFmt numFmtId="13" formatCode="0%"/>
    </dxf>
    <dxf>
      <numFmt numFmtId="1" formatCode="0"/>
    </dxf>
    <dxf>
      <numFmt numFmtId="13" formatCode="0%"/>
    </dxf>
    <dxf>
      <numFmt numFmtId="1" formatCode="0"/>
    </dxf>
    <dxf>
      <numFmt numFmtId="1" formatCode="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3" formatCode="0%"/>
    </dxf>
    <dxf>
      <numFmt numFmtId="13" formatCode="0%"/>
    </dxf>
    <dxf>
      <numFmt numFmtId="13"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 formatCode="#,##0"/>
    </dxf>
    <dxf>
      <numFmt numFmtId="13" formatCode="0%"/>
      <fill>
        <patternFill patternType="solid">
          <fgColor indexed="64"/>
          <bgColor theme="0"/>
        </patternFill>
      </fill>
    </dxf>
    <dxf>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0" formatCode="General"/>
      <fill>
        <patternFill patternType="none">
          <fgColor indexed="64"/>
          <bgColor indexed="65"/>
        </patternFill>
      </fill>
      <alignment horizontal="general"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numFmt numFmtId="13" formatCode="0%"/>
      <alignment horizontal="left"/>
    </dxf>
    <dxf>
      <numFmt numFmtId="13" formatCode="0%"/>
    </dxf>
    <dxf>
      <alignment horizontal="left"/>
    </dxf>
    <dxf>
      <numFmt numFmtId="13" formatCode="0%"/>
    </dxf>
    <dxf>
      <alignment horizontal="left"/>
    </dxf>
    <dxf>
      <numFmt numFmtId="13" formatCode="0%"/>
      <alignment horizontal="left"/>
    </dxf>
    <dxf>
      <numFmt numFmtId="13" formatCode="0%"/>
    </dxf>
    <dxf>
      <alignment horizontal="left"/>
    </dxf>
    <dxf>
      <numFmt numFmtId="13" formatCode="0%"/>
    </dxf>
    <dxf>
      <alignment horizontal="left"/>
    </dxf>
    <dxf>
      <numFmt numFmtId="13" formatCode="0%"/>
      <alignment horizontal="left"/>
    </dxf>
    <dxf>
      <numFmt numFmtId="13" formatCode="0%"/>
    </dxf>
    <dxf>
      <alignment horizontal="left"/>
    </dxf>
    <dxf>
      <numFmt numFmtId="13" formatCode="0%"/>
      <alignment horizontal="left"/>
    </dxf>
    <dxf>
      <numFmt numFmtId="13" formatCode="0%"/>
    </dxf>
    <dxf>
      <alignment horizontal="left"/>
    </dxf>
    <dxf>
      <numFmt numFmtId="13" formatCode="0%"/>
      <alignment horizontal="left"/>
    </dxf>
    <dxf>
      <numFmt numFmtId="165" formatCode="_-* #,##0_-;\-* #,##0_-;_-* &quot;-&quot;??_-;_-@_-"/>
    </dxf>
    <dxf>
      <numFmt numFmtId="166" formatCode="#,##0_ ;\-#,##0\ "/>
    </dxf>
    <dxf>
      <numFmt numFmtId="165" formatCode="_-* #,##0_-;\-* #,##0_-;_-* &quot;-&quot;??_-;_-@_-"/>
    </dxf>
    <dxf>
      <numFmt numFmtId="13" formatCode="0%"/>
    </dxf>
    <dxf>
      <numFmt numFmtId="166" formatCode="#,##0_ ;\-#,##0\ "/>
    </dxf>
    <dxf>
      <numFmt numFmtId="13" formatCode="0%"/>
    </dxf>
    <dxf>
      <alignment horizontal="center"/>
    </dxf>
    <dxf>
      <numFmt numFmtId="3" formatCode="#,##0"/>
    </dxf>
    <dxf>
      <numFmt numFmtId="165" formatCode="_-* #,##0_-;\-* #,##0_-;_-* &quot;-&quot;??_-;_-@_-"/>
    </dxf>
    <dxf>
      <numFmt numFmtId="165" formatCode="_-* #,##0_-;\-* #,##0_-;_-* &quot;-&quot;??_-;_-@_-"/>
    </dxf>
    <dxf>
      <numFmt numFmtId="166" formatCode="#,##0_ ;\-#,##0\ "/>
    </dxf>
    <dxf>
      <numFmt numFmtId="165" formatCode="_-* #,##0_-;\-* #,##0_-;_-* &quot;-&quot;??_-;_-@_-"/>
    </dxf>
    <dxf>
      <numFmt numFmtId="166" formatCode="#,##0_ ;\-#,##0\ "/>
    </dxf>
    <dxf>
      <numFmt numFmtId="13" formatCode="0%"/>
    </dxf>
    <dxf>
      <alignment horizontal="center"/>
    </dxf>
    <dxf>
      <numFmt numFmtId="3" formatCode="#,##0"/>
    </dxf>
    <dxf>
      <numFmt numFmtId="165" formatCode="_-* #,##0_-;\-* #,##0_-;_-* &quot;-&quot;??_-;_-@_-"/>
    </dxf>
    <dxf>
      <numFmt numFmtId="13" formatCode="0%"/>
    </dxf>
    <dxf>
      <numFmt numFmtId="166" formatCode="#,##0_ ;\-#,##0\ "/>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 formatCode="#,##0"/>
    </dxf>
    <dxf>
      <numFmt numFmtId="13" formatCode="0%"/>
    </dxf>
    <dxf>
      <numFmt numFmtId="1" formatCode="0"/>
    </dxf>
    <dxf>
      <numFmt numFmtId="13" formatCode="0%"/>
    </dxf>
    <dxf>
      <numFmt numFmtId="1" formatCode="0"/>
    </dxf>
    <dxf>
      <numFmt numFmtId="1" formatCode="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3" formatCode="0%"/>
    </dxf>
    <dxf>
      <numFmt numFmtId="13" formatCode="0%"/>
    </dxf>
    <dxf>
      <numFmt numFmtId="13"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 formatCode="#,##0"/>
    </dxf>
    <dxf>
      <numFmt numFmtId="13" formatCode="0%"/>
      <fill>
        <patternFill patternType="solid">
          <fgColor indexed="64"/>
          <bgColor theme="0"/>
        </patternFill>
      </fill>
    </dxf>
    <dxf>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0" formatCode="General"/>
      <fill>
        <patternFill patternType="none">
          <fgColor indexed="64"/>
          <bgColor indexed="65"/>
        </patternFill>
      </fill>
      <alignment horizontal="general"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numFmt numFmtId="13" formatCode="0%"/>
      <alignment horizontal="left"/>
    </dxf>
    <dxf>
      <numFmt numFmtId="13" formatCode="0%"/>
    </dxf>
    <dxf>
      <alignment horizontal="left"/>
    </dxf>
    <dxf>
      <numFmt numFmtId="13" formatCode="0%"/>
    </dxf>
    <dxf>
      <alignment horizontal="left"/>
    </dxf>
    <dxf>
      <numFmt numFmtId="13" formatCode="0%"/>
      <alignment horizontal="left"/>
    </dxf>
    <dxf>
      <numFmt numFmtId="13" formatCode="0%"/>
    </dxf>
    <dxf>
      <alignment horizontal="left"/>
    </dxf>
    <dxf>
      <numFmt numFmtId="13" formatCode="0%"/>
    </dxf>
    <dxf>
      <alignment horizontal="left"/>
    </dxf>
    <dxf>
      <numFmt numFmtId="13" formatCode="0%"/>
      <alignment horizontal="left"/>
    </dxf>
    <dxf>
      <numFmt numFmtId="13" formatCode="0%"/>
    </dxf>
    <dxf>
      <alignment horizontal="left"/>
    </dxf>
    <dxf>
      <numFmt numFmtId="13" formatCode="0%"/>
      <alignment horizontal="left"/>
    </dxf>
    <dxf>
      <numFmt numFmtId="13" formatCode="0%"/>
    </dxf>
    <dxf>
      <alignment horizontal="left"/>
    </dxf>
    <dxf>
      <numFmt numFmtId="13" formatCode="0%"/>
      <alignment horizontal="left"/>
    </dxf>
    <dxf>
      <font>
        <b val="0"/>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dxf>
    <dxf>
      <numFmt numFmtId="19" formatCode="dd/mm/yyyy"/>
    </dxf>
    <dxf>
      <font>
        <b/>
        <i val="0"/>
        <strike val="0"/>
        <condense val="0"/>
        <extend val="0"/>
        <outline val="0"/>
        <shadow val="0"/>
        <u val="none"/>
        <vertAlign val="baseline"/>
        <sz val="11"/>
        <color auto="1"/>
        <name val="Calibri"/>
        <family val="2"/>
        <charset val="204"/>
        <scheme val="minor"/>
      </font>
      <fill>
        <patternFill patternType="solid">
          <fgColor indexed="64"/>
          <bgColor theme="2" tint="-9.9978637043366805E-2"/>
        </patternFill>
      </fill>
      <alignment horizontal="general" vertical="bottom" textRotation="0" wrapText="1" indent="0" justifyLastLine="0" shrinkToFit="0" readingOrder="0"/>
    </dxf>
    <dxf>
      <numFmt numFmtId="166" formatCode="#,##0_ ;\-#,##0\ "/>
    </dxf>
    <dxf>
      <numFmt numFmtId="165" formatCode="_-* #,##0_-;\-* #,##0_-;_-* &quot;-&quot;??_-;_-@_-"/>
    </dxf>
    <dxf>
      <numFmt numFmtId="165" formatCode="_-* #,##0_-;\-* #,##0_-;_-* &quot;-&quot;??_-;_-@_-"/>
    </dxf>
    <dxf>
      <numFmt numFmtId="166" formatCode="#,##0_ ;\-#,##0\ "/>
    </dxf>
    <dxf>
      <numFmt numFmtId="165" formatCode="_-* #,##0_-;\-* #,##0_-;_-* &quot;-&quot;??_-;_-@_-"/>
    </dxf>
    <dxf>
      <numFmt numFmtId="166" formatCode="#,##0_ ;\-#,##0\ "/>
    </dxf>
    <dxf>
      <numFmt numFmtId="13" formatCode="0%"/>
    </dxf>
    <dxf>
      <numFmt numFmtId="165" formatCode="_-* #,##0_-;\-* #,##0_-;_-* &quot;-&quot;??_-;_-@_-"/>
    </dxf>
    <dxf>
      <numFmt numFmtId="3" formatCode="#,##0"/>
    </dxf>
    <dxf>
      <alignment horizontal="center"/>
    </dxf>
    <dxf>
      <numFmt numFmtId="13" formatCode="0%"/>
    </dxf>
    <dxf>
      <numFmt numFmtId="13" formatCode="0%"/>
      <alignment horizontal="left"/>
    </dxf>
    <dxf>
      <alignment horizontal="left"/>
    </dxf>
    <dxf>
      <numFmt numFmtId="13" formatCode="0%"/>
    </dxf>
    <dxf>
      <numFmt numFmtId="13" formatCode="0%"/>
      <alignment horizontal="left"/>
    </dxf>
    <dxf>
      <alignment horizontal="left"/>
    </dxf>
    <dxf>
      <numFmt numFmtId="13" formatCode="0%"/>
    </dxf>
    <dxf>
      <numFmt numFmtId="13" formatCode="0%"/>
      <alignment horizontal="left"/>
    </dxf>
    <dxf>
      <alignment horizontal="left"/>
    </dxf>
    <dxf>
      <numFmt numFmtId="13" formatCode="0%"/>
    </dxf>
    <dxf>
      <alignment horizontal="left"/>
    </dxf>
    <dxf>
      <numFmt numFmtId="13" formatCode="0%"/>
    </dxf>
    <dxf>
      <numFmt numFmtId="13" formatCode="0%"/>
      <alignment horizontal="left"/>
    </dxf>
    <dxf>
      <alignment horizontal="left"/>
    </dxf>
    <dxf>
      <numFmt numFmtId="13" formatCode="0%"/>
    </dxf>
    <dxf>
      <alignment horizontal="left"/>
    </dxf>
    <dxf>
      <numFmt numFmtId="13" formatCode="0%"/>
    </dxf>
    <dxf>
      <numFmt numFmtId="13" formatCode="0%"/>
      <alignment horizontal="left"/>
    </dxf>
    <dxf>
      <alignment horizontal="lef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fill>
        <patternFill patternType="none">
          <fgColor indexed="64"/>
          <bgColor indexed="65"/>
        </patternFill>
      </fill>
      <alignment horizontal="general" vertical="bottom" textRotation="0" wrapText="0" indent="0" justifyLastLine="0" shrinkToFit="0" readingOrder="0"/>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numFmt numFmtId="13" formatCode="0%"/>
      <fill>
        <patternFill patternType="solid">
          <fgColor indexed="64"/>
          <bgColor theme="0"/>
        </patternFill>
      </fill>
      <alignment horizontal="right"/>
    </dxf>
    <dxf>
      <alignment horizontal="right"/>
    </dxf>
    <dxf>
      <numFmt numFmtId="13" formatCode="0%"/>
      <fill>
        <patternFill patternType="solid">
          <fgColor indexed="64"/>
          <bgColor theme="0"/>
        </patternFill>
      </fill>
    </dxf>
    <dxf>
      <numFmt numFmtId="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3" formatCode="0%"/>
    </dxf>
    <dxf>
      <numFmt numFmtId="13" formatCode="0%"/>
    </dxf>
    <dxf>
      <numFmt numFmtId="13" formatCode="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dxf>
    <dxf>
      <numFmt numFmtId="1" formatCode="0"/>
    </dxf>
    <dxf>
      <numFmt numFmtId="13" formatCode="0%"/>
    </dxf>
    <dxf>
      <numFmt numFmtId="1" formatCode="0"/>
    </dxf>
    <dxf>
      <numFmt numFmtId="13" formatCode="0%"/>
    </dxf>
    <dxf>
      <numFmt numFmtId="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s>
  <tableStyles count="0" defaultTableStyle="TableStyleMedium2" defaultPivotStyle="PivotStyleLight16"/>
  <colors>
    <mruColors>
      <color rgb="FFECF3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месяцу!Цена</c:name>
    <c:fmtId val="4"/>
  </c:pivotSource>
  <c:chart>
    <c:autoTitleDeleted val="0"/>
    <c:pivotFmts>
      <c:pivotFmt>
        <c:idx val="0"/>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0325">
            <a:solidFill>
              <a:schemeClr val="accent1"/>
            </a:solidFill>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9922975277312"/>
          <c:y val="0.18532601631070594"/>
          <c:w val="0.74919354121816195"/>
          <c:h val="0.77519710182605306"/>
        </c:manualLayout>
      </c:layout>
      <c:barChart>
        <c:barDir val="bar"/>
        <c:grouping val="stacked"/>
        <c:varyColors val="0"/>
        <c:ser>
          <c:idx val="0"/>
          <c:order val="0"/>
          <c:tx>
            <c:strRef>
              <c:f>'К прошлому месяцу'!$H$4</c:f>
              <c:strCache>
                <c:ptCount val="1"/>
                <c:pt idx="0">
                  <c:v>Цена</c:v>
                </c:pt>
              </c:strCache>
            </c:strRef>
          </c:tx>
          <c:spPr>
            <a:solidFill>
              <a:schemeClr val="accent1"/>
            </a:solidFill>
            <a:ln w="60325">
              <a:solidFill>
                <a:schemeClr val="accent1"/>
              </a:solidFill>
            </a:ln>
            <a:effectLst/>
          </c:spPr>
          <c:invertIfNegative val="0"/>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 прошлому месяцу'!$H$4</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месяцу'!$H$4</c:f>
              <c:numCache>
                <c:formatCode>#\ ##0_ ;\-#\ ##0\ </c:formatCode>
                <c:ptCount val="9"/>
                <c:pt idx="0">
                  <c:v>301401.5354857652</c:v>
                </c:pt>
                <c:pt idx="1">
                  <c:v>390426.86223253259</c:v>
                </c:pt>
                <c:pt idx="2">
                  <c:v>348719.96547182067</c:v>
                </c:pt>
                <c:pt idx="3">
                  <c:v>321601.43818400661</c:v>
                </c:pt>
                <c:pt idx="4">
                  <c:v>341954.07260854339</c:v>
                </c:pt>
                <c:pt idx="5">
                  <c:v>691577.06056553405</c:v>
                </c:pt>
                <c:pt idx="6">
                  <c:v>293796.85927651142</c:v>
                </c:pt>
                <c:pt idx="7">
                  <c:v>347494.20654323848</c:v>
                </c:pt>
                <c:pt idx="8">
                  <c:v>319461.35296923999</c:v>
                </c:pt>
              </c:numCache>
            </c:numRef>
          </c:val>
          <c:extLst>
            <c:ext xmlns:c16="http://schemas.microsoft.com/office/drawing/2014/chart" uri="{C3380CC4-5D6E-409C-BE32-E72D297353CC}">
              <c16:uniqueId val="{00000001-0401-41C2-B581-DCB8CC667792}"/>
            </c:ext>
          </c:extLst>
        </c:ser>
        <c:ser>
          <c:idx val="1"/>
          <c:order val="1"/>
          <c:tx>
            <c:strRef>
              <c:f>'К прошлому месяцу'!$H$4</c:f>
              <c:strCache>
                <c:ptCount val="1"/>
                <c:pt idx="0">
                  <c:v>Изменение</c:v>
                </c:pt>
              </c:strCache>
            </c:strRef>
          </c:tx>
          <c:spPr>
            <a:solidFill>
              <a:schemeClr val="accent2"/>
            </a:solidFill>
            <a:ln>
              <a:noFill/>
            </a:ln>
            <a:effectLst/>
          </c:spPr>
          <c:invertIfNegative val="0"/>
          <c:cat>
            <c:strRef>
              <c:f>'К прошлому месяцу'!$H$4</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месяцу'!$H$4</c:f>
              <c:numCache>
                <c:formatCode>0%</c:formatCode>
                <c:ptCount val="9"/>
                <c:pt idx="0">
                  <c:v>-1.2197246147880314E-3</c:v>
                </c:pt>
                <c:pt idx="1">
                  <c:v>2.0027905419195413E-2</c:v>
                </c:pt>
                <c:pt idx="2">
                  <c:v>3.7453717291595634E-3</c:v>
                </c:pt>
                <c:pt idx="3">
                  <c:v>2.506242202195974E-4</c:v>
                </c:pt>
                <c:pt idx="4">
                  <c:v>3.9958797424599624E-3</c:v>
                </c:pt>
                <c:pt idx="5">
                  <c:v>-7.2880181495893481E-3</c:v>
                </c:pt>
                <c:pt idx="6">
                  <c:v>1.3239759555428776E-2</c:v>
                </c:pt>
                <c:pt idx="7">
                  <c:v>3.8882692643156247E-3</c:v>
                </c:pt>
                <c:pt idx="8">
                  <c:v>7.3730991670513113E-3</c:v>
                </c:pt>
              </c:numCache>
            </c:numRef>
          </c:val>
          <c:extLst>
            <c:ext xmlns:c16="http://schemas.microsoft.com/office/drawing/2014/chart" uri="{C3380CC4-5D6E-409C-BE32-E72D297353CC}">
              <c16:uniqueId val="{00000002-0401-41C2-B581-DCB8CC667792}"/>
            </c:ext>
          </c:extLst>
        </c:ser>
        <c:dLbls>
          <c:showLegendKey val="0"/>
          <c:showVal val="0"/>
          <c:showCatName val="0"/>
          <c:showSerName val="0"/>
          <c:showPercent val="0"/>
          <c:showBubbleSize val="0"/>
        </c:dLbls>
        <c:gapWidth val="150"/>
        <c:overlap val="100"/>
        <c:axId val="430710368"/>
        <c:axId val="430695808"/>
      </c:barChart>
      <c:catAx>
        <c:axId val="4307103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695808"/>
        <c:crosses val="autoZero"/>
        <c:auto val="1"/>
        <c:lblAlgn val="ctr"/>
        <c:lblOffset val="100"/>
        <c:noMultiLvlLbl val="0"/>
      </c:catAx>
      <c:valAx>
        <c:axId val="430695808"/>
        <c:scaling>
          <c:orientation val="minMax"/>
        </c:scaling>
        <c:delete val="1"/>
        <c:axPos val="t"/>
        <c:title>
          <c:tx>
            <c:strRef>
              <c:f>'К прошлому месяцу'!$H$4</c:f>
              <c:strCache>
                <c:ptCount val="1"/>
                <c:pt idx="0">
                  <c:v>Средняя взвешенная цена квадратного метра  по административным округам Москвы</c:v>
                </c:pt>
              </c:strCache>
            </c:strRef>
          </c:tx>
          <c:layout>
            <c:manualLayout>
              <c:xMode val="edge"/>
              <c:yMode val="edge"/>
              <c:x val="0.10710514126910606"/>
              <c:y val="2.5510204081632654E-2"/>
            </c:manualLayout>
          </c:layout>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ru-RU"/>
            </a:p>
          </c:txPr>
        </c:title>
        <c:numFmt formatCode="#\ ##0_ ;\-#\ ##0\ " sourceLinked="1"/>
        <c:majorTickMark val="none"/>
        <c:minorTickMark val="none"/>
        <c:tickLblPos val="nextTo"/>
        <c:crossAx val="430710368"/>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году!Цена</c:name>
    <c:fmtId val="10"/>
  </c:pivotSource>
  <c:chart>
    <c:title>
      <c:tx>
        <c:strRef>
          <c:f>'К прошлому году'!$B$1</c:f>
          <c:strCache>
            <c:ptCount val="1"/>
            <c:pt idx="0">
              <c:v>Изменение цены относительно месяца 2023 года</c:v>
            </c:pt>
          </c:strCache>
        </c:strRef>
      </c:tx>
      <c:layout>
        <c:manualLayout>
          <c:xMode val="edge"/>
          <c:yMode val="edge"/>
          <c:x val="0.19788004065968856"/>
          <c:y val="4.5917383349092178E-2"/>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01365757410794E-2"/>
          <c:y val="0.17480688139795159"/>
          <c:w val="0.8731880004660173"/>
          <c:h val="0.66671792875748859"/>
        </c:manualLayout>
      </c:layout>
      <c:barChart>
        <c:barDir val="col"/>
        <c:grouping val="clustered"/>
        <c:varyColors val="0"/>
        <c:ser>
          <c:idx val="0"/>
          <c:order val="0"/>
          <c:tx>
            <c:strRef>
              <c:f>'К прошлому году'!$B$1</c:f>
              <c:strCache>
                <c:ptCount val="1"/>
                <c:pt idx="0">
                  <c:v>2023 - авг</c:v>
                </c:pt>
              </c:strCache>
            </c:strRef>
          </c:tx>
          <c:spPr>
            <a:solidFill>
              <a:schemeClr val="accent1"/>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271753.43139286892</c:v>
                </c:pt>
                <c:pt idx="1">
                  <c:v>340731.0975671148</c:v>
                </c:pt>
                <c:pt idx="2">
                  <c:v>220945.6460367316</c:v>
                </c:pt>
                <c:pt idx="3">
                  <c:v>314128.71891417587</c:v>
                </c:pt>
                <c:pt idx="4">
                  <c:v>291580.60943401378</c:v>
                </c:pt>
                <c:pt idx="5">
                  <c:v>315410.97976804298</c:v>
                </c:pt>
                <c:pt idx="6">
                  <c:v>574623.85455811245</c:v>
                </c:pt>
                <c:pt idx="7">
                  <c:v>265768.53769819078</c:v>
                </c:pt>
                <c:pt idx="8">
                  <c:v>307525.38589723379</c:v>
                </c:pt>
                <c:pt idx="9">
                  <c:v>286060.81074433221</c:v>
                </c:pt>
              </c:numCache>
            </c:numRef>
          </c:val>
          <c:extLst>
            <c:ext xmlns:c16="http://schemas.microsoft.com/office/drawing/2014/chart" uri="{C3380CC4-5D6E-409C-BE32-E72D297353CC}">
              <c16:uniqueId val="{00000000-0759-48C6-B06D-EA3BF7879D88}"/>
            </c:ext>
          </c:extLst>
        </c:ser>
        <c:ser>
          <c:idx val="1"/>
          <c:order val="1"/>
          <c:tx>
            <c:strRef>
              <c:f>'К прошлому году'!$B$1</c:f>
              <c:strCache>
                <c:ptCount val="1"/>
                <c:pt idx="0">
                  <c:v>2024 - авг</c:v>
                </c:pt>
              </c:strCache>
            </c:strRef>
          </c:tx>
          <c:spPr>
            <a:solidFill>
              <a:schemeClr val="accent1"/>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286025.57234542491</c:v>
                </c:pt>
                <c:pt idx="1">
                  <c:v>365128.20366535801</c:v>
                </c:pt>
                <c:pt idx="2">
                  <c:v>246027.25758545179</c:v>
                </c:pt>
                <c:pt idx="3">
                  <c:v>331132.64062906388</c:v>
                </c:pt>
                <c:pt idx="4">
                  <c:v>304370.83287192642</c:v>
                </c:pt>
                <c:pt idx="5">
                  <c:v>332583.65265418711</c:v>
                </c:pt>
                <c:pt idx="6">
                  <c:v>619052.451207601</c:v>
                </c:pt>
                <c:pt idx="7">
                  <c:v>282380.45405822009</c:v>
                </c:pt>
                <c:pt idx="8">
                  <c:v>326994.16273948271</c:v>
                </c:pt>
                <c:pt idx="9">
                  <c:v>303447.717979501</c:v>
                </c:pt>
              </c:numCache>
            </c:numRef>
          </c:val>
          <c:extLst>
            <c:ext xmlns:c16="http://schemas.microsoft.com/office/drawing/2014/chart" uri="{C3380CC4-5D6E-409C-BE32-E72D297353CC}">
              <c16:uniqueId val="{00000001-460F-43FB-B06F-F5E97C33A4A9}"/>
            </c:ext>
          </c:extLst>
        </c:ser>
        <c:ser>
          <c:idx val="2"/>
          <c:order val="2"/>
          <c:tx>
            <c:strRef>
              <c:f>'К прошлому году'!$B$1</c:f>
              <c:strCache>
                <c:ptCount val="1"/>
                <c:pt idx="0">
                  <c:v>2025 - авг</c:v>
                </c:pt>
              </c:strCache>
            </c:strRef>
          </c:tx>
          <c:spPr>
            <a:solidFill>
              <a:schemeClr val="accent3"/>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301401.5354857652</c:v>
                </c:pt>
                <c:pt idx="1">
                  <c:v>390426.86223253259</c:v>
                </c:pt>
                <c:pt idx="2">
                  <c:v>237173.07507765331</c:v>
                </c:pt>
                <c:pt idx="3">
                  <c:v>348719.96547182067</c:v>
                </c:pt>
                <c:pt idx="4">
                  <c:v>321601.43818400661</c:v>
                </c:pt>
                <c:pt idx="5">
                  <c:v>341954.07260854339</c:v>
                </c:pt>
                <c:pt idx="6">
                  <c:v>691577.06056553405</c:v>
                </c:pt>
                <c:pt idx="7">
                  <c:v>293796.85927651142</c:v>
                </c:pt>
                <c:pt idx="8">
                  <c:v>347494.20654323848</c:v>
                </c:pt>
                <c:pt idx="9">
                  <c:v>319461.35296923999</c:v>
                </c:pt>
              </c:numCache>
            </c:numRef>
          </c:val>
          <c:extLst>
            <c:ext xmlns:c16="http://schemas.microsoft.com/office/drawing/2014/chart" uri="{C3380CC4-5D6E-409C-BE32-E72D297353CC}">
              <c16:uniqueId val="{00000000-B157-42ED-8674-E0539C6DF06C}"/>
            </c:ext>
          </c:extLst>
        </c:ser>
        <c:dLbls>
          <c:showLegendKey val="0"/>
          <c:showVal val="0"/>
          <c:showCatName val="0"/>
          <c:showSerName val="0"/>
          <c:showPercent val="0"/>
          <c:showBubbleSize val="0"/>
        </c:dLbls>
        <c:gapWidth val="219"/>
        <c:overlap val="-27"/>
        <c:axId val="337463568"/>
        <c:axId val="337469808"/>
      </c:barChart>
      <c:catAx>
        <c:axId val="33746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7469808"/>
        <c:crosses val="autoZero"/>
        <c:auto val="1"/>
        <c:lblAlgn val="ctr"/>
        <c:lblOffset val="100"/>
        <c:noMultiLvlLbl val="0"/>
      </c:catAx>
      <c:valAx>
        <c:axId val="337469808"/>
        <c:scaling>
          <c:orientation val="minMax"/>
        </c:scaling>
        <c:delete val="0"/>
        <c:axPos val="l"/>
        <c:majorGridlines>
          <c:spPr>
            <a:ln w="9525" cap="flat" cmpd="sng" algn="ctr">
              <a:solidFill>
                <a:schemeClr val="tx1">
                  <a:lumMod val="15000"/>
                  <a:lumOff val="85000"/>
                </a:schemeClr>
              </a:solidFill>
              <a:round/>
            </a:ln>
            <a:effectLst/>
          </c:spPr>
        </c:majorGridlines>
        <c:numFmt formatCode="#\ ##0_ ;\-#\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7463568"/>
        <c:crosses val="autoZero"/>
        <c:crossBetween val="between"/>
      </c:valAx>
      <c:spPr>
        <a:noFill/>
        <a:ln>
          <a:noFill/>
        </a:ln>
        <a:effectLst/>
      </c:spPr>
    </c:plotArea>
    <c:legend>
      <c:legendPos val="r"/>
      <c:layout>
        <c:manualLayout>
          <c:xMode val="edge"/>
          <c:yMode val="edge"/>
          <c:x val="0.71779415802479574"/>
          <c:y val="3.3226836810921048E-2"/>
          <c:w val="8.7978784342628638E-2"/>
          <c:h val="0.18873682575905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месяцу!Объем</c:name>
    <c:fmtId val="9"/>
  </c:pivotSource>
  <c:chart>
    <c:title>
      <c:tx>
        <c:strRef>
          <c:f>'К прошлому месяцу'!$A$1</c:f>
          <c:strCache>
            <c:ptCount val="1"/>
            <c:pt idx="0">
              <c:v>Объем предложения 
по административным округам Москвы</c:v>
            </c:pt>
          </c:strCache>
        </c:strRef>
      </c:tx>
      <c:overlay val="0"/>
      <c:spPr>
        <a:noFill/>
        <a:ln>
          <a:noFill/>
        </a:ln>
        <a:effectLst/>
      </c:spPr>
      <c:txPr>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solidFill>
            <a:schemeClr val="accent2"/>
          </a:solidFill>
          <a:ln>
            <a:noFill/>
          </a:ln>
          <a:effectLst/>
        </c:spPr>
      </c:pivotFmt>
    </c:pivotFmts>
    <c:plotArea>
      <c:layout>
        <c:manualLayout>
          <c:layoutTarget val="inner"/>
          <c:xMode val="edge"/>
          <c:yMode val="edge"/>
          <c:x val="0.3066520631174916"/>
          <c:y val="0.20618245489277393"/>
          <c:w val="0.6933479368825084"/>
          <c:h val="0.72624763819455174"/>
        </c:manualLayout>
      </c:layout>
      <c:barChart>
        <c:barDir val="bar"/>
        <c:grouping val="stacked"/>
        <c:varyColors val="0"/>
        <c:ser>
          <c:idx val="0"/>
          <c:order val="0"/>
          <c:tx>
            <c:strRef>
              <c:f>'К прошлому месяцу'!$A$1</c:f>
              <c:strCache>
                <c:ptCount val="1"/>
                <c:pt idx="0">
                  <c:v>Объем</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 прошлому месяцу'!$A$1</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месяцу'!$A$1</c:f>
              <c:numCache>
                <c:formatCode>#,##0</c:formatCode>
                <c:ptCount val="9"/>
                <c:pt idx="0">
                  <c:v>3771</c:v>
                </c:pt>
                <c:pt idx="1">
                  <c:v>4115</c:v>
                </c:pt>
                <c:pt idx="2">
                  <c:v>3596</c:v>
                </c:pt>
                <c:pt idx="3">
                  <c:v>3408</c:v>
                </c:pt>
                <c:pt idx="4">
                  <c:v>2270</c:v>
                </c:pt>
                <c:pt idx="5">
                  <c:v>4466</c:v>
                </c:pt>
                <c:pt idx="6">
                  <c:v>3588</c:v>
                </c:pt>
                <c:pt idx="7">
                  <c:v>3801</c:v>
                </c:pt>
                <c:pt idx="8">
                  <c:v>3865</c:v>
                </c:pt>
              </c:numCache>
            </c:numRef>
          </c:val>
          <c:extLst>
            <c:ext xmlns:c16="http://schemas.microsoft.com/office/drawing/2014/chart" uri="{C3380CC4-5D6E-409C-BE32-E72D297353CC}">
              <c16:uniqueId val="{00000001-A566-4FEF-8318-AE135553F133}"/>
            </c:ext>
          </c:extLst>
        </c:ser>
        <c:ser>
          <c:idx val="1"/>
          <c:order val="1"/>
          <c:tx>
            <c:strRef>
              <c:f>'К прошлому месяцу'!$A$1</c:f>
              <c:strCache>
                <c:ptCount val="1"/>
                <c:pt idx="0">
                  <c:v>Изменение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 прошлому месяцу'!$A$1</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месяцу'!$A$1</c:f>
              <c:numCache>
                <c:formatCode>0%</c:formatCode>
                <c:ptCount val="9"/>
                <c:pt idx="0">
                  <c:v>-3.1587057010785791E-2</c:v>
                </c:pt>
                <c:pt idx="1">
                  <c:v>-2.1823472356935492E-3</c:v>
                </c:pt>
                <c:pt idx="2">
                  <c:v>-2.7731558513588439E-3</c:v>
                </c:pt>
                <c:pt idx="3">
                  <c:v>5.8719906048154691E-4</c:v>
                </c:pt>
                <c:pt idx="4">
                  <c:v>6.6518847006651338E-3</c:v>
                </c:pt>
                <c:pt idx="5">
                  <c:v>-7.1142730102267127E-3</c:v>
                </c:pt>
                <c:pt idx="6">
                  <c:v>1.2415349887133109E-2</c:v>
                </c:pt>
                <c:pt idx="7">
                  <c:v>-1.706749418153608E-2</c:v>
                </c:pt>
                <c:pt idx="8">
                  <c:v>-1.8786494034018775E-2</c:v>
                </c:pt>
              </c:numCache>
            </c:numRef>
          </c:val>
          <c:extLst>
            <c:ext xmlns:c16="http://schemas.microsoft.com/office/drawing/2014/chart" uri="{C3380CC4-5D6E-409C-BE32-E72D297353CC}">
              <c16:uniqueId val="{00000002-A566-4FEF-8318-AE135553F133}"/>
            </c:ext>
          </c:extLst>
        </c:ser>
        <c:dLbls>
          <c:dLblPos val="ctr"/>
          <c:showLegendKey val="0"/>
          <c:showVal val="1"/>
          <c:showCatName val="0"/>
          <c:showSerName val="0"/>
          <c:showPercent val="0"/>
          <c:showBubbleSize val="0"/>
        </c:dLbls>
        <c:gapWidth val="30"/>
        <c:overlap val="100"/>
        <c:axId val="1474851855"/>
        <c:axId val="1474838543"/>
      </c:barChart>
      <c:catAx>
        <c:axId val="14748518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ru-RU"/>
          </a:p>
        </c:txPr>
        <c:crossAx val="1474838543"/>
        <c:crosses val="autoZero"/>
        <c:auto val="1"/>
        <c:lblAlgn val="ctr"/>
        <c:lblOffset val="600"/>
        <c:noMultiLvlLbl val="0"/>
      </c:catAx>
      <c:valAx>
        <c:axId val="1474838543"/>
        <c:scaling>
          <c:orientation val="minMax"/>
        </c:scaling>
        <c:delete val="1"/>
        <c:axPos val="t"/>
        <c:numFmt formatCode="#,##0" sourceLinked="1"/>
        <c:majorTickMark val="none"/>
        <c:minorTickMark val="none"/>
        <c:tickLblPos val="nextTo"/>
        <c:crossAx val="147485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отправке.xlsx]Динамика!Динамика</c:name>
    <c:fmtId val="12"/>
  </c:pivotSource>
  <c:chart>
    <c:title>
      <c:tx>
        <c:strRef>
          <c:f>Динамика!$B$2</c:f>
          <c:strCache>
            <c:ptCount val="1"/>
            <c:pt idx="0">
              <c:v>Динамика цен выставления по административным округам Москвы</c:v>
            </c:pt>
          </c:strCache>
        </c:strRef>
      </c:tx>
      <c:layout>
        <c:manualLayout>
          <c:xMode val="edge"/>
          <c:yMode val="edge"/>
          <c:x val="0.1023719686518753"/>
          <c:y val="2.5423728813559324E-2"/>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Динамика!$B$1</c:f>
              <c:strCache>
                <c:ptCount val="1"/>
                <c:pt idx="0">
                  <c:v>Восточный АО</c:v>
                </c:pt>
              </c:strCache>
            </c:strRef>
          </c:tx>
          <c:spPr>
            <a:ln w="28575" cap="rnd">
              <a:solidFill>
                <a:schemeClr val="accent1"/>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222408.36348782439</c:v>
                </c:pt>
                <c:pt idx="1">
                  <c:v>224060</c:v>
                </c:pt>
                <c:pt idx="2">
                  <c:v>229760.2050391048</c:v>
                </c:pt>
                <c:pt idx="3">
                  <c:v>231824.103198336</c:v>
                </c:pt>
                <c:pt idx="4">
                  <c:v>236146.7532297835</c:v>
                </c:pt>
                <c:pt idx="5">
                  <c:v>230983.15311796564</c:v>
                </c:pt>
                <c:pt idx="6">
                  <c:v>239462</c:v>
                </c:pt>
                <c:pt idx="7">
                  <c:v>243817.904226457</c:v>
                </c:pt>
                <c:pt idx="8">
                  <c:v>249485.8436743115</c:v>
                </c:pt>
                <c:pt idx="9">
                  <c:v>253346.3276842862</c:v>
                </c:pt>
                <c:pt idx="10">
                  <c:v>256232</c:v>
                </c:pt>
                <c:pt idx="11">
                  <c:v>258976.40443368099</c:v>
                </c:pt>
                <c:pt idx="12">
                  <c:v>267946.63172765332</c:v>
                </c:pt>
                <c:pt idx="13">
                  <c:v>270974.11240620178</c:v>
                </c:pt>
                <c:pt idx="14">
                  <c:v>278463.86159667029</c:v>
                </c:pt>
                <c:pt idx="15">
                  <c:v>280226.01933808258</c:v>
                </c:pt>
                <c:pt idx="16">
                  <c:v>275858.12621868192</c:v>
                </c:pt>
                <c:pt idx="17">
                  <c:v>272522.22327429499</c:v>
                </c:pt>
                <c:pt idx="18">
                  <c:v>269980.5322232318</c:v>
                </c:pt>
                <c:pt idx="19">
                  <c:v>268038.24546257441</c:v>
                </c:pt>
                <c:pt idx="20">
                  <c:v>266117.43562820752</c:v>
                </c:pt>
                <c:pt idx="21">
                  <c:v>261889.18829567861</c:v>
                </c:pt>
                <c:pt idx="22">
                  <c:v>258588.9765727123</c:v>
                </c:pt>
                <c:pt idx="23">
                  <c:v>258297.76694470219</c:v>
                </c:pt>
                <c:pt idx="24">
                  <c:v>259332.9226559925</c:v>
                </c:pt>
                <c:pt idx="25">
                  <c:v>259473.58519021151</c:v>
                </c:pt>
                <c:pt idx="26">
                  <c:v>259217.51369044819</c:v>
                </c:pt>
                <c:pt idx="27">
                  <c:v>260149.9673409111</c:v>
                </c:pt>
                <c:pt idx="28">
                  <c:v>262704.28325107589</c:v>
                </c:pt>
                <c:pt idx="29">
                  <c:v>265501.56664034212</c:v>
                </c:pt>
                <c:pt idx="30">
                  <c:v>266289.44816882262</c:v>
                </c:pt>
                <c:pt idx="31">
                  <c:v>271753.43139286892</c:v>
                </c:pt>
                <c:pt idx="32">
                  <c:v>277235.93367614498</c:v>
                </c:pt>
                <c:pt idx="33">
                  <c:v>282293.97338899889</c:v>
                </c:pt>
                <c:pt idx="34">
                  <c:v>283897.2503487455</c:v>
                </c:pt>
                <c:pt idx="35">
                  <c:v>284566.58050260629</c:v>
                </c:pt>
                <c:pt idx="36">
                  <c:v>289262.51425630139</c:v>
                </c:pt>
                <c:pt idx="37">
                  <c:v>289294.03604298149</c:v>
                </c:pt>
                <c:pt idx="38">
                  <c:v>288247.75322451221</c:v>
                </c:pt>
                <c:pt idx="39">
                  <c:v>288479.34075166669</c:v>
                </c:pt>
                <c:pt idx="40">
                  <c:v>288968.10491984768</c:v>
                </c:pt>
                <c:pt idx="41">
                  <c:v>287676.32622962177</c:v>
                </c:pt>
                <c:pt idx="42">
                  <c:v>286793.21137159038</c:v>
                </c:pt>
                <c:pt idx="43">
                  <c:v>286025.57234542491</c:v>
                </c:pt>
                <c:pt idx="44">
                  <c:v>287409.28199236043</c:v>
                </c:pt>
                <c:pt idx="45">
                  <c:v>288992.82439911942</c:v>
                </c:pt>
                <c:pt idx="46">
                  <c:v>289091.93327233038</c:v>
                </c:pt>
                <c:pt idx="47">
                  <c:v>289980.25083942019</c:v>
                </c:pt>
                <c:pt idx="48">
                  <c:v>292003.78639468091</c:v>
                </c:pt>
                <c:pt idx="49">
                  <c:v>295857.63627712522</c:v>
                </c:pt>
                <c:pt idx="50">
                  <c:v>296711.33436988131</c:v>
                </c:pt>
                <c:pt idx="51">
                  <c:v>297368.20961400057</c:v>
                </c:pt>
                <c:pt idx="52">
                  <c:v>299179.8334931166</c:v>
                </c:pt>
                <c:pt idx="53">
                  <c:v>300411.15172712231</c:v>
                </c:pt>
                <c:pt idx="54">
                  <c:v>301769.6113086734</c:v>
                </c:pt>
                <c:pt idx="55">
                  <c:v>301401.5354857652</c:v>
                </c:pt>
              </c:numCache>
            </c:numRef>
          </c:val>
          <c:smooth val="0"/>
          <c:extLst>
            <c:ext xmlns:c16="http://schemas.microsoft.com/office/drawing/2014/chart" uri="{C3380CC4-5D6E-409C-BE32-E72D297353CC}">
              <c16:uniqueId val="{00000000-9A05-4829-8D36-2CEE3A22F411}"/>
            </c:ext>
          </c:extLst>
        </c:ser>
        <c:ser>
          <c:idx val="1"/>
          <c:order val="1"/>
          <c:tx>
            <c:strRef>
              <c:f>Динамика!$B$1</c:f>
              <c:strCache>
                <c:ptCount val="1"/>
                <c:pt idx="0">
                  <c:v>Западный АО</c:v>
                </c:pt>
              </c:strCache>
            </c:strRef>
          </c:tx>
          <c:spPr>
            <a:ln w="28575" cap="rnd">
              <a:solidFill>
                <a:schemeClr val="accent2"/>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288669.41646255122</c:v>
                </c:pt>
                <c:pt idx="1">
                  <c:v>290704</c:v>
                </c:pt>
                <c:pt idx="2">
                  <c:v>294686.30042326043</c:v>
                </c:pt>
                <c:pt idx="3">
                  <c:v>299003.19790890749</c:v>
                </c:pt>
                <c:pt idx="4">
                  <c:v>303562.77174101147</c:v>
                </c:pt>
                <c:pt idx="5">
                  <c:v>307644.74547330698</c:v>
                </c:pt>
                <c:pt idx="6">
                  <c:v>307365.87509837101</c:v>
                </c:pt>
                <c:pt idx="7">
                  <c:v>313986.35700671421</c:v>
                </c:pt>
                <c:pt idx="8">
                  <c:v>318405.32816914219</c:v>
                </c:pt>
                <c:pt idx="9">
                  <c:v>321496.05009821663</c:v>
                </c:pt>
                <c:pt idx="10">
                  <c:v>326170</c:v>
                </c:pt>
                <c:pt idx="11">
                  <c:v>330302.86080593202</c:v>
                </c:pt>
                <c:pt idx="12">
                  <c:v>340527.33672739542</c:v>
                </c:pt>
                <c:pt idx="13">
                  <c:v>346948.1862733243</c:v>
                </c:pt>
                <c:pt idx="14">
                  <c:v>363085.50828029233</c:v>
                </c:pt>
                <c:pt idx="15">
                  <c:v>367420.52702621918</c:v>
                </c:pt>
                <c:pt idx="16">
                  <c:v>359294.42630135908</c:v>
                </c:pt>
                <c:pt idx="17">
                  <c:v>348500.65509742312</c:v>
                </c:pt>
                <c:pt idx="18">
                  <c:v>343912.83252685261</c:v>
                </c:pt>
                <c:pt idx="19">
                  <c:v>340004.22844694433</c:v>
                </c:pt>
                <c:pt idx="20">
                  <c:v>336424.29970319528</c:v>
                </c:pt>
                <c:pt idx="21">
                  <c:v>330306.84382925881</c:v>
                </c:pt>
                <c:pt idx="22">
                  <c:v>326518.66673538182</c:v>
                </c:pt>
                <c:pt idx="23">
                  <c:v>324768.07093273278</c:v>
                </c:pt>
                <c:pt idx="24">
                  <c:v>326279.82855966821</c:v>
                </c:pt>
                <c:pt idx="25">
                  <c:v>322496.14762979379</c:v>
                </c:pt>
                <c:pt idx="26">
                  <c:v>325831.62776930293</c:v>
                </c:pt>
                <c:pt idx="27">
                  <c:v>326518.58120994607</c:v>
                </c:pt>
                <c:pt idx="28">
                  <c:v>327429.4116643655</c:v>
                </c:pt>
                <c:pt idx="29">
                  <c:v>328390.28514200193</c:v>
                </c:pt>
                <c:pt idx="30">
                  <c:v>333528.81317852531</c:v>
                </c:pt>
                <c:pt idx="31">
                  <c:v>340731.0975671148</c:v>
                </c:pt>
                <c:pt idx="32">
                  <c:v>349255.28392081911</c:v>
                </c:pt>
                <c:pt idx="33">
                  <c:v>352808.01997684769</c:v>
                </c:pt>
                <c:pt idx="34">
                  <c:v>358307.04182195792</c:v>
                </c:pt>
                <c:pt idx="35">
                  <c:v>361334.5781139374</c:v>
                </c:pt>
                <c:pt idx="36">
                  <c:v>363757.26054850942</c:v>
                </c:pt>
                <c:pt idx="37">
                  <c:v>365488.45612006949</c:v>
                </c:pt>
                <c:pt idx="38">
                  <c:v>364124.99397040351</c:v>
                </c:pt>
                <c:pt idx="39">
                  <c:v>368219.18854266661</c:v>
                </c:pt>
                <c:pt idx="40">
                  <c:v>368799.48439855588</c:v>
                </c:pt>
                <c:pt idx="41">
                  <c:v>365693.23202531482</c:v>
                </c:pt>
                <c:pt idx="42">
                  <c:v>365502.5866583098</c:v>
                </c:pt>
                <c:pt idx="43">
                  <c:v>365128.20366535801</c:v>
                </c:pt>
                <c:pt idx="44">
                  <c:v>363986.05242072273</c:v>
                </c:pt>
                <c:pt idx="45">
                  <c:v>362538.29923184903</c:v>
                </c:pt>
                <c:pt idx="46">
                  <c:v>364445.73021905182</c:v>
                </c:pt>
                <c:pt idx="47">
                  <c:v>369502.27569141809</c:v>
                </c:pt>
                <c:pt idx="48">
                  <c:v>368329.72741063911</c:v>
                </c:pt>
                <c:pt idx="49">
                  <c:v>368955.45423507312</c:v>
                </c:pt>
                <c:pt idx="50">
                  <c:v>371943.62034706899</c:v>
                </c:pt>
                <c:pt idx="51">
                  <c:v>376505.26851884701</c:v>
                </c:pt>
                <c:pt idx="52">
                  <c:v>379696.244495266</c:v>
                </c:pt>
                <c:pt idx="53">
                  <c:v>386488.58184481232</c:v>
                </c:pt>
                <c:pt idx="54">
                  <c:v>382760.96188964648</c:v>
                </c:pt>
                <c:pt idx="55">
                  <c:v>390426.86223253259</c:v>
                </c:pt>
              </c:numCache>
            </c:numRef>
          </c:val>
          <c:smooth val="0"/>
          <c:extLst>
            <c:ext xmlns:c16="http://schemas.microsoft.com/office/drawing/2014/chart" uri="{C3380CC4-5D6E-409C-BE32-E72D297353CC}">
              <c16:uniqueId val="{00000001-9A05-4829-8D36-2CEE3A22F411}"/>
            </c:ext>
          </c:extLst>
        </c:ser>
        <c:ser>
          <c:idx val="2"/>
          <c:order val="2"/>
          <c:tx>
            <c:strRef>
              <c:f>Динамика!$B$1</c:f>
              <c:strCache>
                <c:ptCount val="1"/>
                <c:pt idx="0">
                  <c:v>Новомосковский</c:v>
                </c:pt>
              </c:strCache>
            </c:strRef>
          </c:tx>
          <c:spPr>
            <a:ln w="28575" cap="rnd">
              <a:solidFill>
                <a:schemeClr val="accent3"/>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169893.75244082001</c:v>
                </c:pt>
                <c:pt idx="1">
                  <c:v>166469</c:v>
                </c:pt>
                <c:pt idx="2">
                  <c:v>170101.71363001299</c:v>
                </c:pt>
                <c:pt idx="3">
                  <c:v>171331.37824459199</c:v>
                </c:pt>
                <c:pt idx="4">
                  <c:v>185143.76767959961</c:v>
                </c:pt>
                <c:pt idx="5">
                  <c:v>185631.433362765</c:v>
                </c:pt>
                <c:pt idx="6">
                  <c:v>189270</c:v>
                </c:pt>
                <c:pt idx="7">
                  <c:v>190978.5946016557</c:v>
                </c:pt>
                <c:pt idx="8">
                  <c:v>191949.76357757431</c:v>
                </c:pt>
                <c:pt idx="9">
                  <c:v>199505.4179037796</c:v>
                </c:pt>
                <c:pt idx="10">
                  <c:v>204239.18979340579</c:v>
                </c:pt>
                <c:pt idx="11">
                  <c:v>207782.7273838</c:v>
                </c:pt>
                <c:pt idx="12">
                  <c:v>209952.13364457179</c:v>
                </c:pt>
                <c:pt idx="13">
                  <c:v>212581.93896508319</c:v>
                </c:pt>
                <c:pt idx="14">
                  <c:v>221724.66943999371</c:v>
                </c:pt>
                <c:pt idx="15">
                  <c:v>224159.74462695079</c:v>
                </c:pt>
                <c:pt idx="16">
                  <c:v>224950.51592621111</c:v>
                </c:pt>
                <c:pt idx="17">
                  <c:v>223068.0169433133</c:v>
                </c:pt>
                <c:pt idx="18">
                  <c:v>218829.20562310121</c:v>
                </c:pt>
                <c:pt idx="19">
                  <c:v>217394.79671944631</c:v>
                </c:pt>
                <c:pt idx="20">
                  <c:v>219142.34026592321</c:v>
                </c:pt>
                <c:pt idx="21">
                  <c:v>218235.13738975261</c:v>
                </c:pt>
                <c:pt idx="22">
                  <c:v>213383.53864553969</c:v>
                </c:pt>
                <c:pt idx="23">
                  <c:v>213351.93392868809</c:v>
                </c:pt>
                <c:pt idx="24">
                  <c:v>214267.87892695851</c:v>
                </c:pt>
                <c:pt idx="25">
                  <c:v>215088.57304761501</c:v>
                </c:pt>
                <c:pt idx="26">
                  <c:v>216997.25024225019</c:v>
                </c:pt>
                <c:pt idx="27">
                  <c:v>216056.46931929531</c:v>
                </c:pt>
                <c:pt idx="28">
                  <c:v>213370.62512897881</c:v>
                </c:pt>
                <c:pt idx="29">
                  <c:v>214974.22752841661</c:v>
                </c:pt>
                <c:pt idx="30">
                  <c:v>218059.79304317909</c:v>
                </c:pt>
                <c:pt idx="31">
                  <c:v>220945.6460367316</c:v>
                </c:pt>
                <c:pt idx="32">
                  <c:v>224057.94029980301</c:v>
                </c:pt>
                <c:pt idx="33">
                  <c:v>224930.65665679009</c:v>
                </c:pt>
                <c:pt idx="34">
                  <c:v>225511.9671450966</c:v>
                </c:pt>
                <c:pt idx="35">
                  <c:v>225208.20038814619</c:v>
                </c:pt>
                <c:pt idx="36">
                  <c:v>227814.4215212173</c:v>
                </c:pt>
                <c:pt idx="37">
                  <c:v>229921.2919516268</c:v>
                </c:pt>
                <c:pt idx="38">
                  <c:v>229030.49457631609</c:v>
                </c:pt>
                <c:pt idx="39">
                  <c:v>227357.98053028231</c:v>
                </c:pt>
                <c:pt idx="40">
                  <c:v>226554.22661148949</c:v>
                </c:pt>
                <c:pt idx="41">
                  <c:v>237888.0335267788</c:v>
                </c:pt>
                <c:pt idx="42">
                  <c:v>247623.3037515528</c:v>
                </c:pt>
                <c:pt idx="43">
                  <c:v>246027.25758545179</c:v>
                </c:pt>
                <c:pt idx="44">
                  <c:v>240619.63308372049</c:v>
                </c:pt>
                <c:pt idx="45">
                  <c:v>241863.84205128581</c:v>
                </c:pt>
                <c:pt idx="46">
                  <c:v>244208.32468270959</c:v>
                </c:pt>
                <c:pt idx="47">
                  <c:v>238674.71645041919</c:v>
                </c:pt>
                <c:pt idx="48">
                  <c:v>240406.9260083765</c:v>
                </c:pt>
                <c:pt idx="49">
                  <c:v>239605.44126146811</c:v>
                </c:pt>
                <c:pt idx="50">
                  <c:v>241066.2104217906</c:v>
                </c:pt>
                <c:pt idx="51">
                  <c:v>240027.5228364263</c:v>
                </c:pt>
                <c:pt idx="52">
                  <c:v>240633.21552951471</c:v>
                </c:pt>
                <c:pt idx="53">
                  <c:v>238893.6730041714</c:v>
                </c:pt>
                <c:pt idx="54">
                  <c:v>237231.21085144891</c:v>
                </c:pt>
                <c:pt idx="55">
                  <c:v>237173.07507765331</c:v>
                </c:pt>
              </c:numCache>
            </c:numRef>
          </c:val>
          <c:smooth val="0"/>
          <c:extLst>
            <c:ext xmlns:c16="http://schemas.microsoft.com/office/drawing/2014/chart" uri="{C3380CC4-5D6E-409C-BE32-E72D297353CC}">
              <c16:uniqueId val="{00000002-9A05-4829-8D36-2CEE3A22F411}"/>
            </c:ext>
          </c:extLst>
        </c:ser>
        <c:ser>
          <c:idx val="3"/>
          <c:order val="3"/>
          <c:tx>
            <c:strRef>
              <c:f>Динамика!$B$1</c:f>
              <c:strCache>
                <c:ptCount val="1"/>
                <c:pt idx="0">
                  <c:v>Северный АО</c:v>
                </c:pt>
              </c:strCache>
            </c:strRef>
          </c:tx>
          <c:spPr>
            <a:ln w="28575" cap="rnd">
              <a:solidFill>
                <a:schemeClr val="accent4"/>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254214.55851797509</c:v>
                </c:pt>
                <c:pt idx="1">
                  <c:v>250175</c:v>
                </c:pt>
                <c:pt idx="2">
                  <c:v>255178.5</c:v>
                </c:pt>
                <c:pt idx="3">
                  <c:v>262834</c:v>
                </c:pt>
                <c:pt idx="4">
                  <c:v>270519.52216606628</c:v>
                </c:pt>
                <c:pt idx="5">
                  <c:v>271639.90676165489</c:v>
                </c:pt>
                <c:pt idx="6">
                  <c:v>279829.87249036401</c:v>
                </c:pt>
                <c:pt idx="7">
                  <c:v>285267.26389235689</c:v>
                </c:pt>
                <c:pt idx="8">
                  <c:v>288234.28745723149</c:v>
                </c:pt>
                <c:pt idx="9">
                  <c:v>290471.21689291118</c:v>
                </c:pt>
                <c:pt idx="10">
                  <c:v>293787</c:v>
                </c:pt>
                <c:pt idx="11">
                  <c:v>298124.974818199</c:v>
                </c:pt>
                <c:pt idx="12">
                  <c:v>301307.60404216993</c:v>
                </c:pt>
                <c:pt idx="13">
                  <c:v>306540.32746884797</c:v>
                </c:pt>
                <c:pt idx="14">
                  <c:v>320968.52090053831</c:v>
                </c:pt>
                <c:pt idx="15">
                  <c:v>327258.34607007517</c:v>
                </c:pt>
                <c:pt idx="16">
                  <c:v>321220.19261946628</c:v>
                </c:pt>
                <c:pt idx="17">
                  <c:v>314573.90563794709</c:v>
                </c:pt>
                <c:pt idx="18">
                  <c:v>308423.61822482687</c:v>
                </c:pt>
                <c:pt idx="19">
                  <c:v>308092.55807605002</c:v>
                </c:pt>
                <c:pt idx="20">
                  <c:v>307037.0851852576</c:v>
                </c:pt>
                <c:pt idx="21">
                  <c:v>301857.90412314358</c:v>
                </c:pt>
                <c:pt idx="22">
                  <c:v>298853.75503415312</c:v>
                </c:pt>
                <c:pt idx="23">
                  <c:v>296416.32505120052</c:v>
                </c:pt>
                <c:pt idx="24">
                  <c:v>296895.23621274339</c:v>
                </c:pt>
                <c:pt idx="25">
                  <c:v>297406.94574075512</c:v>
                </c:pt>
                <c:pt idx="26">
                  <c:v>298460.60393010598</c:v>
                </c:pt>
                <c:pt idx="27">
                  <c:v>299938.94214565807</c:v>
                </c:pt>
                <c:pt idx="28">
                  <c:v>300379.37446483312</c:v>
                </c:pt>
                <c:pt idx="29">
                  <c:v>303225.98987913458</c:v>
                </c:pt>
                <c:pt idx="30">
                  <c:v>307368.10369987052</c:v>
                </c:pt>
                <c:pt idx="31">
                  <c:v>314128.71891417587</c:v>
                </c:pt>
                <c:pt idx="32">
                  <c:v>321168.53584189608</c:v>
                </c:pt>
                <c:pt idx="33">
                  <c:v>323237.1142766329</c:v>
                </c:pt>
                <c:pt idx="34">
                  <c:v>326254.4047485473</c:v>
                </c:pt>
                <c:pt idx="35">
                  <c:v>328426.97070733021</c:v>
                </c:pt>
                <c:pt idx="36">
                  <c:v>328810.32795796858</c:v>
                </c:pt>
                <c:pt idx="37">
                  <c:v>330143.52980276878</c:v>
                </c:pt>
                <c:pt idx="38">
                  <c:v>330494.80886684521</c:v>
                </c:pt>
                <c:pt idx="39">
                  <c:v>329507.20153990138</c:v>
                </c:pt>
                <c:pt idx="40">
                  <c:v>329242.58834747411</c:v>
                </c:pt>
                <c:pt idx="41">
                  <c:v>330942.83815609728</c:v>
                </c:pt>
                <c:pt idx="42">
                  <c:v>330336.17872488959</c:v>
                </c:pt>
                <c:pt idx="43">
                  <c:v>331132.64062906388</c:v>
                </c:pt>
                <c:pt idx="44">
                  <c:v>330487.43833048351</c:v>
                </c:pt>
                <c:pt idx="45">
                  <c:v>330183.04751504032</c:v>
                </c:pt>
                <c:pt idx="46">
                  <c:v>331672.086974354</c:v>
                </c:pt>
                <c:pt idx="47">
                  <c:v>336113.39543653611</c:v>
                </c:pt>
                <c:pt idx="48">
                  <c:v>338682.9193765801</c:v>
                </c:pt>
                <c:pt idx="49">
                  <c:v>338935.99935681309</c:v>
                </c:pt>
                <c:pt idx="50">
                  <c:v>341724.35932565929</c:v>
                </c:pt>
                <c:pt idx="51">
                  <c:v>343250.62477042607</c:v>
                </c:pt>
                <c:pt idx="52">
                  <c:v>344838.07020641002</c:v>
                </c:pt>
                <c:pt idx="53">
                  <c:v>344945.80126026628</c:v>
                </c:pt>
                <c:pt idx="54">
                  <c:v>347418.75309579581</c:v>
                </c:pt>
                <c:pt idx="55">
                  <c:v>348719.96547182067</c:v>
                </c:pt>
              </c:numCache>
            </c:numRef>
          </c:val>
          <c:smooth val="0"/>
          <c:extLst>
            <c:ext xmlns:c16="http://schemas.microsoft.com/office/drawing/2014/chart" uri="{C3380CC4-5D6E-409C-BE32-E72D297353CC}">
              <c16:uniqueId val="{00000003-9A05-4829-8D36-2CEE3A22F411}"/>
            </c:ext>
          </c:extLst>
        </c:ser>
        <c:ser>
          <c:idx val="4"/>
          <c:order val="4"/>
          <c:tx>
            <c:strRef>
              <c:f>Динамика!$B$1</c:f>
              <c:strCache>
                <c:ptCount val="1"/>
                <c:pt idx="0">
                  <c:v>Северо-Восточный АО</c:v>
                </c:pt>
              </c:strCache>
            </c:strRef>
          </c:tx>
          <c:spPr>
            <a:ln w="28575" cap="rnd">
              <a:solidFill>
                <a:schemeClr val="accent5"/>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226980.94736958799</c:v>
                </c:pt>
                <c:pt idx="1">
                  <c:v>227817</c:v>
                </c:pt>
                <c:pt idx="2">
                  <c:v>230654</c:v>
                </c:pt>
                <c:pt idx="3">
                  <c:v>232671</c:v>
                </c:pt>
                <c:pt idx="4">
                  <c:v>242760</c:v>
                </c:pt>
                <c:pt idx="5">
                  <c:v>250087.87851045234</c:v>
                </c:pt>
                <c:pt idx="6">
                  <c:v>258704</c:v>
                </c:pt>
                <c:pt idx="7">
                  <c:v>262066.97207549991</c:v>
                </c:pt>
                <c:pt idx="8">
                  <c:v>267543.33263386798</c:v>
                </c:pt>
                <c:pt idx="9">
                  <c:v>271461.21226723271</c:v>
                </c:pt>
                <c:pt idx="10">
                  <c:v>275176.24553046102</c:v>
                </c:pt>
                <c:pt idx="11">
                  <c:v>279581.36686801759</c:v>
                </c:pt>
                <c:pt idx="12">
                  <c:v>283948.77177602582</c:v>
                </c:pt>
                <c:pt idx="13">
                  <c:v>287890.35994628642</c:v>
                </c:pt>
                <c:pt idx="14">
                  <c:v>296364.80183482671</c:v>
                </c:pt>
                <c:pt idx="15">
                  <c:v>297827.46372484748</c:v>
                </c:pt>
                <c:pt idx="16">
                  <c:v>293393.42577519623</c:v>
                </c:pt>
                <c:pt idx="17">
                  <c:v>294060.66383427603</c:v>
                </c:pt>
                <c:pt idx="18">
                  <c:v>288945.80174840608</c:v>
                </c:pt>
                <c:pt idx="19">
                  <c:v>286930.18072477228</c:v>
                </c:pt>
                <c:pt idx="20">
                  <c:v>285504.26702068438</c:v>
                </c:pt>
                <c:pt idx="21">
                  <c:v>281794.19893284788</c:v>
                </c:pt>
                <c:pt idx="22">
                  <c:v>278597.23265815148</c:v>
                </c:pt>
                <c:pt idx="23">
                  <c:v>275840.2238329539</c:v>
                </c:pt>
                <c:pt idx="24">
                  <c:v>275615.10457874852</c:v>
                </c:pt>
                <c:pt idx="25">
                  <c:v>276820.27551149769</c:v>
                </c:pt>
                <c:pt idx="26">
                  <c:v>277437.93456249143</c:v>
                </c:pt>
                <c:pt idx="27">
                  <c:v>277858.91699838708</c:v>
                </c:pt>
                <c:pt idx="28">
                  <c:v>279150.40118053567</c:v>
                </c:pt>
                <c:pt idx="29">
                  <c:v>279539.77466396021</c:v>
                </c:pt>
                <c:pt idx="30">
                  <c:v>284347.03525877051</c:v>
                </c:pt>
                <c:pt idx="31">
                  <c:v>291580.60943401378</c:v>
                </c:pt>
                <c:pt idx="32">
                  <c:v>294447.35008345579</c:v>
                </c:pt>
                <c:pt idx="33">
                  <c:v>297704.71835918742</c:v>
                </c:pt>
                <c:pt idx="34">
                  <c:v>299211.42835346819</c:v>
                </c:pt>
                <c:pt idx="35">
                  <c:v>301104.78862383508</c:v>
                </c:pt>
                <c:pt idx="36">
                  <c:v>303900.31270526722</c:v>
                </c:pt>
                <c:pt idx="37">
                  <c:v>304797.91739474999</c:v>
                </c:pt>
                <c:pt idx="38">
                  <c:v>305786.89972633158</c:v>
                </c:pt>
                <c:pt idx="39">
                  <c:v>303756.42641210521</c:v>
                </c:pt>
                <c:pt idx="40">
                  <c:v>302621.59237596218</c:v>
                </c:pt>
                <c:pt idx="41">
                  <c:v>303820.5387852781</c:v>
                </c:pt>
                <c:pt idx="42">
                  <c:v>305159.31251833541</c:v>
                </c:pt>
                <c:pt idx="43">
                  <c:v>304370.83287192642</c:v>
                </c:pt>
                <c:pt idx="44">
                  <c:v>304404.80976587272</c:v>
                </c:pt>
                <c:pt idx="45">
                  <c:v>306631.17917172652</c:v>
                </c:pt>
                <c:pt idx="46">
                  <c:v>305179.86040978582</c:v>
                </c:pt>
                <c:pt idx="47">
                  <c:v>306243.98326348321</c:v>
                </c:pt>
                <c:pt idx="48">
                  <c:v>310326.18845235859</c:v>
                </c:pt>
                <c:pt idx="49">
                  <c:v>313831.97483090812</c:v>
                </c:pt>
                <c:pt idx="50">
                  <c:v>316327.06470858649</c:v>
                </c:pt>
                <c:pt idx="51">
                  <c:v>314724.05188943259</c:v>
                </c:pt>
                <c:pt idx="52">
                  <c:v>315255.15594688873</c:v>
                </c:pt>
                <c:pt idx="53">
                  <c:v>319672.09024320153</c:v>
                </c:pt>
                <c:pt idx="54">
                  <c:v>321520.85726986901</c:v>
                </c:pt>
                <c:pt idx="55">
                  <c:v>321601.43818400661</c:v>
                </c:pt>
              </c:numCache>
            </c:numRef>
          </c:val>
          <c:smooth val="0"/>
          <c:extLst>
            <c:ext xmlns:c16="http://schemas.microsoft.com/office/drawing/2014/chart" uri="{C3380CC4-5D6E-409C-BE32-E72D297353CC}">
              <c16:uniqueId val="{00000004-9A05-4829-8D36-2CEE3A22F411}"/>
            </c:ext>
          </c:extLst>
        </c:ser>
        <c:ser>
          <c:idx val="5"/>
          <c:order val="5"/>
          <c:tx>
            <c:strRef>
              <c:f>Динамика!$B$1</c:f>
              <c:strCache>
                <c:ptCount val="1"/>
                <c:pt idx="0">
                  <c:v>Северо-Западный АО</c:v>
                </c:pt>
              </c:strCache>
            </c:strRef>
          </c:tx>
          <c:spPr>
            <a:ln w="28575" cap="rnd">
              <a:solidFill>
                <a:schemeClr val="accent6"/>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252079.08210971011</c:v>
                </c:pt>
                <c:pt idx="1">
                  <c:v>249379</c:v>
                </c:pt>
                <c:pt idx="2">
                  <c:v>256057.22500537531</c:v>
                </c:pt>
                <c:pt idx="3">
                  <c:v>259971.7770430946</c:v>
                </c:pt>
                <c:pt idx="4">
                  <c:v>264259.30843595619</c:v>
                </c:pt>
                <c:pt idx="5">
                  <c:v>263638.9330597294</c:v>
                </c:pt>
                <c:pt idx="6">
                  <c:v>270586.86449560802</c:v>
                </c:pt>
                <c:pt idx="7">
                  <c:v>273464.63700159639</c:v>
                </c:pt>
                <c:pt idx="8">
                  <c:v>278765.98798666633</c:v>
                </c:pt>
                <c:pt idx="9">
                  <c:v>285228.90836500551</c:v>
                </c:pt>
                <c:pt idx="10">
                  <c:v>289711.73171745968</c:v>
                </c:pt>
                <c:pt idx="11">
                  <c:v>292388.12739667401</c:v>
                </c:pt>
                <c:pt idx="12">
                  <c:v>301531.94290582743</c:v>
                </c:pt>
                <c:pt idx="13">
                  <c:v>306505.3299040483</c:v>
                </c:pt>
                <c:pt idx="14">
                  <c:v>317477.79596749821</c:v>
                </c:pt>
                <c:pt idx="15">
                  <c:v>317865.33061718981</c:v>
                </c:pt>
                <c:pt idx="16">
                  <c:v>314491.06933455681</c:v>
                </c:pt>
                <c:pt idx="17">
                  <c:v>306747.44519740611</c:v>
                </c:pt>
                <c:pt idx="18">
                  <c:v>302028.76333584398</c:v>
                </c:pt>
                <c:pt idx="19">
                  <c:v>301502.58819331578</c:v>
                </c:pt>
                <c:pt idx="20">
                  <c:v>299742.17782187578</c:v>
                </c:pt>
                <c:pt idx="21">
                  <c:v>295218.10880760069</c:v>
                </c:pt>
                <c:pt idx="22">
                  <c:v>290013.10981768259</c:v>
                </c:pt>
                <c:pt idx="23">
                  <c:v>289305.56698198023</c:v>
                </c:pt>
                <c:pt idx="24">
                  <c:v>290651.04610973608</c:v>
                </c:pt>
                <c:pt idx="25">
                  <c:v>289313.35217759508</c:v>
                </c:pt>
                <c:pt idx="26">
                  <c:v>291927.00474655448</c:v>
                </c:pt>
                <c:pt idx="27">
                  <c:v>294542.43336894322</c:v>
                </c:pt>
                <c:pt idx="28">
                  <c:v>297107.98577907193</c:v>
                </c:pt>
                <c:pt idx="29">
                  <c:v>301766.00375931652</c:v>
                </c:pt>
                <c:pt idx="30">
                  <c:v>307084.6799054633</c:v>
                </c:pt>
                <c:pt idx="31">
                  <c:v>315410.97976804298</c:v>
                </c:pt>
                <c:pt idx="32">
                  <c:v>319495.38175727188</c:v>
                </c:pt>
                <c:pt idx="33">
                  <c:v>322172.24541405181</c:v>
                </c:pt>
                <c:pt idx="34">
                  <c:v>330385.81442517339</c:v>
                </c:pt>
                <c:pt idx="35">
                  <c:v>331229.33674344502</c:v>
                </c:pt>
                <c:pt idx="36">
                  <c:v>331327.5585186574</c:v>
                </c:pt>
                <c:pt idx="37">
                  <c:v>332830.33556204388</c:v>
                </c:pt>
                <c:pt idx="38">
                  <c:v>332550.31321326829</c:v>
                </c:pt>
                <c:pt idx="39">
                  <c:v>335124.97603968438</c:v>
                </c:pt>
                <c:pt idx="40">
                  <c:v>333732.1697959337</c:v>
                </c:pt>
                <c:pt idx="41">
                  <c:v>333764.65117828222</c:v>
                </c:pt>
                <c:pt idx="42">
                  <c:v>336614.32469798689</c:v>
                </c:pt>
                <c:pt idx="43">
                  <c:v>332583.65265418711</c:v>
                </c:pt>
                <c:pt idx="44">
                  <c:v>333453.58297836472</c:v>
                </c:pt>
                <c:pt idx="45">
                  <c:v>328142.68042187352</c:v>
                </c:pt>
                <c:pt idx="46">
                  <c:v>327399.52271234401</c:v>
                </c:pt>
                <c:pt idx="47">
                  <c:v>328521.9967413015</c:v>
                </c:pt>
                <c:pt idx="48">
                  <c:v>334847.28011468862</c:v>
                </c:pt>
                <c:pt idx="49">
                  <c:v>335102.60702170612</c:v>
                </c:pt>
                <c:pt idx="50">
                  <c:v>336597.12595187902</c:v>
                </c:pt>
                <c:pt idx="51">
                  <c:v>335750.1813191523</c:v>
                </c:pt>
                <c:pt idx="52">
                  <c:v>336790.17124595778</c:v>
                </c:pt>
                <c:pt idx="53">
                  <c:v>336678.29908251087</c:v>
                </c:pt>
                <c:pt idx="54">
                  <c:v>340593.1035257433</c:v>
                </c:pt>
                <c:pt idx="55">
                  <c:v>341954.07260854339</c:v>
                </c:pt>
              </c:numCache>
            </c:numRef>
          </c:val>
          <c:smooth val="0"/>
          <c:extLst>
            <c:ext xmlns:c16="http://schemas.microsoft.com/office/drawing/2014/chart" uri="{C3380CC4-5D6E-409C-BE32-E72D297353CC}">
              <c16:uniqueId val="{00000005-9A05-4829-8D36-2CEE3A22F411}"/>
            </c:ext>
          </c:extLst>
        </c:ser>
        <c:ser>
          <c:idx val="6"/>
          <c:order val="6"/>
          <c:tx>
            <c:strRef>
              <c:f>Динамика!$B$1</c:f>
              <c:strCache>
                <c:ptCount val="1"/>
                <c:pt idx="0">
                  <c:v>Юго-Восточный АО</c:v>
                </c:pt>
              </c:strCache>
            </c:strRef>
          </c:tx>
          <c:spPr>
            <a:ln w="28575" cap="rnd">
              <a:solidFill>
                <a:schemeClr val="accent1">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207722.82884056869</c:v>
                </c:pt>
                <c:pt idx="1">
                  <c:v>208923</c:v>
                </c:pt>
                <c:pt idx="2">
                  <c:v>214923.24614204169</c:v>
                </c:pt>
                <c:pt idx="3">
                  <c:v>214656</c:v>
                </c:pt>
                <c:pt idx="4">
                  <c:v>223160.25658915259</c:v>
                </c:pt>
                <c:pt idx="5">
                  <c:v>221907.45513157058</c:v>
                </c:pt>
                <c:pt idx="6">
                  <c:v>231525.01908459191</c:v>
                </c:pt>
                <c:pt idx="7">
                  <c:v>236217.4435711597</c:v>
                </c:pt>
                <c:pt idx="8">
                  <c:v>240456.28294197639</c:v>
                </c:pt>
                <c:pt idx="9">
                  <c:v>244291.873544584</c:v>
                </c:pt>
                <c:pt idx="10">
                  <c:v>248434.6984776</c:v>
                </c:pt>
                <c:pt idx="11">
                  <c:v>250776.498061486</c:v>
                </c:pt>
                <c:pt idx="12">
                  <c:v>257687.7018565388</c:v>
                </c:pt>
                <c:pt idx="13">
                  <c:v>262051.61598266201</c:v>
                </c:pt>
                <c:pt idx="14">
                  <c:v>270818.45032309112</c:v>
                </c:pt>
                <c:pt idx="15">
                  <c:v>273327.71999100369</c:v>
                </c:pt>
                <c:pt idx="16">
                  <c:v>270054.66578569799</c:v>
                </c:pt>
                <c:pt idx="17">
                  <c:v>265723.44464542938</c:v>
                </c:pt>
                <c:pt idx="18">
                  <c:v>263884.01689317689</c:v>
                </c:pt>
                <c:pt idx="19">
                  <c:v>263479.18276773021</c:v>
                </c:pt>
                <c:pt idx="20">
                  <c:v>262155.09597327432</c:v>
                </c:pt>
                <c:pt idx="21">
                  <c:v>259166.2479942012</c:v>
                </c:pt>
                <c:pt idx="22">
                  <c:v>255999.51713306949</c:v>
                </c:pt>
                <c:pt idx="23">
                  <c:v>253290.11788260931</c:v>
                </c:pt>
                <c:pt idx="24">
                  <c:v>252980.29083724669</c:v>
                </c:pt>
                <c:pt idx="25">
                  <c:v>252497.7358589184</c:v>
                </c:pt>
                <c:pt idx="26">
                  <c:v>251723.6431670411</c:v>
                </c:pt>
                <c:pt idx="27">
                  <c:v>253205.29192346189</c:v>
                </c:pt>
                <c:pt idx="28">
                  <c:v>255249.24178488849</c:v>
                </c:pt>
                <c:pt idx="29">
                  <c:v>256861.97509712071</c:v>
                </c:pt>
                <c:pt idx="30">
                  <c:v>259040.205839884</c:v>
                </c:pt>
                <c:pt idx="31">
                  <c:v>265768.53769819078</c:v>
                </c:pt>
                <c:pt idx="32">
                  <c:v>271223.36272102938</c:v>
                </c:pt>
                <c:pt idx="33">
                  <c:v>274114.74802020751</c:v>
                </c:pt>
                <c:pt idx="34">
                  <c:v>277276.17125937139</c:v>
                </c:pt>
                <c:pt idx="35">
                  <c:v>279706.17179711262</c:v>
                </c:pt>
                <c:pt idx="36">
                  <c:v>281744.10480363289</c:v>
                </c:pt>
                <c:pt idx="37">
                  <c:v>283273.20011927688</c:v>
                </c:pt>
                <c:pt idx="38">
                  <c:v>283523.30342770729</c:v>
                </c:pt>
                <c:pt idx="39">
                  <c:v>283163.00037090998</c:v>
                </c:pt>
                <c:pt idx="40">
                  <c:v>283544.86647466029</c:v>
                </c:pt>
                <c:pt idx="41">
                  <c:v>284380.36858578888</c:v>
                </c:pt>
                <c:pt idx="42">
                  <c:v>282743.66138014442</c:v>
                </c:pt>
                <c:pt idx="43">
                  <c:v>282380.45405822009</c:v>
                </c:pt>
                <c:pt idx="44">
                  <c:v>281875.81664987578</c:v>
                </c:pt>
                <c:pt idx="45">
                  <c:v>280412.24142864317</c:v>
                </c:pt>
                <c:pt idx="46">
                  <c:v>279884.08645021811</c:v>
                </c:pt>
                <c:pt idx="47">
                  <c:v>279876.37696030119</c:v>
                </c:pt>
                <c:pt idx="48">
                  <c:v>283657.11184294149</c:v>
                </c:pt>
                <c:pt idx="49">
                  <c:v>286213.87438602129</c:v>
                </c:pt>
                <c:pt idx="50">
                  <c:v>285943.1054842883</c:v>
                </c:pt>
                <c:pt idx="51">
                  <c:v>286221.31953163189</c:v>
                </c:pt>
                <c:pt idx="52">
                  <c:v>288195.5116936898</c:v>
                </c:pt>
                <c:pt idx="53">
                  <c:v>288286.60095405392</c:v>
                </c:pt>
                <c:pt idx="54">
                  <c:v>289957.88657703123</c:v>
                </c:pt>
                <c:pt idx="55">
                  <c:v>293796.85927651142</c:v>
                </c:pt>
              </c:numCache>
            </c:numRef>
          </c:val>
          <c:smooth val="0"/>
          <c:extLst>
            <c:ext xmlns:c16="http://schemas.microsoft.com/office/drawing/2014/chart" uri="{C3380CC4-5D6E-409C-BE32-E72D297353CC}">
              <c16:uniqueId val="{00000006-9A05-4829-8D36-2CEE3A22F411}"/>
            </c:ext>
          </c:extLst>
        </c:ser>
        <c:ser>
          <c:idx val="7"/>
          <c:order val="7"/>
          <c:tx>
            <c:strRef>
              <c:f>Динамика!$B$1</c:f>
              <c:strCache>
                <c:ptCount val="1"/>
                <c:pt idx="0">
                  <c:v>Юго-Западный АО</c:v>
                </c:pt>
              </c:strCache>
            </c:strRef>
          </c:tx>
          <c:spPr>
            <a:ln w="28575" cap="rnd">
              <a:solidFill>
                <a:schemeClr val="accent2">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252676.76757866339</c:v>
                </c:pt>
                <c:pt idx="1">
                  <c:v>251521</c:v>
                </c:pt>
                <c:pt idx="2">
                  <c:v>257717.3994652222</c:v>
                </c:pt>
                <c:pt idx="3">
                  <c:v>263055.17312146898</c:v>
                </c:pt>
                <c:pt idx="4">
                  <c:v>267496.63666675298</c:v>
                </c:pt>
                <c:pt idx="5">
                  <c:v>267714.09157880186</c:v>
                </c:pt>
                <c:pt idx="6">
                  <c:v>274500.01690092351</c:v>
                </c:pt>
                <c:pt idx="7">
                  <c:v>279971.03003293643</c:v>
                </c:pt>
                <c:pt idx="8">
                  <c:v>284425.09842203389</c:v>
                </c:pt>
                <c:pt idx="9">
                  <c:v>287414.23817491438</c:v>
                </c:pt>
                <c:pt idx="10">
                  <c:v>291686.34427841782</c:v>
                </c:pt>
                <c:pt idx="11">
                  <c:v>295671.37932612142</c:v>
                </c:pt>
                <c:pt idx="12">
                  <c:v>301752.70797902631</c:v>
                </c:pt>
                <c:pt idx="13">
                  <c:v>307307.36865101598</c:v>
                </c:pt>
                <c:pt idx="14">
                  <c:v>320210.02967514237</c:v>
                </c:pt>
                <c:pt idx="15">
                  <c:v>324283.56090027408</c:v>
                </c:pt>
                <c:pt idx="16">
                  <c:v>318190.26654221967</c:v>
                </c:pt>
                <c:pt idx="17">
                  <c:v>312344.65072477132</c:v>
                </c:pt>
                <c:pt idx="18">
                  <c:v>309244.1348849741</c:v>
                </c:pt>
                <c:pt idx="19">
                  <c:v>308834.37533444568</c:v>
                </c:pt>
                <c:pt idx="20">
                  <c:v>306233.1175945258</c:v>
                </c:pt>
                <c:pt idx="21">
                  <c:v>301531.71527971758</c:v>
                </c:pt>
                <c:pt idx="22">
                  <c:v>299035.41672953381</c:v>
                </c:pt>
                <c:pt idx="23">
                  <c:v>296629.6945765338</c:v>
                </c:pt>
                <c:pt idx="24">
                  <c:v>295773.71667826647</c:v>
                </c:pt>
                <c:pt idx="25">
                  <c:v>294978.52411132469</c:v>
                </c:pt>
                <c:pt idx="26">
                  <c:v>293915.58188242093</c:v>
                </c:pt>
                <c:pt idx="27">
                  <c:v>295572.76397545612</c:v>
                </c:pt>
                <c:pt idx="28">
                  <c:v>296021.71554492629</c:v>
                </c:pt>
                <c:pt idx="29">
                  <c:v>301770.70533518039</c:v>
                </c:pt>
                <c:pt idx="30">
                  <c:v>300685.82013446209</c:v>
                </c:pt>
                <c:pt idx="31">
                  <c:v>307525.38589723379</c:v>
                </c:pt>
                <c:pt idx="32">
                  <c:v>311274.0379918635</c:v>
                </c:pt>
                <c:pt idx="33">
                  <c:v>316408.24935934541</c:v>
                </c:pt>
                <c:pt idx="34">
                  <c:v>320151.12423298409</c:v>
                </c:pt>
                <c:pt idx="35">
                  <c:v>322882.27017838153</c:v>
                </c:pt>
                <c:pt idx="36">
                  <c:v>325473.74666206271</c:v>
                </c:pt>
                <c:pt idx="37">
                  <c:v>326709.71713019809</c:v>
                </c:pt>
                <c:pt idx="38">
                  <c:v>327963.09834628343</c:v>
                </c:pt>
                <c:pt idx="39">
                  <c:v>327066.62273190613</c:v>
                </c:pt>
                <c:pt idx="40">
                  <c:v>324951.84754883748</c:v>
                </c:pt>
                <c:pt idx="41">
                  <c:v>324925.25636285031</c:v>
                </c:pt>
                <c:pt idx="42">
                  <c:v>327895.29192146711</c:v>
                </c:pt>
                <c:pt idx="43">
                  <c:v>326994.16273948271</c:v>
                </c:pt>
                <c:pt idx="44">
                  <c:v>327112.91615573713</c:v>
                </c:pt>
                <c:pt idx="45">
                  <c:v>326178.79508298071</c:v>
                </c:pt>
                <c:pt idx="46">
                  <c:v>326766.01225446421</c:v>
                </c:pt>
                <c:pt idx="47">
                  <c:v>327798.26951923181</c:v>
                </c:pt>
                <c:pt idx="48">
                  <c:v>332381.78182822512</c:v>
                </c:pt>
                <c:pt idx="49">
                  <c:v>336469.0688223911</c:v>
                </c:pt>
                <c:pt idx="50">
                  <c:v>335447.96066498052</c:v>
                </c:pt>
                <c:pt idx="51">
                  <c:v>337436.08787011681</c:v>
                </c:pt>
                <c:pt idx="52">
                  <c:v>340908.6453013721</c:v>
                </c:pt>
                <c:pt idx="53">
                  <c:v>344135.97311972751</c:v>
                </c:pt>
                <c:pt idx="54">
                  <c:v>346148.28879103687</c:v>
                </c:pt>
                <c:pt idx="55">
                  <c:v>347494.20654323848</c:v>
                </c:pt>
              </c:numCache>
            </c:numRef>
          </c:val>
          <c:smooth val="0"/>
          <c:extLst>
            <c:ext xmlns:c16="http://schemas.microsoft.com/office/drawing/2014/chart" uri="{C3380CC4-5D6E-409C-BE32-E72D297353CC}">
              <c16:uniqueId val="{00000007-9A05-4829-8D36-2CEE3A22F411}"/>
            </c:ext>
          </c:extLst>
        </c:ser>
        <c:ser>
          <c:idx val="8"/>
          <c:order val="8"/>
          <c:tx>
            <c:strRef>
              <c:f>Динамика!$B$1</c:f>
              <c:strCache>
                <c:ptCount val="1"/>
                <c:pt idx="0">
                  <c:v>Южный АО</c:v>
                </c:pt>
              </c:strCache>
            </c:strRef>
          </c:tx>
          <c:spPr>
            <a:ln w="28575" cap="rnd">
              <a:solidFill>
                <a:schemeClr val="accent3">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229702.2527081068</c:v>
                </c:pt>
                <c:pt idx="1">
                  <c:v>227762</c:v>
                </c:pt>
                <c:pt idx="2">
                  <c:v>235586.81450968509</c:v>
                </c:pt>
                <c:pt idx="3">
                  <c:v>240115.281335354</c:v>
                </c:pt>
                <c:pt idx="4">
                  <c:v>243481.25289579309</c:v>
                </c:pt>
                <c:pt idx="5">
                  <c:v>238147.17446186498</c:v>
                </c:pt>
                <c:pt idx="6">
                  <c:v>251078.98626123049</c:v>
                </c:pt>
                <c:pt idx="7">
                  <c:v>255337.31070487079</c:v>
                </c:pt>
                <c:pt idx="8">
                  <c:v>257160.38414682401</c:v>
                </c:pt>
                <c:pt idx="9">
                  <c:v>260881.01090544171</c:v>
                </c:pt>
                <c:pt idx="10">
                  <c:v>265469.06839972612</c:v>
                </c:pt>
                <c:pt idx="11">
                  <c:v>271211.70766656921</c:v>
                </c:pt>
                <c:pt idx="12">
                  <c:v>276059.69586917787</c:v>
                </c:pt>
                <c:pt idx="13">
                  <c:v>279253.82993361098</c:v>
                </c:pt>
                <c:pt idx="14">
                  <c:v>289946.48951570521</c:v>
                </c:pt>
                <c:pt idx="15">
                  <c:v>293908.62513073621</c:v>
                </c:pt>
                <c:pt idx="16">
                  <c:v>290264.32717697421</c:v>
                </c:pt>
                <c:pt idx="17">
                  <c:v>285898.24451545969</c:v>
                </c:pt>
                <c:pt idx="18">
                  <c:v>283666.13279055618</c:v>
                </c:pt>
                <c:pt idx="19">
                  <c:v>282502.1327105618</c:v>
                </c:pt>
                <c:pt idx="20">
                  <c:v>283201.69586318691</c:v>
                </c:pt>
                <c:pt idx="21">
                  <c:v>278112.6184314813</c:v>
                </c:pt>
                <c:pt idx="22">
                  <c:v>274615.69143664488</c:v>
                </c:pt>
                <c:pt idx="23">
                  <c:v>272147.78095598659</c:v>
                </c:pt>
                <c:pt idx="24">
                  <c:v>271771.28308731172</c:v>
                </c:pt>
                <c:pt idx="25">
                  <c:v>271944.71502837329</c:v>
                </c:pt>
                <c:pt idx="26">
                  <c:v>271339.62750437472</c:v>
                </c:pt>
                <c:pt idx="27">
                  <c:v>271537.54008447792</c:v>
                </c:pt>
                <c:pt idx="28">
                  <c:v>271854.90477099549</c:v>
                </c:pt>
                <c:pt idx="29">
                  <c:v>273530.18825430929</c:v>
                </c:pt>
                <c:pt idx="30">
                  <c:v>279327.91056812921</c:v>
                </c:pt>
                <c:pt idx="31">
                  <c:v>286060.81074433221</c:v>
                </c:pt>
                <c:pt idx="32">
                  <c:v>290822.91353305808</c:v>
                </c:pt>
                <c:pt idx="33">
                  <c:v>298066.19404510548</c:v>
                </c:pt>
                <c:pt idx="34">
                  <c:v>303855.39928112749</c:v>
                </c:pt>
                <c:pt idx="35">
                  <c:v>303967.25541657058</c:v>
                </c:pt>
                <c:pt idx="36">
                  <c:v>303769.06009649101</c:v>
                </c:pt>
                <c:pt idx="37">
                  <c:v>306396.68392163911</c:v>
                </c:pt>
                <c:pt idx="38">
                  <c:v>304233.77453044592</c:v>
                </c:pt>
                <c:pt idx="39">
                  <c:v>302940.21188891242</c:v>
                </c:pt>
                <c:pt idx="40">
                  <c:v>301699.60501795658</c:v>
                </c:pt>
                <c:pt idx="41">
                  <c:v>304341.83995830722</c:v>
                </c:pt>
                <c:pt idx="42">
                  <c:v>304079.88072100829</c:v>
                </c:pt>
                <c:pt idx="43">
                  <c:v>303447.717979501</c:v>
                </c:pt>
                <c:pt idx="44">
                  <c:v>302361.06314639049</c:v>
                </c:pt>
                <c:pt idx="45">
                  <c:v>301726.02739388688</c:v>
                </c:pt>
                <c:pt idx="46">
                  <c:v>301663.86230100982</c:v>
                </c:pt>
                <c:pt idx="47">
                  <c:v>303084.11864721822</c:v>
                </c:pt>
                <c:pt idx="48">
                  <c:v>306610.88333045557</c:v>
                </c:pt>
                <c:pt idx="49">
                  <c:v>308569.71740717988</c:v>
                </c:pt>
                <c:pt idx="50">
                  <c:v>311004.03813215619</c:v>
                </c:pt>
                <c:pt idx="51">
                  <c:v>312715.54204088531</c:v>
                </c:pt>
                <c:pt idx="52">
                  <c:v>314571.80840825947</c:v>
                </c:pt>
                <c:pt idx="53">
                  <c:v>313996.77878630348</c:v>
                </c:pt>
                <c:pt idx="54">
                  <c:v>317123.17237117741</c:v>
                </c:pt>
                <c:pt idx="55">
                  <c:v>319461.35296923999</c:v>
                </c:pt>
              </c:numCache>
            </c:numRef>
          </c:val>
          <c:smooth val="0"/>
          <c:extLst>
            <c:ext xmlns:c16="http://schemas.microsoft.com/office/drawing/2014/chart" uri="{C3380CC4-5D6E-409C-BE32-E72D297353CC}">
              <c16:uniqueId val="{00000008-9A05-4829-8D36-2CEE3A22F411}"/>
            </c:ext>
          </c:extLst>
        </c:ser>
        <c:dLbls>
          <c:showLegendKey val="0"/>
          <c:showVal val="0"/>
          <c:showCatName val="0"/>
          <c:showSerName val="0"/>
          <c:showPercent val="0"/>
          <c:showBubbleSize val="0"/>
        </c:dLbls>
        <c:smooth val="0"/>
        <c:axId val="430710368"/>
        <c:axId val="430695808"/>
      </c:lineChart>
      <c:catAx>
        <c:axId val="4307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695808"/>
        <c:crosses val="autoZero"/>
        <c:auto val="1"/>
        <c:lblAlgn val="ctr"/>
        <c:lblOffset val="100"/>
        <c:noMultiLvlLbl val="0"/>
      </c:catAx>
      <c:valAx>
        <c:axId val="430695808"/>
        <c:scaling>
          <c:orientation val="minMax"/>
          <c:min val="150000"/>
        </c:scaling>
        <c:delete val="0"/>
        <c:axPos val="l"/>
        <c:title>
          <c:tx>
            <c:strRef>
              <c:f>Динамика!$B$1</c:f>
              <c:strCache>
                <c:ptCount val="1"/>
              </c:strCache>
            </c:strRef>
          </c:tx>
          <c:layout>
            <c:manualLayout>
              <c:xMode val="edge"/>
              <c:yMode val="edge"/>
              <c:x val="0.10710514126910606"/>
              <c:y val="2.5510204081632654E-2"/>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chemeClr val="tx1">
                      <a:lumMod val="65000"/>
                      <a:lumOff val="35000"/>
                    </a:schemeClr>
                  </a:solidFill>
                  <a:latin typeface="+mn-lt"/>
                  <a:ea typeface="+mn-ea"/>
                  <a:cs typeface="+mn-cs"/>
                </a:defRPr>
              </a:pPr>
              <a:endParaRPr lang="ru-RU"/>
            </a:p>
          </c:txPr>
        </c:title>
        <c:numFmt formatCode="#\ ##0_ ;\-#\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710368"/>
        <c:crosses val="autoZero"/>
        <c:crossBetween val="between"/>
      </c:valAx>
      <c:spPr>
        <a:noFill/>
        <a:ln w="0">
          <a:noFill/>
        </a:ln>
        <a:effectLst/>
      </c:spPr>
    </c:plotArea>
    <c:legend>
      <c:legendPos val="r"/>
      <c:layout>
        <c:manualLayout>
          <c:xMode val="edge"/>
          <c:yMode val="edge"/>
          <c:x val="0.85701454603658089"/>
          <c:y val="0.11439476845055385"/>
          <c:w val="0.13734902242291669"/>
          <c:h val="0.72828840250900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отправке.xlsx]Объем!Объем-предл</c:name>
    <c:fmtId val="5"/>
  </c:pivotSource>
  <c:chart>
    <c:title>
      <c:tx>
        <c:strRef>
          <c:f>Объем!$A$1</c:f>
          <c:strCache>
            <c:ptCount val="1"/>
            <c:pt idx="0">
              <c:v>Динамика объема предложения</c:v>
            </c:pt>
          </c:strCache>
        </c:strRef>
      </c:tx>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Объем!$A$1</c:f>
              <c:strCache>
                <c:ptCount val="1"/>
                <c:pt idx="0">
                  <c:v>Итог</c:v>
                </c:pt>
              </c:strCache>
            </c:strRef>
          </c:tx>
          <c:spPr>
            <a:ln w="38100" cap="rnd">
              <a:solidFill>
                <a:schemeClr val="accent1"/>
              </a:solidFill>
              <a:round/>
            </a:ln>
            <a:effectLst/>
          </c:spPr>
          <c:marker>
            <c:symbol val="none"/>
          </c:marker>
          <c:cat>
            <c:multiLvlStrRef>
              <c:f>Объем!$A$1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Объем!$A$1</c:f>
              <c:numCache>
                <c:formatCode>#,##0</c:formatCode>
                <c:ptCount val="56"/>
                <c:pt idx="0">
                  <c:v>33696</c:v>
                </c:pt>
                <c:pt idx="1">
                  <c:v>36928</c:v>
                </c:pt>
                <c:pt idx="2">
                  <c:v>40098.840000000004</c:v>
                </c:pt>
                <c:pt idx="3">
                  <c:v>39674</c:v>
                </c:pt>
                <c:pt idx="4">
                  <c:v>39139</c:v>
                </c:pt>
                <c:pt idx="5">
                  <c:v>39250</c:v>
                </c:pt>
                <c:pt idx="6">
                  <c:v>38946</c:v>
                </c:pt>
                <c:pt idx="7">
                  <c:v>37677</c:v>
                </c:pt>
                <c:pt idx="8">
                  <c:v>39371.869999999995</c:v>
                </c:pt>
                <c:pt idx="9">
                  <c:v>40320</c:v>
                </c:pt>
                <c:pt idx="10">
                  <c:v>38654</c:v>
                </c:pt>
                <c:pt idx="11">
                  <c:v>36939</c:v>
                </c:pt>
                <c:pt idx="12">
                  <c:v>34055</c:v>
                </c:pt>
                <c:pt idx="13">
                  <c:v>37351</c:v>
                </c:pt>
                <c:pt idx="14">
                  <c:v>35749</c:v>
                </c:pt>
                <c:pt idx="15">
                  <c:v>32227</c:v>
                </c:pt>
                <c:pt idx="16">
                  <c:v>35606</c:v>
                </c:pt>
                <c:pt idx="17">
                  <c:v>40367</c:v>
                </c:pt>
                <c:pt idx="18">
                  <c:v>43364</c:v>
                </c:pt>
                <c:pt idx="19">
                  <c:v>44486</c:v>
                </c:pt>
                <c:pt idx="20">
                  <c:v>49091</c:v>
                </c:pt>
                <c:pt idx="21">
                  <c:v>50851</c:v>
                </c:pt>
                <c:pt idx="22">
                  <c:v>50186</c:v>
                </c:pt>
                <c:pt idx="23">
                  <c:v>48354</c:v>
                </c:pt>
                <c:pt idx="24">
                  <c:v>46290</c:v>
                </c:pt>
                <c:pt idx="25">
                  <c:v>48705</c:v>
                </c:pt>
                <c:pt idx="26">
                  <c:v>51354</c:v>
                </c:pt>
                <c:pt idx="27">
                  <c:v>48817</c:v>
                </c:pt>
                <c:pt idx="28">
                  <c:v>47660</c:v>
                </c:pt>
                <c:pt idx="29">
                  <c:v>46252</c:v>
                </c:pt>
                <c:pt idx="30">
                  <c:v>43280</c:v>
                </c:pt>
                <c:pt idx="31">
                  <c:v>41050</c:v>
                </c:pt>
                <c:pt idx="32">
                  <c:v>38632</c:v>
                </c:pt>
                <c:pt idx="33">
                  <c:v>37552</c:v>
                </c:pt>
                <c:pt idx="34">
                  <c:v>37865</c:v>
                </c:pt>
                <c:pt idx="35">
                  <c:v>34799</c:v>
                </c:pt>
                <c:pt idx="36">
                  <c:v>34722</c:v>
                </c:pt>
                <c:pt idx="37">
                  <c:v>38847</c:v>
                </c:pt>
                <c:pt idx="38">
                  <c:v>40695</c:v>
                </c:pt>
                <c:pt idx="39">
                  <c:v>41463</c:v>
                </c:pt>
                <c:pt idx="40">
                  <c:v>41191</c:v>
                </c:pt>
                <c:pt idx="41">
                  <c:v>42751</c:v>
                </c:pt>
                <c:pt idx="42">
                  <c:v>43920</c:v>
                </c:pt>
                <c:pt idx="43">
                  <c:v>44771</c:v>
                </c:pt>
                <c:pt idx="44">
                  <c:v>45297</c:v>
                </c:pt>
                <c:pt idx="45">
                  <c:v>46503.270000000004</c:v>
                </c:pt>
                <c:pt idx="46">
                  <c:v>45781</c:v>
                </c:pt>
                <c:pt idx="47">
                  <c:v>40105</c:v>
                </c:pt>
                <c:pt idx="48">
                  <c:v>35988</c:v>
                </c:pt>
                <c:pt idx="49">
                  <c:v>37022</c:v>
                </c:pt>
                <c:pt idx="50">
                  <c:v>37437</c:v>
                </c:pt>
                <c:pt idx="51">
                  <c:v>36697</c:v>
                </c:pt>
                <c:pt idx="52">
                  <c:v>36941</c:v>
                </c:pt>
                <c:pt idx="53">
                  <c:v>34708</c:v>
                </c:pt>
                <c:pt idx="54">
                  <c:v>35695</c:v>
                </c:pt>
                <c:pt idx="55">
                  <c:v>35274</c:v>
                </c:pt>
              </c:numCache>
            </c:numRef>
          </c:val>
          <c:smooth val="0"/>
          <c:extLst>
            <c:ext xmlns:c16="http://schemas.microsoft.com/office/drawing/2014/chart" uri="{C3380CC4-5D6E-409C-BE32-E72D297353CC}">
              <c16:uniqueId val="{00000000-147D-41E7-87DA-0B577ED46A7B}"/>
            </c:ext>
          </c:extLst>
        </c:ser>
        <c:dLbls>
          <c:showLegendKey val="0"/>
          <c:showVal val="0"/>
          <c:showCatName val="0"/>
          <c:showSerName val="0"/>
          <c:showPercent val="0"/>
          <c:showBubbleSize val="0"/>
        </c:dLbls>
        <c:smooth val="0"/>
        <c:axId val="1716680639"/>
        <c:axId val="1716683551"/>
      </c:lineChart>
      <c:catAx>
        <c:axId val="171668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3551"/>
        <c:crosses val="autoZero"/>
        <c:auto val="1"/>
        <c:lblAlgn val="ctr"/>
        <c:lblOffset val="100"/>
        <c:noMultiLvlLbl val="0"/>
      </c:catAx>
      <c:valAx>
        <c:axId val="1716683551"/>
        <c:scaling>
          <c:orientation val="minMax"/>
          <c:min val="3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отправке.xlsx]Объем!Объем-по_годам</c:name>
    <c:fmtId val="12"/>
  </c:pivotSource>
  <c:chart>
    <c:title>
      <c:tx>
        <c:strRef>
          <c:f>Объем!$G$1</c:f>
          <c:strCache>
            <c:ptCount val="1"/>
            <c:pt idx="0">
              <c:v>Динамика объема предложения по годам</c:v>
            </c:pt>
          </c:strCache>
        </c:strRef>
      </c:tx>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rnd">
            <a:solidFill>
              <a:schemeClr val="accent1"/>
            </a:solidFill>
            <a:round/>
          </a:ln>
          <a:effectLst/>
        </c:spPr>
        <c:marker>
          <c:symbol val="circle"/>
          <c:size val="5"/>
          <c:spPr>
            <a:solidFill>
              <a:schemeClr val="accent5"/>
            </a:solidFill>
            <a:ln w="19050">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Объем!$G$1</c:f>
              <c:strCache>
                <c:ptCount val="1"/>
                <c:pt idx="0">
                  <c:v>2020</c:v>
                </c:pt>
              </c:strCache>
            </c:strRef>
          </c:tx>
          <c:spPr>
            <a:ln w="28575" cap="rnd">
              <a:solidFill>
                <a:schemeClr val="bg2"/>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1">
                  <c:v>51138</c:v>
                </c:pt>
                <c:pt idx="2">
                  <c:v>49623</c:v>
                </c:pt>
                <c:pt idx="3">
                  <c:v>35935</c:v>
                </c:pt>
                <c:pt idx="4">
                  <c:v>40051</c:v>
                </c:pt>
                <c:pt idx="5">
                  <c:v>45138</c:v>
                </c:pt>
                <c:pt idx="6">
                  <c:v>44816</c:v>
                </c:pt>
                <c:pt idx="7">
                  <c:v>43874</c:v>
                </c:pt>
                <c:pt idx="8">
                  <c:v>42617</c:v>
                </c:pt>
                <c:pt idx="9">
                  <c:v>40044</c:v>
                </c:pt>
                <c:pt idx="10">
                  <c:v>36531</c:v>
                </c:pt>
                <c:pt idx="11">
                  <c:v>33045</c:v>
                </c:pt>
              </c:numCache>
            </c:numRef>
          </c:val>
          <c:smooth val="0"/>
          <c:extLst>
            <c:ext xmlns:c16="http://schemas.microsoft.com/office/drawing/2014/chart" uri="{C3380CC4-5D6E-409C-BE32-E72D297353CC}">
              <c16:uniqueId val="{00000000-F911-4D3C-8073-7DF757FA8BAC}"/>
            </c:ext>
          </c:extLst>
        </c:ser>
        <c:ser>
          <c:idx val="1"/>
          <c:order val="1"/>
          <c:tx>
            <c:strRef>
              <c:f>Объем!$G$1</c:f>
              <c:strCache>
                <c:ptCount val="1"/>
                <c:pt idx="0">
                  <c:v>2021</c:v>
                </c:pt>
              </c:strCache>
            </c:strRef>
          </c:tx>
          <c:spPr>
            <a:ln w="28575" cap="rnd">
              <a:solidFill>
                <a:schemeClr val="bg1">
                  <a:lumMod val="75000"/>
                </a:schemeClr>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33696</c:v>
                </c:pt>
                <c:pt idx="1">
                  <c:v>36928</c:v>
                </c:pt>
                <c:pt idx="2">
                  <c:v>40098.840000000004</c:v>
                </c:pt>
                <c:pt idx="3">
                  <c:v>39674</c:v>
                </c:pt>
                <c:pt idx="4">
                  <c:v>39139</c:v>
                </c:pt>
                <c:pt idx="5">
                  <c:v>39250</c:v>
                </c:pt>
                <c:pt idx="6">
                  <c:v>38946</c:v>
                </c:pt>
                <c:pt idx="7">
                  <c:v>37677</c:v>
                </c:pt>
                <c:pt idx="8">
                  <c:v>39371.869999999995</c:v>
                </c:pt>
                <c:pt idx="9">
                  <c:v>40320</c:v>
                </c:pt>
                <c:pt idx="10">
                  <c:v>38654</c:v>
                </c:pt>
                <c:pt idx="11">
                  <c:v>36939</c:v>
                </c:pt>
              </c:numCache>
            </c:numRef>
          </c:val>
          <c:smooth val="0"/>
          <c:extLst>
            <c:ext xmlns:c16="http://schemas.microsoft.com/office/drawing/2014/chart" uri="{C3380CC4-5D6E-409C-BE32-E72D297353CC}">
              <c16:uniqueId val="{00000001-F911-4D3C-8073-7DF757FA8BAC}"/>
            </c:ext>
          </c:extLst>
        </c:ser>
        <c:ser>
          <c:idx val="2"/>
          <c:order val="2"/>
          <c:tx>
            <c:strRef>
              <c:f>Объем!$G$1</c:f>
              <c:strCache>
                <c:ptCount val="1"/>
                <c:pt idx="0">
                  <c:v>2022</c:v>
                </c:pt>
              </c:strCache>
            </c:strRef>
          </c:tx>
          <c:spPr>
            <a:ln w="28575" cap="rnd">
              <a:solidFill>
                <a:schemeClr val="bg1">
                  <a:lumMod val="65000"/>
                </a:schemeClr>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34055</c:v>
                </c:pt>
                <c:pt idx="1">
                  <c:v>37351</c:v>
                </c:pt>
                <c:pt idx="2">
                  <c:v>35749</c:v>
                </c:pt>
                <c:pt idx="3">
                  <c:v>32227</c:v>
                </c:pt>
                <c:pt idx="4">
                  <c:v>35606</c:v>
                </c:pt>
                <c:pt idx="5">
                  <c:v>40367</c:v>
                </c:pt>
                <c:pt idx="6">
                  <c:v>43364</c:v>
                </c:pt>
                <c:pt idx="7">
                  <c:v>44486</c:v>
                </c:pt>
                <c:pt idx="8">
                  <c:v>49091</c:v>
                </c:pt>
                <c:pt idx="9">
                  <c:v>50851</c:v>
                </c:pt>
                <c:pt idx="10">
                  <c:v>50186</c:v>
                </c:pt>
                <c:pt idx="11">
                  <c:v>48354</c:v>
                </c:pt>
              </c:numCache>
            </c:numRef>
          </c:val>
          <c:smooth val="0"/>
          <c:extLst>
            <c:ext xmlns:c16="http://schemas.microsoft.com/office/drawing/2014/chart" uri="{C3380CC4-5D6E-409C-BE32-E72D297353CC}">
              <c16:uniqueId val="{00000002-F911-4D3C-8073-7DF757FA8BAC}"/>
            </c:ext>
          </c:extLst>
        </c:ser>
        <c:ser>
          <c:idx val="3"/>
          <c:order val="3"/>
          <c:tx>
            <c:strRef>
              <c:f>Объем!$G$1</c:f>
              <c:strCache>
                <c:ptCount val="1"/>
                <c:pt idx="0">
                  <c:v>2023</c:v>
                </c:pt>
              </c:strCache>
            </c:strRef>
          </c:tx>
          <c:spPr>
            <a:ln w="28575" cap="rnd">
              <a:solidFill>
                <a:schemeClr val="accent1">
                  <a:lumMod val="60000"/>
                  <a:lumOff val="40000"/>
                </a:schemeClr>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46290</c:v>
                </c:pt>
                <c:pt idx="1">
                  <c:v>48705</c:v>
                </c:pt>
                <c:pt idx="2">
                  <c:v>51354</c:v>
                </c:pt>
                <c:pt idx="3">
                  <c:v>48817</c:v>
                </c:pt>
                <c:pt idx="4">
                  <c:v>47660</c:v>
                </c:pt>
                <c:pt idx="5">
                  <c:v>46252</c:v>
                </c:pt>
                <c:pt idx="6">
                  <c:v>43280</c:v>
                </c:pt>
                <c:pt idx="7">
                  <c:v>41050</c:v>
                </c:pt>
                <c:pt idx="8">
                  <c:v>38632</c:v>
                </c:pt>
                <c:pt idx="9">
                  <c:v>37552</c:v>
                </c:pt>
                <c:pt idx="10">
                  <c:v>37865</c:v>
                </c:pt>
                <c:pt idx="11">
                  <c:v>34799</c:v>
                </c:pt>
              </c:numCache>
            </c:numRef>
          </c:val>
          <c:smooth val="0"/>
          <c:extLst>
            <c:ext xmlns:c16="http://schemas.microsoft.com/office/drawing/2014/chart" uri="{C3380CC4-5D6E-409C-BE32-E72D297353CC}">
              <c16:uniqueId val="{00000003-F911-4D3C-8073-7DF757FA8BAC}"/>
            </c:ext>
          </c:extLst>
        </c:ser>
        <c:ser>
          <c:idx val="4"/>
          <c:order val="4"/>
          <c:tx>
            <c:strRef>
              <c:f>Объем!$G$1</c:f>
              <c:strCache>
                <c:ptCount val="1"/>
                <c:pt idx="0">
                  <c:v>2024</c:v>
                </c:pt>
              </c:strCache>
            </c:strRef>
          </c:tx>
          <c:spPr>
            <a:ln w="38100" cap="rnd">
              <a:solidFill>
                <a:schemeClr val="accent5"/>
              </a:solidFill>
              <a:round/>
            </a:ln>
            <a:effectLst/>
          </c:spPr>
          <c:marker>
            <c:symbol val="circle"/>
            <c:size val="5"/>
            <c:spPr>
              <a:solidFill>
                <a:schemeClr val="accent5"/>
              </a:solidFill>
              <a:ln w="19050">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34722</c:v>
                </c:pt>
                <c:pt idx="1">
                  <c:v>38847</c:v>
                </c:pt>
                <c:pt idx="2">
                  <c:v>40695</c:v>
                </c:pt>
                <c:pt idx="3">
                  <c:v>41463</c:v>
                </c:pt>
                <c:pt idx="4">
                  <c:v>41191</c:v>
                </c:pt>
                <c:pt idx="5">
                  <c:v>42751</c:v>
                </c:pt>
                <c:pt idx="6">
                  <c:v>43920</c:v>
                </c:pt>
                <c:pt idx="7">
                  <c:v>44771</c:v>
                </c:pt>
                <c:pt idx="8">
                  <c:v>45297</c:v>
                </c:pt>
                <c:pt idx="9">
                  <c:v>46503.270000000004</c:v>
                </c:pt>
                <c:pt idx="10">
                  <c:v>45781</c:v>
                </c:pt>
                <c:pt idx="11">
                  <c:v>40105</c:v>
                </c:pt>
              </c:numCache>
            </c:numRef>
          </c:val>
          <c:smooth val="0"/>
          <c:extLst>
            <c:ext xmlns:c16="http://schemas.microsoft.com/office/drawing/2014/chart" uri="{C3380CC4-5D6E-409C-BE32-E72D297353CC}">
              <c16:uniqueId val="{00000004-F911-4D3C-8073-7DF757FA8BAC}"/>
            </c:ext>
          </c:extLst>
        </c:ser>
        <c:ser>
          <c:idx val="5"/>
          <c:order val="5"/>
          <c:tx>
            <c:strRef>
              <c:f>Объем!$G$1</c:f>
              <c:strCache>
                <c:ptCount val="1"/>
                <c:pt idx="0">
                  <c:v>2025</c:v>
                </c:pt>
              </c:strCache>
            </c:strRef>
          </c:tx>
          <c:spPr>
            <a:ln w="28575" cap="rnd">
              <a:solidFill>
                <a:schemeClr val="accent6"/>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35988</c:v>
                </c:pt>
                <c:pt idx="1">
                  <c:v>37022</c:v>
                </c:pt>
                <c:pt idx="2">
                  <c:v>37437</c:v>
                </c:pt>
                <c:pt idx="3">
                  <c:v>36697</c:v>
                </c:pt>
                <c:pt idx="4">
                  <c:v>36941</c:v>
                </c:pt>
                <c:pt idx="5">
                  <c:v>34708</c:v>
                </c:pt>
                <c:pt idx="6">
                  <c:v>35695</c:v>
                </c:pt>
                <c:pt idx="7">
                  <c:v>35274</c:v>
                </c:pt>
              </c:numCache>
            </c:numRef>
          </c:val>
          <c:smooth val="0"/>
          <c:extLst>
            <c:ext xmlns:c16="http://schemas.microsoft.com/office/drawing/2014/chart" uri="{C3380CC4-5D6E-409C-BE32-E72D297353CC}">
              <c16:uniqueId val="{00000000-C37F-444B-A9DE-844F20065382}"/>
            </c:ext>
          </c:extLst>
        </c:ser>
        <c:dLbls>
          <c:showLegendKey val="0"/>
          <c:showVal val="0"/>
          <c:showCatName val="0"/>
          <c:showSerName val="0"/>
          <c:showPercent val="0"/>
          <c:showBubbleSize val="0"/>
        </c:dLbls>
        <c:smooth val="0"/>
        <c:axId val="1716683967"/>
        <c:axId val="1716692287"/>
      </c:lineChart>
      <c:catAx>
        <c:axId val="17166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92287"/>
        <c:crosses val="autoZero"/>
        <c:auto val="1"/>
        <c:lblAlgn val="ctr"/>
        <c:lblOffset val="100"/>
        <c:noMultiLvlLbl val="0"/>
      </c:catAx>
      <c:valAx>
        <c:axId val="1716692287"/>
        <c:scaling>
          <c:orientation val="minMax"/>
          <c:min val="3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3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месяцу!Цена</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'К прошлому месяцу'!$H$4</c:f>
              <c:strCache>
                <c:ptCount val="1"/>
                <c:pt idx="0">
                  <c:v>Цена</c:v>
                </c:pt>
              </c:strCache>
            </c:strRef>
          </c:tx>
          <c:spPr>
            <a:solidFill>
              <a:schemeClr val="accent1"/>
            </a:solidFill>
            <a:ln>
              <a:noFill/>
            </a:ln>
            <a:effectLst/>
          </c:spPr>
          <c:invertIfNegative val="0"/>
          <c:cat>
            <c:strRef>
              <c:f>'К прошлому месяцу'!$H$4</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месяцу'!$H$4</c:f>
              <c:numCache>
                <c:formatCode>#\ ##0_ ;\-#\ ##0\ </c:formatCode>
                <c:ptCount val="9"/>
                <c:pt idx="0">
                  <c:v>301401.5354857652</c:v>
                </c:pt>
                <c:pt idx="1">
                  <c:v>390426.86223253259</c:v>
                </c:pt>
                <c:pt idx="2">
                  <c:v>348719.96547182067</c:v>
                </c:pt>
                <c:pt idx="3">
                  <c:v>321601.43818400661</c:v>
                </c:pt>
                <c:pt idx="4">
                  <c:v>341954.07260854339</c:v>
                </c:pt>
                <c:pt idx="5">
                  <c:v>691577.06056553405</c:v>
                </c:pt>
                <c:pt idx="6">
                  <c:v>293796.85927651142</c:v>
                </c:pt>
                <c:pt idx="7">
                  <c:v>347494.20654323848</c:v>
                </c:pt>
                <c:pt idx="8">
                  <c:v>319461.35296923999</c:v>
                </c:pt>
              </c:numCache>
            </c:numRef>
          </c:val>
          <c:extLst>
            <c:ext xmlns:c16="http://schemas.microsoft.com/office/drawing/2014/chart" uri="{C3380CC4-5D6E-409C-BE32-E72D297353CC}">
              <c16:uniqueId val="{00000000-6BE4-4BA6-A3BE-8162B38F50FA}"/>
            </c:ext>
          </c:extLst>
        </c:ser>
        <c:ser>
          <c:idx val="1"/>
          <c:order val="1"/>
          <c:tx>
            <c:strRef>
              <c:f>'К прошлому месяцу'!$H$4</c:f>
              <c:strCache>
                <c:ptCount val="1"/>
                <c:pt idx="0">
                  <c:v>Изменение</c:v>
                </c:pt>
              </c:strCache>
            </c:strRef>
          </c:tx>
          <c:spPr>
            <a:solidFill>
              <a:schemeClr val="accent2"/>
            </a:solidFill>
            <a:ln>
              <a:noFill/>
            </a:ln>
            <a:effectLst/>
          </c:spPr>
          <c:invertIfNegative val="0"/>
          <c:cat>
            <c:strRef>
              <c:f>'К прошлому месяцу'!$H$4</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месяцу'!$H$4</c:f>
              <c:numCache>
                <c:formatCode>0%</c:formatCode>
                <c:ptCount val="9"/>
                <c:pt idx="0">
                  <c:v>-1.2197246147880314E-3</c:v>
                </c:pt>
                <c:pt idx="1">
                  <c:v>2.0027905419195413E-2</c:v>
                </c:pt>
                <c:pt idx="2">
                  <c:v>3.7453717291595634E-3</c:v>
                </c:pt>
                <c:pt idx="3">
                  <c:v>2.506242202195974E-4</c:v>
                </c:pt>
                <c:pt idx="4">
                  <c:v>3.9958797424599624E-3</c:v>
                </c:pt>
                <c:pt idx="5">
                  <c:v>-7.2880181495893481E-3</c:v>
                </c:pt>
                <c:pt idx="6">
                  <c:v>1.3239759555428776E-2</c:v>
                </c:pt>
                <c:pt idx="7">
                  <c:v>3.8882692643156247E-3</c:v>
                </c:pt>
                <c:pt idx="8">
                  <c:v>7.3730991670513113E-3</c:v>
                </c:pt>
              </c:numCache>
            </c:numRef>
          </c:val>
          <c:extLst>
            <c:ext xmlns:c16="http://schemas.microsoft.com/office/drawing/2014/chart" uri="{C3380CC4-5D6E-409C-BE32-E72D297353CC}">
              <c16:uniqueId val="{00000001-6BE4-4BA6-A3BE-8162B38F50FA}"/>
            </c:ext>
          </c:extLst>
        </c:ser>
        <c:dLbls>
          <c:showLegendKey val="0"/>
          <c:showVal val="0"/>
          <c:showCatName val="0"/>
          <c:showSerName val="0"/>
          <c:showPercent val="0"/>
          <c:showBubbleSize val="0"/>
        </c:dLbls>
        <c:gapWidth val="150"/>
        <c:overlap val="100"/>
        <c:axId val="430710368"/>
        <c:axId val="430695808"/>
      </c:barChart>
      <c:catAx>
        <c:axId val="4307103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695808"/>
        <c:crosses val="autoZero"/>
        <c:auto val="1"/>
        <c:lblAlgn val="ctr"/>
        <c:lblOffset val="100"/>
        <c:noMultiLvlLbl val="0"/>
      </c:catAx>
      <c:valAx>
        <c:axId val="430695808"/>
        <c:scaling>
          <c:orientation val="minMax"/>
        </c:scaling>
        <c:delete val="1"/>
        <c:axPos val="t"/>
        <c:title>
          <c:tx>
            <c:strRef>
              <c:f>'К прошлому месяцу'!$H$4</c:f>
              <c:strCache>
                <c:ptCount val="1"/>
                <c:pt idx="0">
                  <c:v>Средняя взвешенная цена квадратного метра  по административным округам Москвы</c:v>
                </c:pt>
              </c:strCache>
            </c:strRef>
          </c:tx>
          <c:layout>
            <c:manualLayout>
              <c:xMode val="edge"/>
              <c:yMode val="edge"/>
              <c:x val="0.10710514126910606"/>
              <c:y val="2.5510204081632654E-2"/>
            </c:manualLayout>
          </c:layout>
          <c:overlay val="0"/>
          <c:spPr>
            <a:noFill/>
            <a:ln>
              <a:noFill/>
            </a:ln>
            <a:effectLst/>
          </c:spPr>
          <c:txPr>
            <a:bodyPr rot="0" spcFirstLastPara="1" vertOverflow="ellipsis" vert="horz" wrap="square" anchor="ctr" anchorCtr="1"/>
            <a:lstStyle/>
            <a:p>
              <a:pPr>
                <a:defRPr sz="1000" b="0" i="1" u="none" strike="noStrike" kern="1200" baseline="0">
                  <a:solidFill>
                    <a:schemeClr val="tx1">
                      <a:lumMod val="65000"/>
                      <a:lumOff val="35000"/>
                    </a:schemeClr>
                  </a:solidFill>
                  <a:latin typeface="+mn-lt"/>
                  <a:ea typeface="+mn-ea"/>
                  <a:cs typeface="+mn-cs"/>
                </a:defRPr>
              </a:pPr>
              <a:endParaRPr lang="ru-RU"/>
            </a:p>
          </c:txPr>
        </c:title>
        <c:numFmt formatCode="#\ ##0_ ;\-#\ ##0\ " sourceLinked="1"/>
        <c:majorTickMark val="none"/>
        <c:minorTickMark val="none"/>
        <c:tickLblPos val="nextTo"/>
        <c:crossAx val="430710368"/>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месяцу!Объем</c:name>
    <c:fmtId val="5"/>
  </c:pivotSource>
  <c:chart>
    <c:title>
      <c:tx>
        <c:strRef>
          <c:f>'К прошлому месяцу'!$A$1</c:f>
          <c:strCache>
            <c:ptCount val="1"/>
            <c:pt idx="0">
              <c:v>Объем предложения 
по административным округам Москвы</c:v>
            </c:pt>
          </c:strCache>
        </c:strRef>
      </c:tx>
      <c:overlay val="0"/>
      <c:spPr>
        <a:noFill/>
        <a:ln>
          <a:noFill/>
        </a:ln>
        <a:effectLst/>
      </c:spPr>
      <c:txPr>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c:spPr>
      </c:pivotFmt>
      <c:pivotFmt>
        <c:idx val="5"/>
        <c:spPr>
          <a:solidFill>
            <a:schemeClr val="accent2"/>
          </a:solidFill>
          <a:ln>
            <a:noFill/>
          </a:ln>
          <a:effectLst/>
        </c:spPr>
      </c:pivotFmt>
      <c:pivotFmt>
        <c:idx val="6"/>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stacked"/>
        <c:varyColors val="0"/>
        <c:ser>
          <c:idx val="0"/>
          <c:order val="0"/>
          <c:tx>
            <c:strRef>
              <c:f>'К прошлому месяцу'!$A$1</c:f>
              <c:strCache>
                <c:ptCount val="1"/>
                <c:pt idx="0">
                  <c:v>Объем</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 прошлому месяцу'!$A$1</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месяцу'!$A$1</c:f>
              <c:numCache>
                <c:formatCode>#,##0</c:formatCode>
                <c:ptCount val="9"/>
                <c:pt idx="0">
                  <c:v>3771</c:v>
                </c:pt>
                <c:pt idx="1">
                  <c:v>4115</c:v>
                </c:pt>
                <c:pt idx="2">
                  <c:v>3596</c:v>
                </c:pt>
                <c:pt idx="3">
                  <c:v>3408</c:v>
                </c:pt>
                <c:pt idx="4">
                  <c:v>2270</c:v>
                </c:pt>
                <c:pt idx="5">
                  <c:v>4466</c:v>
                </c:pt>
                <c:pt idx="6">
                  <c:v>3588</c:v>
                </c:pt>
                <c:pt idx="7">
                  <c:v>3801</c:v>
                </c:pt>
                <c:pt idx="8">
                  <c:v>3865</c:v>
                </c:pt>
              </c:numCache>
            </c:numRef>
          </c:val>
          <c:extLst>
            <c:ext xmlns:c16="http://schemas.microsoft.com/office/drawing/2014/chart" uri="{C3380CC4-5D6E-409C-BE32-E72D297353CC}">
              <c16:uniqueId val="{00000000-A1E4-486A-BC03-2A3B214275C8}"/>
            </c:ext>
          </c:extLst>
        </c:ser>
        <c:ser>
          <c:idx val="1"/>
          <c:order val="1"/>
          <c:tx>
            <c:strRef>
              <c:f>'К прошлому месяцу'!$A$1</c:f>
              <c:strCache>
                <c:ptCount val="1"/>
                <c:pt idx="0">
                  <c:v>Изменение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 прошлому месяцу'!$A$1</c:f>
              <c:strCache>
                <c:ptCount val="9"/>
                <c:pt idx="0">
                  <c:v>Восточный</c:v>
                </c:pt>
                <c:pt idx="1">
                  <c:v>Западный</c:v>
                </c:pt>
                <c:pt idx="2">
                  <c:v>Северный</c:v>
                </c:pt>
                <c:pt idx="3">
                  <c:v>Северо-Восточный</c:v>
                </c:pt>
                <c:pt idx="4">
                  <c:v>Северо-Западный</c:v>
                </c:pt>
                <c:pt idx="5">
                  <c:v>Центральный</c:v>
                </c:pt>
                <c:pt idx="6">
                  <c:v>Юго-Восточный</c:v>
                </c:pt>
                <c:pt idx="7">
                  <c:v>Юго-Западный</c:v>
                </c:pt>
                <c:pt idx="8">
                  <c:v>Южный</c:v>
                </c:pt>
              </c:strCache>
            </c:strRef>
          </c:cat>
          <c:val>
            <c:numRef>
              <c:f>'К прошлому месяцу'!$A$1</c:f>
              <c:numCache>
                <c:formatCode>0%</c:formatCode>
                <c:ptCount val="9"/>
                <c:pt idx="0">
                  <c:v>-3.1587057010785791E-2</c:v>
                </c:pt>
                <c:pt idx="1">
                  <c:v>-2.1823472356935492E-3</c:v>
                </c:pt>
                <c:pt idx="2">
                  <c:v>-2.7731558513588439E-3</c:v>
                </c:pt>
                <c:pt idx="3">
                  <c:v>5.8719906048154691E-4</c:v>
                </c:pt>
                <c:pt idx="4">
                  <c:v>6.6518847006651338E-3</c:v>
                </c:pt>
                <c:pt idx="5">
                  <c:v>-7.1142730102267127E-3</c:v>
                </c:pt>
                <c:pt idx="6">
                  <c:v>1.2415349887133109E-2</c:v>
                </c:pt>
                <c:pt idx="7">
                  <c:v>-1.706749418153608E-2</c:v>
                </c:pt>
                <c:pt idx="8">
                  <c:v>-1.8786494034018775E-2</c:v>
                </c:pt>
              </c:numCache>
            </c:numRef>
          </c:val>
          <c:extLst>
            <c:ext xmlns:c16="http://schemas.microsoft.com/office/drawing/2014/chart" uri="{C3380CC4-5D6E-409C-BE32-E72D297353CC}">
              <c16:uniqueId val="{00000001-A1E4-486A-BC03-2A3B214275C8}"/>
            </c:ext>
          </c:extLst>
        </c:ser>
        <c:dLbls>
          <c:dLblPos val="ctr"/>
          <c:showLegendKey val="0"/>
          <c:showVal val="1"/>
          <c:showCatName val="0"/>
          <c:showSerName val="0"/>
          <c:showPercent val="0"/>
          <c:showBubbleSize val="0"/>
        </c:dLbls>
        <c:gapWidth val="50"/>
        <c:overlap val="100"/>
        <c:axId val="1474851855"/>
        <c:axId val="1474838543"/>
      </c:barChart>
      <c:catAx>
        <c:axId val="14748518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74838543"/>
        <c:crosses val="autoZero"/>
        <c:auto val="1"/>
        <c:lblAlgn val="ctr"/>
        <c:lblOffset val="100"/>
        <c:noMultiLvlLbl val="0"/>
      </c:catAx>
      <c:valAx>
        <c:axId val="1474838543"/>
        <c:scaling>
          <c:orientation val="minMax"/>
        </c:scaling>
        <c:delete val="1"/>
        <c:axPos val="t"/>
        <c:numFmt formatCode="#,##0" sourceLinked="1"/>
        <c:majorTickMark val="none"/>
        <c:minorTickMark val="none"/>
        <c:tickLblPos val="nextTo"/>
        <c:crossAx val="147485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отправке.xlsx]К прошлому году!Цена</c:name>
    <c:fmtId val="8"/>
  </c:pivotSource>
  <c:chart>
    <c:title>
      <c:tx>
        <c:strRef>
          <c:f>'К прошлому году'!$B$1</c:f>
          <c:strCache>
            <c:ptCount val="1"/>
            <c:pt idx="0">
              <c:v>Изменение цены относительно месяца 2023 года</c:v>
            </c:pt>
          </c:strCache>
        </c:strRef>
      </c:tx>
      <c:overlay val="0"/>
      <c:spPr>
        <a:noFill/>
        <a:ln>
          <a:noFill/>
        </a:ln>
        <a:effectLst/>
      </c:spPr>
      <c:txPr>
        <a:bodyPr rot="0" spcFirstLastPara="1" vertOverflow="ellipsis" vert="horz" wrap="square" anchor="ctr" anchorCtr="1"/>
        <a:lstStyle/>
        <a:p>
          <a:pPr>
            <a:defRPr sz="1100" b="0"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'К прошлому году'!$B$1</c:f>
              <c:strCache>
                <c:ptCount val="1"/>
                <c:pt idx="0">
                  <c:v>2023 - авг</c:v>
                </c:pt>
              </c:strCache>
            </c:strRef>
          </c:tx>
          <c:spPr>
            <a:solidFill>
              <a:schemeClr val="accent1"/>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271753.43139286892</c:v>
                </c:pt>
                <c:pt idx="1">
                  <c:v>340731.0975671148</c:v>
                </c:pt>
                <c:pt idx="2">
                  <c:v>220945.6460367316</c:v>
                </c:pt>
                <c:pt idx="3">
                  <c:v>314128.71891417587</c:v>
                </c:pt>
                <c:pt idx="4">
                  <c:v>291580.60943401378</c:v>
                </c:pt>
                <c:pt idx="5">
                  <c:v>315410.97976804298</c:v>
                </c:pt>
                <c:pt idx="6">
                  <c:v>574623.85455811245</c:v>
                </c:pt>
                <c:pt idx="7">
                  <c:v>265768.53769819078</c:v>
                </c:pt>
                <c:pt idx="8">
                  <c:v>307525.38589723379</c:v>
                </c:pt>
                <c:pt idx="9">
                  <c:v>286060.81074433221</c:v>
                </c:pt>
              </c:numCache>
            </c:numRef>
          </c:val>
          <c:extLst>
            <c:ext xmlns:c16="http://schemas.microsoft.com/office/drawing/2014/chart" uri="{C3380CC4-5D6E-409C-BE32-E72D297353CC}">
              <c16:uniqueId val="{00000000-D5D9-41FC-8218-652DD5F49985}"/>
            </c:ext>
          </c:extLst>
        </c:ser>
        <c:ser>
          <c:idx val="1"/>
          <c:order val="1"/>
          <c:tx>
            <c:strRef>
              <c:f>'К прошлому году'!$B$1</c:f>
              <c:strCache>
                <c:ptCount val="1"/>
                <c:pt idx="0">
                  <c:v>2024 - авг</c:v>
                </c:pt>
              </c:strCache>
            </c:strRef>
          </c:tx>
          <c:spPr>
            <a:solidFill>
              <a:schemeClr val="accent2"/>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286025.57234542491</c:v>
                </c:pt>
                <c:pt idx="1">
                  <c:v>365128.20366535801</c:v>
                </c:pt>
                <c:pt idx="2">
                  <c:v>246027.25758545179</c:v>
                </c:pt>
                <c:pt idx="3">
                  <c:v>331132.64062906388</c:v>
                </c:pt>
                <c:pt idx="4">
                  <c:v>304370.83287192642</c:v>
                </c:pt>
                <c:pt idx="5">
                  <c:v>332583.65265418711</c:v>
                </c:pt>
                <c:pt idx="6">
                  <c:v>619052.451207601</c:v>
                </c:pt>
                <c:pt idx="7">
                  <c:v>282380.45405822009</c:v>
                </c:pt>
                <c:pt idx="8">
                  <c:v>326994.16273948271</c:v>
                </c:pt>
                <c:pt idx="9">
                  <c:v>303447.717979501</c:v>
                </c:pt>
              </c:numCache>
            </c:numRef>
          </c:val>
          <c:extLst>
            <c:ext xmlns:c16="http://schemas.microsoft.com/office/drawing/2014/chart" uri="{C3380CC4-5D6E-409C-BE32-E72D297353CC}">
              <c16:uniqueId val="{00000000-A73C-46EC-97A3-4B366AA40B4E}"/>
            </c:ext>
          </c:extLst>
        </c:ser>
        <c:ser>
          <c:idx val="2"/>
          <c:order val="2"/>
          <c:tx>
            <c:strRef>
              <c:f>'К прошлому году'!$B$1</c:f>
              <c:strCache>
                <c:ptCount val="1"/>
                <c:pt idx="0">
                  <c:v>2025 - авг</c:v>
                </c:pt>
              </c:strCache>
            </c:strRef>
          </c:tx>
          <c:spPr>
            <a:solidFill>
              <a:schemeClr val="accent3"/>
            </a:solidFill>
            <a:ln>
              <a:noFill/>
            </a:ln>
            <a:effectLst/>
          </c:spPr>
          <c:invertIfNegative val="0"/>
          <c:cat>
            <c:strRef>
              <c:f>'К прошлому году'!$B$1</c:f>
              <c:strCache>
                <c:ptCount val="10"/>
                <c:pt idx="0">
                  <c:v>ВАО</c:v>
                </c:pt>
                <c:pt idx="1">
                  <c:v>ЗАО</c:v>
                </c:pt>
                <c:pt idx="2">
                  <c:v>НАО</c:v>
                </c:pt>
                <c:pt idx="3">
                  <c:v>САО</c:v>
                </c:pt>
                <c:pt idx="4">
                  <c:v>СВАО</c:v>
                </c:pt>
                <c:pt idx="5">
                  <c:v>СЗАО</c:v>
                </c:pt>
                <c:pt idx="6">
                  <c:v>ЦАО</c:v>
                </c:pt>
                <c:pt idx="7">
                  <c:v>ЮВАО</c:v>
                </c:pt>
                <c:pt idx="8">
                  <c:v>ЮЗАО</c:v>
                </c:pt>
                <c:pt idx="9">
                  <c:v>ЮАО</c:v>
                </c:pt>
              </c:strCache>
            </c:strRef>
          </c:cat>
          <c:val>
            <c:numRef>
              <c:f>'К прошлому году'!$B$1</c:f>
              <c:numCache>
                <c:formatCode>#\ ##0_ ;\-#\ ##0\ </c:formatCode>
                <c:ptCount val="10"/>
                <c:pt idx="0">
                  <c:v>301401.5354857652</c:v>
                </c:pt>
                <c:pt idx="1">
                  <c:v>390426.86223253259</c:v>
                </c:pt>
                <c:pt idx="2">
                  <c:v>237173.07507765331</c:v>
                </c:pt>
                <c:pt idx="3">
                  <c:v>348719.96547182067</c:v>
                </c:pt>
                <c:pt idx="4">
                  <c:v>321601.43818400661</c:v>
                </c:pt>
                <c:pt idx="5">
                  <c:v>341954.07260854339</c:v>
                </c:pt>
                <c:pt idx="6">
                  <c:v>691577.06056553405</c:v>
                </c:pt>
                <c:pt idx="7">
                  <c:v>293796.85927651142</c:v>
                </c:pt>
                <c:pt idx="8">
                  <c:v>347494.20654323848</c:v>
                </c:pt>
                <c:pt idx="9">
                  <c:v>319461.35296923999</c:v>
                </c:pt>
              </c:numCache>
            </c:numRef>
          </c:val>
          <c:extLst>
            <c:ext xmlns:c16="http://schemas.microsoft.com/office/drawing/2014/chart" uri="{C3380CC4-5D6E-409C-BE32-E72D297353CC}">
              <c16:uniqueId val="{00000000-4679-4683-A912-4A42543218E0}"/>
            </c:ext>
          </c:extLst>
        </c:ser>
        <c:dLbls>
          <c:showLegendKey val="0"/>
          <c:showVal val="0"/>
          <c:showCatName val="0"/>
          <c:showSerName val="0"/>
          <c:showPercent val="0"/>
          <c:showBubbleSize val="0"/>
        </c:dLbls>
        <c:gapWidth val="219"/>
        <c:overlap val="-27"/>
        <c:axId val="337463568"/>
        <c:axId val="337469808"/>
      </c:barChart>
      <c:catAx>
        <c:axId val="3374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7469808"/>
        <c:crosses val="autoZero"/>
        <c:auto val="1"/>
        <c:lblAlgn val="ctr"/>
        <c:lblOffset val="100"/>
        <c:noMultiLvlLbl val="0"/>
      </c:catAx>
      <c:valAx>
        <c:axId val="337469808"/>
        <c:scaling>
          <c:orientation val="minMax"/>
        </c:scaling>
        <c:delete val="0"/>
        <c:axPos val="l"/>
        <c:majorGridlines>
          <c:spPr>
            <a:ln w="9525" cap="flat" cmpd="sng" algn="ctr">
              <a:solidFill>
                <a:schemeClr val="tx1">
                  <a:lumMod val="15000"/>
                  <a:lumOff val="85000"/>
                </a:schemeClr>
              </a:solidFill>
              <a:round/>
            </a:ln>
            <a:effectLst/>
          </c:spPr>
        </c:majorGridlines>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7463568"/>
        <c:crosses val="autoZero"/>
        <c:crossBetween val="between"/>
      </c:valAx>
      <c:spPr>
        <a:noFill/>
        <a:ln>
          <a:noFill/>
        </a:ln>
        <a:effectLst/>
      </c:spPr>
    </c:plotArea>
    <c:legend>
      <c:legendPos val="r"/>
      <c:layout>
        <c:manualLayout>
          <c:xMode val="edge"/>
          <c:yMode val="edge"/>
          <c:x val="0.82425333690638425"/>
          <c:y val="0.12957581915163829"/>
          <c:w val="0.16281411963258394"/>
          <c:h val="0.16749496883609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отправке.xlsx]Динамика!Динамика</c:name>
    <c:fmtId val="5"/>
  </c:pivotSource>
  <c:chart>
    <c:title>
      <c:tx>
        <c:strRef>
          <c:f>Динамика!$B$2</c:f>
          <c:strCache>
            <c:ptCount val="1"/>
            <c:pt idx="0">
              <c:v>Динамика цен выставления по административным округам Москвы</c:v>
            </c:pt>
          </c:strCache>
        </c:strRef>
      </c:tx>
      <c:layout>
        <c:manualLayout>
          <c:xMode val="edge"/>
          <c:yMode val="edge"/>
          <c:x val="0.1023719686518753"/>
          <c:y val="2.5423728813559324E-2"/>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a:solidFill>
              <a:schemeClr val="accen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Динамика!$B$1</c:f>
              <c:strCache>
                <c:ptCount val="1"/>
                <c:pt idx="0">
                  <c:v>Восточный АО</c:v>
                </c:pt>
              </c:strCache>
            </c:strRef>
          </c:tx>
          <c:spPr>
            <a:ln w="28575" cap="rnd">
              <a:solidFill>
                <a:schemeClr val="accent1"/>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222408.36348782439</c:v>
                </c:pt>
                <c:pt idx="1">
                  <c:v>224060</c:v>
                </c:pt>
                <c:pt idx="2">
                  <c:v>229760.2050391048</c:v>
                </c:pt>
                <c:pt idx="3">
                  <c:v>231824.103198336</c:v>
                </c:pt>
                <c:pt idx="4">
                  <c:v>236146.7532297835</c:v>
                </c:pt>
                <c:pt idx="5">
                  <c:v>230983.15311796564</c:v>
                </c:pt>
                <c:pt idx="6">
                  <c:v>239462</c:v>
                </c:pt>
                <c:pt idx="7">
                  <c:v>243817.904226457</c:v>
                </c:pt>
                <c:pt idx="8">
                  <c:v>249485.8436743115</c:v>
                </c:pt>
                <c:pt idx="9">
                  <c:v>253346.3276842862</c:v>
                </c:pt>
                <c:pt idx="10">
                  <c:v>256232</c:v>
                </c:pt>
                <c:pt idx="11">
                  <c:v>258976.40443368099</c:v>
                </c:pt>
                <c:pt idx="12">
                  <c:v>267946.63172765332</c:v>
                </c:pt>
                <c:pt idx="13">
                  <c:v>270974.11240620178</c:v>
                </c:pt>
                <c:pt idx="14">
                  <c:v>278463.86159667029</c:v>
                </c:pt>
                <c:pt idx="15">
                  <c:v>280226.01933808258</c:v>
                </c:pt>
                <c:pt idx="16">
                  <c:v>275858.12621868192</c:v>
                </c:pt>
                <c:pt idx="17">
                  <c:v>272522.22327429499</c:v>
                </c:pt>
                <c:pt idx="18">
                  <c:v>269980.5322232318</c:v>
                </c:pt>
                <c:pt idx="19">
                  <c:v>268038.24546257441</c:v>
                </c:pt>
                <c:pt idx="20">
                  <c:v>266117.43562820752</c:v>
                </c:pt>
                <c:pt idx="21">
                  <c:v>261889.18829567861</c:v>
                </c:pt>
                <c:pt idx="22">
                  <c:v>258588.9765727123</c:v>
                </c:pt>
                <c:pt idx="23">
                  <c:v>258297.76694470219</c:v>
                </c:pt>
                <c:pt idx="24">
                  <c:v>259332.9226559925</c:v>
                </c:pt>
                <c:pt idx="25">
                  <c:v>259473.58519021151</c:v>
                </c:pt>
                <c:pt idx="26">
                  <c:v>259217.51369044819</c:v>
                </c:pt>
                <c:pt idx="27">
                  <c:v>260149.9673409111</c:v>
                </c:pt>
                <c:pt idx="28">
                  <c:v>262704.28325107589</c:v>
                </c:pt>
                <c:pt idx="29">
                  <c:v>265501.56664034212</c:v>
                </c:pt>
                <c:pt idx="30">
                  <c:v>266289.44816882262</c:v>
                </c:pt>
                <c:pt idx="31">
                  <c:v>271753.43139286892</c:v>
                </c:pt>
                <c:pt idx="32">
                  <c:v>277235.93367614498</c:v>
                </c:pt>
                <c:pt idx="33">
                  <c:v>282293.97338899889</c:v>
                </c:pt>
                <c:pt idx="34">
                  <c:v>283897.2503487455</c:v>
                </c:pt>
                <c:pt idx="35">
                  <c:v>284566.58050260629</c:v>
                </c:pt>
                <c:pt idx="36">
                  <c:v>289262.51425630139</c:v>
                </c:pt>
                <c:pt idx="37">
                  <c:v>289294.03604298149</c:v>
                </c:pt>
                <c:pt idx="38">
                  <c:v>288247.75322451221</c:v>
                </c:pt>
                <c:pt idx="39">
                  <c:v>288479.34075166669</c:v>
                </c:pt>
                <c:pt idx="40">
                  <c:v>288968.10491984768</c:v>
                </c:pt>
                <c:pt idx="41">
                  <c:v>287676.32622962177</c:v>
                </c:pt>
                <c:pt idx="42">
                  <c:v>286793.21137159038</c:v>
                </c:pt>
                <c:pt idx="43">
                  <c:v>286025.57234542491</c:v>
                </c:pt>
                <c:pt idx="44">
                  <c:v>287409.28199236043</c:v>
                </c:pt>
                <c:pt idx="45">
                  <c:v>288992.82439911942</c:v>
                </c:pt>
                <c:pt idx="46">
                  <c:v>289091.93327233038</c:v>
                </c:pt>
                <c:pt idx="47">
                  <c:v>289980.25083942019</c:v>
                </c:pt>
                <c:pt idx="48">
                  <c:v>292003.78639468091</c:v>
                </c:pt>
                <c:pt idx="49">
                  <c:v>295857.63627712522</c:v>
                </c:pt>
                <c:pt idx="50">
                  <c:v>296711.33436988131</c:v>
                </c:pt>
                <c:pt idx="51">
                  <c:v>297368.20961400057</c:v>
                </c:pt>
                <c:pt idx="52">
                  <c:v>299179.8334931166</c:v>
                </c:pt>
                <c:pt idx="53">
                  <c:v>300411.15172712231</c:v>
                </c:pt>
                <c:pt idx="54">
                  <c:v>301769.6113086734</c:v>
                </c:pt>
                <c:pt idx="55">
                  <c:v>301401.5354857652</c:v>
                </c:pt>
              </c:numCache>
            </c:numRef>
          </c:val>
          <c:smooth val="0"/>
          <c:extLst>
            <c:ext xmlns:c16="http://schemas.microsoft.com/office/drawing/2014/chart" uri="{C3380CC4-5D6E-409C-BE32-E72D297353CC}">
              <c16:uniqueId val="{00000000-7AF4-4626-A73E-624A22FF55A7}"/>
            </c:ext>
          </c:extLst>
        </c:ser>
        <c:ser>
          <c:idx val="1"/>
          <c:order val="1"/>
          <c:tx>
            <c:strRef>
              <c:f>Динамика!$B$1</c:f>
              <c:strCache>
                <c:ptCount val="1"/>
                <c:pt idx="0">
                  <c:v>Западный АО</c:v>
                </c:pt>
              </c:strCache>
            </c:strRef>
          </c:tx>
          <c:spPr>
            <a:ln w="28575" cap="rnd">
              <a:solidFill>
                <a:schemeClr val="accent2"/>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288669.41646255122</c:v>
                </c:pt>
                <c:pt idx="1">
                  <c:v>290704</c:v>
                </c:pt>
                <c:pt idx="2">
                  <c:v>294686.30042326043</c:v>
                </c:pt>
                <c:pt idx="3">
                  <c:v>299003.19790890749</c:v>
                </c:pt>
                <c:pt idx="4">
                  <c:v>303562.77174101147</c:v>
                </c:pt>
                <c:pt idx="5">
                  <c:v>307644.74547330698</c:v>
                </c:pt>
                <c:pt idx="6">
                  <c:v>307365.87509837101</c:v>
                </c:pt>
                <c:pt idx="7">
                  <c:v>313986.35700671421</c:v>
                </c:pt>
                <c:pt idx="8">
                  <c:v>318405.32816914219</c:v>
                </c:pt>
                <c:pt idx="9">
                  <c:v>321496.05009821663</c:v>
                </c:pt>
                <c:pt idx="10">
                  <c:v>326170</c:v>
                </c:pt>
                <c:pt idx="11">
                  <c:v>330302.86080593202</c:v>
                </c:pt>
                <c:pt idx="12">
                  <c:v>340527.33672739542</c:v>
                </c:pt>
                <c:pt idx="13">
                  <c:v>346948.1862733243</c:v>
                </c:pt>
                <c:pt idx="14">
                  <c:v>363085.50828029233</c:v>
                </c:pt>
                <c:pt idx="15">
                  <c:v>367420.52702621918</c:v>
                </c:pt>
                <c:pt idx="16">
                  <c:v>359294.42630135908</c:v>
                </c:pt>
                <c:pt idx="17">
                  <c:v>348500.65509742312</c:v>
                </c:pt>
                <c:pt idx="18">
                  <c:v>343912.83252685261</c:v>
                </c:pt>
                <c:pt idx="19">
                  <c:v>340004.22844694433</c:v>
                </c:pt>
                <c:pt idx="20">
                  <c:v>336424.29970319528</c:v>
                </c:pt>
                <c:pt idx="21">
                  <c:v>330306.84382925881</c:v>
                </c:pt>
                <c:pt idx="22">
                  <c:v>326518.66673538182</c:v>
                </c:pt>
                <c:pt idx="23">
                  <c:v>324768.07093273278</c:v>
                </c:pt>
                <c:pt idx="24">
                  <c:v>326279.82855966821</c:v>
                </c:pt>
                <c:pt idx="25">
                  <c:v>322496.14762979379</c:v>
                </c:pt>
                <c:pt idx="26">
                  <c:v>325831.62776930293</c:v>
                </c:pt>
                <c:pt idx="27">
                  <c:v>326518.58120994607</c:v>
                </c:pt>
                <c:pt idx="28">
                  <c:v>327429.4116643655</c:v>
                </c:pt>
                <c:pt idx="29">
                  <c:v>328390.28514200193</c:v>
                </c:pt>
                <c:pt idx="30">
                  <c:v>333528.81317852531</c:v>
                </c:pt>
                <c:pt idx="31">
                  <c:v>340731.0975671148</c:v>
                </c:pt>
                <c:pt idx="32">
                  <c:v>349255.28392081911</c:v>
                </c:pt>
                <c:pt idx="33">
                  <c:v>352808.01997684769</c:v>
                </c:pt>
                <c:pt idx="34">
                  <c:v>358307.04182195792</c:v>
                </c:pt>
                <c:pt idx="35">
                  <c:v>361334.5781139374</c:v>
                </c:pt>
                <c:pt idx="36">
                  <c:v>363757.26054850942</c:v>
                </c:pt>
                <c:pt idx="37">
                  <c:v>365488.45612006949</c:v>
                </c:pt>
                <c:pt idx="38">
                  <c:v>364124.99397040351</c:v>
                </c:pt>
                <c:pt idx="39">
                  <c:v>368219.18854266661</c:v>
                </c:pt>
                <c:pt idx="40">
                  <c:v>368799.48439855588</c:v>
                </c:pt>
                <c:pt idx="41">
                  <c:v>365693.23202531482</c:v>
                </c:pt>
                <c:pt idx="42">
                  <c:v>365502.5866583098</c:v>
                </c:pt>
                <c:pt idx="43">
                  <c:v>365128.20366535801</c:v>
                </c:pt>
                <c:pt idx="44">
                  <c:v>363986.05242072273</c:v>
                </c:pt>
                <c:pt idx="45">
                  <c:v>362538.29923184903</c:v>
                </c:pt>
                <c:pt idx="46">
                  <c:v>364445.73021905182</c:v>
                </c:pt>
                <c:pt idx="47">
                  <c:v>369502.27569141809</c:v>
                </c:pt>
                <c:pt idx="48">
                  <c:v>368329.72741063911</c:v>
                </c:pt>
                <c:pt idx="49">
                  <c:v>368955.45423507312</c:v>
                </c:pt>
                <c:pt idx="50">
                  <c:v>371943.62034706899</c:v>
                </c:pt>
                <c:pt idx="51">
                  <c:v>376505.26851884701</c:v>
                </c:pt>
                <c:pt idx="52">
                  <c:v>379696.244495266</c:v>
                </c:pt>
                <c:pt idx="53">
                  <c:v>386488.58184481232</c:v>
                </c:pt>
                <c:pt idx="54">
                  <c:v>382760.96188964648</c:v>
                </c:pt>
                <c:pt idx="55">
                  <c:v>390426.86223253259</c:v>
                </c:pt>
              </c:numCache>
            </c:numRef>
          </c:val>
          <c:smooth val="0"/>
          <c:extLst>
            <c:ext xmlns:c16="http://schemas.microsoft.com/office/drawing/2014/chart" uri="{C3380CC4-5D6E-409C-BE32-E72D297353CC}">
              <c16:uniqueId val="{00000001-7AF4-4626-A73E-624A22FF55A7}"/>
            </c:ext>
          </c:extLst>
        </c:ser>
        <c:ser>
          <c:idx val="2"/>
          <c:order val="2"/>
          <c:tx>
            <c:strRef>
              <c:f>Динамика!$B$1</c:f>
              <c:strCache>
                <c:ptCount val="1"/>
                <c:pt idx="0">
                  <c:v>Новомосковский</c:v>
                </c:pt>
              </c:strCache>
            </c:strRef>
          </c:tx>
          <c:spPr>
            <a:ln w="28575" cap="rnd">
              <a:solidFill>
                <a:schemeClr val="accent3"/>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169893.75244082001</c:v>
                </c:pt>
                <c:pt idx="1">
                  <c:v>166469</c:v>
                </c:pt>
                <c:pt idx="2">
                  <c:v>170101.71363001299</c:v>
                </c:pt>
                <c:pt idx="3">
                  <c:v>171331.37824459199</c:v>
                </c:pt>
                <c:pt idx="4">
                  <c:v>185143.76767959961</c:v>
                </c:pt>
                <c:pt idx="5">
                  <c:v>185631.433362765</c:v>
                </c:pt>
                <c:pt idx="6">
                  <c:v>189270</c:v>
                </c:pt>
                <c:pt idx="7">
                  <c:v>190978.5946016557</c:v>
                </c:pt>
                <c:pt idx="8">
                  <c:v>191949.76357757431</c:v>
                </c:pt>
                <c:pt idx="9">
                  <c:v>199505.4179037796</c:v>
                </c:pt>
                <c:pt idx="10">
                  <c:v>204239.18979340579</c:v>
                </c:pt>
                <c:pt idx="11">
                  <c:v>207782.7273838</c:v>
                </c:pt>
                <c:pt idx="12">
                  <c:v>209952.13364457179</c:v>
                </c:pt>
                <c:pt idx="13">
                  <c:v>212581.93896508319</c:v>
                </c:pt>
                <c:pt idx="14">
                  <c:v>221724.66943999371</c:v>
                </c:pt>
                <c:pt idx="15">
                  <c:v>224159.74462695079</c:v>
                </c:pt>
                <c:pt idx="16">
                  <c:v>224950.51592621111</c:v>
                </c:pt>
                <c:pt idx="17">
                  <c:v>223068.0169433133</c:v>
                </c:pt>
                <c:pt idx="18">
                  <c:v>218829.20562310121</c:v>
                </c:pt>
                <c:pt idx="19">
                  <c:v>217394.79671944631</c:v>
                </c:pt>
                <c:pt idx="20">
                  <c:v>219142.34026592321</c:v>
                </c:pt>
                <c:pt idx="21">
                  <c:v>218235.13738975261</c:v>
                </c:pt>
                <c:pt idx="22">
                  <c:v>213383.53864553969</c:v>
                </c:pt>
                <c:pt idx="23">
                  <c:v>213351.93392868809</c:v>
                </c:pt>
                <c:pt idx="24">
                  <c:v>214267.87892695851</c:v>
                </c:pt>
                <c:pt idx="25">
                  <c:v>215088.57304761501</c:v>
                </c:pt>
                <c:pt idx="26">
                  <c:v>216997.25024225019</c:v>
                </c:pt>
                <c:pt idx="27">
                  <c:v>216056.46931929531</c:v>
                </c:pt>
                <c:pt idx="28">
                  <c:v>213370.62512897881</c:v>
                </c:pt>
                <c:pt idx="29">
                  <c:v>214974.22752841661</c:v>
                </c:pt>
                <c:pt idx="30">
                  <c:v>218059.79304317909</c:v>
                </c:pt>
                <c:pt idx="31">
                  <c:v>220945.6460367316</c:v>
                </c:pt>
                <c:pt idx="32">
                  <c:v>224057.94029980301</c:v>
                </c:pt>
                <c:pt idx="33">
                  <c:v>224930.65665679009</c:v>
                </c:pt>
                <c:pt idx="34">
                  <c:v>225511.9671450966</c:v>
                </c:pt>
                <c:pt idx="35">
                  <c:v>225208.20038814619</c:v>
                </c:pt>
                <c:pt idx="36">
                  <c:v>227814.4215212173</c:v>
                </c:pt>
                <c:pt idx="37">
                  <c:v>229921.2919516268</c:v>
                </c:pt>
                <c:pt idx="38">
                  <c:v>229030.49457631609</c:v>
                </c:pt>
                <c:pt idx="39">
                  <c:v>227357.98053028231</c:v>
                </c:pt>
                <c:pt idx="40">
                  <c:v>226554.22661148949</c:v>
                </c:pt>
                <c:pt idx="41">
                  <c:v>237888.0335267788</c:v>
                </c:pt>
                <c:pt idx="42">
                  <c:v>247623.3037515528</c:v>
                </c:pt>
                <c:pt idx="43">
                  <c:v>246027.25758545179</c:v>
                </c:pt>
                <c:pt idx="44">
                  <c:v>240619.63308372049</c:v>
                </c:pt>
                <c:pt idx="45">
                  <c:v>241863.84205128581</c:v>
                </c:pt>
                <c:pt idx="46">
                  <c:v>244208.32468270959</c:v>
                </c:pt>
                <c:pt idx="47">
                  <c:v>238674.71645041919</c:v>
                </c:pt>
                <c:pt idx="48">
                  <c:v>240406.9260083765</c:v>
                </c:pt>
                <c:pt idx="49">
                  <c:v>239605.44126146811</c:v>
                </c:pt>
                <c:pt idx="50">
                  <c:v>241066.2104217906</c:v>
                </c:pt>
                <c:pt idx="51">
                  <c:v>240027.5228364263</c:v>
                </c:pt>
                <c:pt idx="52">
                  <c:v>240633.21552951471</c:v>
                </c:pt>
                <c:pt idx="53">
                  <c:v>238893.6730041714</c:v>
                </c:pt>
                <c:pt idx="54">
                  <c:v>237231.21085144891</c:v>
                </c:pt>
                <c:pt idx="55">
                  <c:v>237173.07507765331</c:v>
                </c:pt>
              </c:numCache>
            </c:numRef>
          </c:val>
          <c:smooth val="0"/>
          <c:extLst>
            <c:ext xmlns:c16="http://schemas.microsoft.com/office/drawing/2014/chart" uri="{C3380CC4-5D6E-409C-BE32-E72D297353CC}">
              <c16:uniqueId val="{00000003-7AF4-4626-A73E-624A22FF55A7}"/>
            </c:ext>
          </c:extLst>
        </c:ser>
        <c:ser>
          <c:idx val="3"/>
          <c:order val="3"/>
          <c:tx>
            <c:strRef>
              <c:f>Динамика!$B$1</c:f>
              <c:strCache>
                <c:ptCount val="1"/>
                <c:pt idx="0">
                  <c:v>Северный АО</c:v>
                </c:pt>
              </c:strCache>
            </c:strRef>
          </c:tx>
          <c:spPr>
            <a:ln w="28575" cap="rnd">
              <a:solidFill>
                <a:schemeClr val="accent4"/>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254214.55851797509</c:v>
                </c:pt>
                <c:pt idx="1">
                  <c:v>250175</c:v>
                </c:pt>
                <c:pt idx="2">
                  <c:v>255178.5</c:v>
                </c:pt>
                <c:pt idx="3">
                  <c:v>262834</c:v>
                </c:pt>
                <c:pt idx="4">
                  <c:v>270519.52216606628</c:v>
                </c:pt>
                <c:pt idx="5">
                  <c:v>271639.90676165489</c:v>
                </c:pt>
                <c:pt idx="6">
                  <c:v>279829.87249036401</c:v>
                </c:pt>
                <c:pt idx="7">
                  <c:v>285267.26389235689</c:v>
                </c:pt>
                <c:pt idx="8">
                  <c:v>288234.28745723149</c:v>
                </c:pt>
                <c:pt idx="9">
                  <c:v>290471.21689291118</c:v>
                </c:pt>
                <c:pt idx="10">
                  <c:v>293787</c:v>
                </c:pt>
                <c:pt idx="11">
                  <c:v>298124.974818199</c:v>
                </c:pt>
                <c:pt idx="12">
                  <c:v>301307.60404216993</c:v>
                </c:pt>
                <c:pt idx="13">
                  <c:v>306540.32746884797</c:v>
                </c:pt>
                <c:pt idx="14">
                  <c:v>320968.52090053831</c:v>
                </c:pt>
                <c:pt idx="15">
                  <c:v>327258.34607007517</c:v>
                </c:pt>
                <c:pt idx="16">
                  <c:v>321220.19261946628</c:v>
                </c:pt>
                <c:pt idx="17">
                  <c:v>314573.90563794709</c:v>
                </c:pt>
                <c:pt idx="18">
                  <c:v>308423.61822482687</c:v>
                </c:pt>
                <c:pt idx="19">
                  <c:v>308092.55807605002</c:v>
                </c:pt>
                <c:pt idx="20">
                  <c:v>307037.0851852576</c:v>
                </c:pt>
                <c:pt idx="21">
                  <c:v>301857.90412314358</c:v>
                </c:pt>
                <c:pt idx="22">
                  <c:v>298853.75503415312</c:v>
                </c:pt>
                <c:pt idx="23">
                  <c:v>296416.32505120052</c:v>
                </c:pt>
                <c:pt idx="24">
                  <c:v>296895.23621274339</c:v>
                </c:pt>
                <c:pt idx="25">
                  <c:v>297406.94574075512</c:v>
                </c:pt>
                <c:pt idx="26">
                  <c:v>298460.60393010598</c:v>
                </c:pt>
                <c:pt idx="27">
                  <c:v>299938.94214565807</c:v>
                </c:pt>
                <c:pt idx="28">
                  <c:v>300379.37446483312</c:v>
                </c:pt>
                <c:pt idx="29">
                  <c:v>303225.98987913458</c:v>
                </c:pt>
                <c:pt idx="30">
                  <c:v>307368.10369987052</c:v>
                </c:pt>
                <c:pt idx="31">
                  <c:v>314128.71891417587</c:v>
                </c:pt>
                <c:pt idx="32">
                  <c:v>321168.53584189608</c:v>
                </c:pt>
                <c:pt idx="33">
                  <c:v>323237.1142766329</c:v>
                </c:pt>
                <c:pt idx="34">
                  <c:v>326254.4047485473</c:v>
                </c:pt>
                <c:pt idx="35">
                  <c:v>328426.97070733021</c:v>
                </c:pt>
                <c:pt idx="36">
                  <c:v>328810.32795796858</c:v>
                </c:pt>
                <c:pt idx="37">
                  <c:v>330143.52980276878</c:v>
                </c:pt>
                <c:pt idx="38">
                  <c:v>330494.80886684521</c:v>
                </c:pt>
                <c:pt idx="39">
                  <c:v>329507.20153990138</c:v>
                </c:pt>
                <c:pt idx="40">
                  <c:v>329242.58834747411</c:v>
                </c:pt>
                <c:pt idx="41">
                  <c:v>330942.83815609728</c:v>
                </c:pt>
                <c:pt idx="42">
                  <c:v>330336.17872488959</c:v>
                </c:pt>
                <c:pt idx="43">
                  <c:v>331132.64062906388</c:v>
                </c:pt>
                <c:pt idx="44">
                  <c:v>330487.43833048351</c:v>
                </c:pt>
                <c:pt idx="45">
                  <c:v>330183.04751504032</c:v>
                </c:pt>
                <c:pt idx="46">
                  <c:v>331672.086974354</c:v>
                </c:pt>
                <c:pt idx="47">
                  <c:v>336113.39543653611</c:v>
                </c:pt>
                <c:pt idx="48">
                  <c:v>338682.9193765801</c:v>
                </c:pt>
                <c:pt idx="49">
                  <c:v>338935.99935681309</c:v>
                </c:pt>
                <c:pt idx="50">
                  <c:v>341724.35932565929</c:v>
                </c:pt>
                <c:pt idx="51">
                  <c:v>343250.62477042607</c:v>
                </c:pt>
                <c:pt idx="52">
                  <c:v>344838.07020641002</c:v>
                </c:pt>
                <c:pt idx="53">
                  <c:v>344945.80126026628</c:v>
                </c:pt>
                <c:pt idx="54">
                  <c:v>347418.75309579581</c:v>
                </c:pt>
                <c:pt idx="55">
                  <c:v>348719.96547182067</c:v>
                </c:pt>
              </c:numCache>
            </c:numRef>
          </c:val>
          <c:smooth val="0"/>
          <c:extLst>
            <c:ext xmlns:c16="http://schemas.microsoft.com/office/drawing/2014/chart" uri="{C3380CC4-5D6E-409C-BE32-E72D297353CC}">
              <c16:uniqueId val="{00000004-7AF4-4626-A73E-624A22FF55A7}"/>
            </c:ext>
          </c:extLst>
        </c:ser>
        <c:ser>
          <c:idx val="4"/>
          <c:order val="4"/>
          <c:tx>
            <c:strRef>
              <c:f>Динамика!$B$1</c:f>
              <c:strCache>
                <c:ptCount val="1"/>
                <c:pt idx="0">
                  <c:v>Северо-Восточный АО</c:v>
                </c:pt>
              </c:strCache>
            </c:strRef>
          </c:tx>
          <c:spPr>
            <a:ln w="28575" cap="rnd">
              <a:solidFill>
                <a:schemeClr val="accent5"/>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226980.94736958799</c:v>
                </c:pt>
                <c:pt idx="1">
                  <c:v>227817</c:v>
                </c:pt>
                <c:pt idx="2">
                  <c:v>230654</c:v>
                </c:pt>
                <c:pt idx="3">
                  <c:v>232671</c:v>
                </c:pt>
                <c:pt idx="4">
                  <c:v>242760</c:v>
                </c:pt>
                <c:pt idx="5">
                  <c:v>250087.87851045234</c:v>
                </c:pt>
                <c:pt idx="6">
                  <c:v>258704</c:v>
                </c:pt>
                <c:pt idx="7">
                  <c:v>262066.97207549991</c:v>
                </c:pt>
                <c:pt idx="8">
                  <c:v>267543.33263386798</c:v>
                </c:pt>
                <c:pt idx="9">
                  <c:v>271461.21226723271</c:v>
                </c:pt>
                <c:pt idx="10">
                  <c:v>275176.24553046102</c:v>
                </c:pt>
                <c:pt idx="11">
                  <c:v>279581.36686801759</c:v>
                </c:pt>
                <c:pt idx="12">
                  <c:v>283948.77177602582</c:v>
                </c:pt>
                <c:pt idx="13">
                  <c:v>287890.35994628642</c:v>
                </c:pt>
                <c:pt idx="14">
                  <c:v>296364.80183482671</c:v>
                </c:pt>
                <c:pt idx="15">
                  <c:v>297827.46372484748</c:v>
                </c:pt>
                <c:pt idx="16">
                  <c:v>293393.42577519623</c:v>
                </c:pt>
                <c:pt idx="17">
                  <c:v>294060.66383427603</c:v>
                </c:pt>
                <c:pt idx="18">
                  <c:v>288945.80174840608</c:v>
                </c:pt>
                <c:pt idx="19">
                  <c:v>286930.18072477228</c:v>
                </c:pt>
                <c:pt idx="20">
                  <c:v>285504.26702068438</c:v>
                </c:pt>
                <c:pt idx="21">
                  <c:v>281794.19893284788</c:v>
                </c:pt>
                <c:pt idx="22">
                  <c:v>278597.23265815148</c:v>
                </c:pt>
                <c:pt idx="23">
                  <c:v>275840.2238329539</c:v>
                </c:pt>
                <c:pt idx="24">
                  <c:v>275615.10457874852</c:v>
                </c:pt>
                <c:pt idx="25">
                  <c:v>276820.27551149769</c:v>
                </c:pt>
                <c:pt idx="26">
                  <c:v>277437.93456249143</c:v>
                </c:pt>
                <c:pt idx="27">
                  <c:v>277858.91699838708</c:v>
                </c:pt>
                <c:pt idx="28">
                  <c:v>279150.40118053567</c:v>
                </c:pt>
                <c:pt idx="29">
                  <c:v>279539.77466396021</c:v>
                </c:pt>
                <c:pt idx="30">
                  <c:v>284347.03525877051</c:v>
                </c:pt>
                <c:pt idx="31">
                  <c:v>291580.60943401378</c:v>
                </c:pt>
                <c:pt idx="32">
                  <c:v>294447.35008345579</c:v>
                </c:pt>
                <c:pt idx="33">
                  <c:v>297704.71835918742</c:v>
                </c:pt>
                <c:pt idx="34">
                  <c:v>299211.42835346819</c:v>
                </c:pt>
                <c:pt idx="35">
                  <c:v>301104.78862383508</c:v>
                </c:pt>
                <c:pt idx="36">
                  <c:v>303900.31270526722</c:v>
                </c:pt>
                <c:pt idx="37">
                  <c:v>304797.91739474999</c:v>
                </c:pt>
                <c:pt idx="38">
                  <c:v>305786.89972633158</c:v>
                </c:pt>
                <c:pt idx="39">
                  <c:v>303756.42641210521</c:v>
                </c:pt>
                <c:pt idx="40">
                  <c:v>302621.59237596218</c:v>
                </c:pt>
                <c:pt idx="41">
                  <c:v>303820.5387852781</c:v>
                </c:pt>
                <c:pt idx="42">
                  <c:v>305159.31251833541</c:v>
                </c:pt>
                <c:pt idx="43">
                  <c:v>304370.83287192642</c:v>
                </c:pt>
                <c:pt idx="44">
                  <c:v>304404.80976587272</c:v>
                </c:pt>
                <c:pt idx="45">
                  <c:v>306631.17917172652</c:v>
                </c:pt>
                <c:pt idx="46">
                  <c:v>305179.86040978582</c:v>
                </c:pt>
                <c:pt idx="47">
                  <c:v>306243.98326348321</c:v>
                </c:pt>
                <c:pt idx="48">
                  <c:v>310326.18845235859</c:v>
                </c:pt>
                <c:pt idx="49">
                  <c:v>313831.97483090812</c:v>
                </c:pt>
                <c:pt idx="50">
                  <c:v>316327.06470858649</c:v>
                </c:pt>
                <c:pt idx="51">
                  <c:v>314724.05188943259</c:v>
                </c:pt>
                <c:pt idx="52">
                  <c:v>315255.15594688873</c:v>
                </c:pt>
                <c:pt idx="53">
                  <c:v>319672.09024320153</c:v>
                </c:pt>
                <c:pt idx="54">
                  <c:v>321520.85726986901</c:v>
                </c:pt>
                <c:pt idx="55">
                  <c:v>321601.43818400661</c:v>
                </c:pt>
              </c:numCache>
            </c:numRef>
          </c:val>
          <c:smooth val="0"/>
          <c:extLst>
            <c:ext xmlns:c16="http://schemas.microsoft.com/office/drawing/2014/chart" uri="{C3380CC4-5D6E-409C-BE32-E72D297353CC}">
              <c16:uniqueId val="{00000005-7AF4-4626-A73E-624A22FF55A7}"/>
            </c:ext>
          </c:extLst>
        </c:ser>
        <c:ser>
          <c:idx val="5"/>
          <c:order val="5"/>
          <c:tx>
            <c:strRef>
              <c:f>Динамика!$B$1</c:f>
              <c:strCache>
                <c:ptCount val="1"/>
                <c:pt idx="0">
                  <c:v>Северо-Западный АО</c:v>
                </c:pt>
              </c:strCache>
            </c:strRef>
          </c:tx>
          <c:spPr>
            <a:ln w="28575" cap="rnd">
              <a:solidFill>
                <a:schemeClr val="accent6"/>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252079.08210971011</c:v>
                </c:pt>
                <c:pt idx="1">
                  <c:v>249379</c:v>
                </c:pt>
                <c:pt idx="2">
                  <c:v>256057.22500537531</c:v>
                </c:pt>
                <c:pt idx="3">
                  <c:v>259971.7770430946</c:v>
                </c:pt>
                <c:pt idx="4">
                  <c:v>264259.30843595619</c:v>
                </c:pt>
                <c:pt idx="5">
                  <c:v>263638.9330597294</c:v>
                </c:pt>
                <c:pt idx="6">
                  <c:v>270586.86449560802</c:v>
                </c:pt>
                <c:pt idx="7">
                  <c:v>273464.63700159639</c:v>
                </c:pt>
                <c:pt idx="8">
                  <c:v>278765.98798666633</c:v>
                </c:pt>
                <c:pt idx="9">
                  <c:v>285228.90836500551</c:v>
                </c:pt>
                <c:pt idx="10">
                  <c:v>289711.73171745968</c:v>
                </c:pt>
                <c:pt idx="11">
                  <c:v>292388.12739667401</c:v>
                </c:pt>
                <c:pt idx="12">
                  <c:v>301531.94290582743</c:v>
                </c:pt>
                <c:pt idx="13">
                  <c:v>306505.3299040483</c:v>
                </c:pt>
                <c:pt idx="14">
                  <c:v>317477.79596749821</c:v>
                </c:pt>
                <c:pt idx="15">
                  <c:v>317865.33061718981</c:v>
                </c:pt>
                <c:pt idx="16">
                  <c:v>314491.06933455681</c:v>
                </c:pt>
                <c:pt idx="17">
                  <c:v>306747.44519740611</c:v>
                </c:pt>
                <c:pt idx="18">
                  <c:v>302028.76333584398</c:v>
                </c:pt>
                <c:pt idx="19">
                  <c:v>301502.58819331578</c:v>
                </c:pt>
                <c:pt idx="20">
                  <c:v>299742.17782187578</c:v>
                </c:pt>
                <c:pt idx="21">
                  <c:v>295218.10880760069</c:v>
                </c:pt>
                <c:pt idx="22">
                  <c:v>290013.10981768259</c:v>
                </c:pt>
                <c:pt idx="23">
                  <c:v>289305.56698198023</c:v>
                </c:pt>
                <c:pt idx="24">
                  <c:v>290651.04610973608</c:v>
                </c:pt>
                <c:pt idx="25">
                  <c:v>289313.35217759508</c:v>
                </c:pt>
                <c:pt idx="26">
                  <c:v>291927.00474655448</c:v>
                </c:pt>
                <c:pt idx="27">
                  <c:v>294542.43336894322</c:v>
                </c:pt>
                <c:pt idx="28">
                  <c:v>297107.98577907193</c:v>
                </c:pt>
                <c:pt idx="29">
                  <c:v>301766.00375931652</c:v>
                </c:pt>
                <c:pt idx="30">
                  <c:v>307084.6799054633</c:v>
                </c:pt>
                <c:pt idx="31">
                  <c:v>315410.97976804298</c:v>
                </c:pt>
                <c:pt idx="32">
                  <c:v>319495.38175727188</c:v>
                </c:pt>
                <c:pt idx="33">
                  <c:v>322172.24541405181</c:v>
                </c:pt>
                <c:pt idx="34">
                  <c:v>330385.81442517339</c:v>
                </c:pt>
                <c:pt idx="35">
                  <c:v>331229.33674344502</c:v>
                </c:pt>
                <c:pt idx="36">
                  <c:v>331327.5585186574</c:v>
                </c:pt>
                <c:pt idx="37">
                  <c:v>332830.33556204388</c:v>
                </c:pt>
                <c:pt idx="38">
                  <c:v>332550.31321326829</c:v>
                </c:pt>
                <c:pt idx="39">
                  <c:v>335124.97603968438</c:v>
                </c:pt>
                <c:pt idx="40">
                  <c:v>333732.1697959337</c:v>
                </c:pt>
                <c:pt idx="41">
                  <c:v>333764.65117828222</c:v>
                </c:pt>
                <c:pt idx="42">
                  <c:v>336614.32469798689</c:v>
                </c:pt>
                <c:pt idx="43">
                  <c:v>332583.65265418711</c:v>
                </c:pt>
                <c:pt idx="44">
                  <c:v>333453.58297836472</c:v>
                </c:pt>
                <c:pt idx="45">
                  <c:v>328142.68042187352</c:v>
                </c:pt>
                <c:pt idx="46">
                  <c:v>327399.52271234401</c:v>
                </c:pt>
                <c:pt idx="47">
                  <c:v>328521.9967413015</c:v>
                </c:pt>
                <c:pt idx="48">
                  <c:v>334847.28011468862</c:v>
                </c:pt>
                <c:pt idx="49">
                  <c:v>335102.60702170612</c:v>
                </c:pt>
                <c:pt idx="50">
                  <c:v>336597.12595187902</c:v>
                </c:pt>
                <c:pt idx="51">
                  <c:v>335750.1813191523</c:v>
                </c:pt>
                <c:pt idx="52">
                  <c:v>336790.17124595778</c:v>
                </c:pt>
                <c:pt idx="53">
                  <c:v>336678.29908251087</c:v>
                </c:pt>
                <c:pt idx="54">
                  <c:v>340593.1035257433</c:v>
                </c:pt>
                <c:pt idx="55">
                  <c:v>341954.07260854339</c:v>
                </c:pt>
              </c:numCache>
            </c:numRef>
          </c:val>
          <c:smooth val="0"/>
          <c:extLst>
            <c:ext xmlns:c16="http://schemas.microsoft.com/office/drawing/2014/chart" uri="{C3380CC4-5D6E-409C-BE32-E72D297353CC}">
              <c16:uniqueId val="{00000006-7AF4-4626-A73E-624A22FF55A7}"/>
            </c:ext>
          </c:extLst>
        </c:ser>
        <c:ser>
          <c:idx val="6"/>
          <c:order val="6"/>
          <c:tx>
            <c:strRef>
              <c:f>Динамика!$B$1</c:f>
              <c:strCache>
                <c:ptCount val="1"/>
                <c:pt idx="0">
                  <c:v>Юго-Восточный АО</c:v>
                </c:pt>
              </c:strCache>
            </c:strRef>
          </c:tx>
          <c:spPr>
            <a:ln w="28575" cap="rnd">
              <a:solidFill>
                <a:schemeClr val="accent1">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207722.82884056869</c:v>
                </c:pt>
                <c:pt idx="1">
                  <c:v>208923</c:v>
                </c:pt>
                <c:pt idx="2">
                  <c:v>214923.24614204169</c:v>
                </c:pt>
                <c:pt idx="3">
                  <c:v>214656</c:v>
                </c:pt>
                <c:pt idx="4">
                  <c:v>223160.25658915259</c:v>
                </c:pt>
                <c:pt idx="5">
                  <c:v>221907.45513157058</c:v>
                </c:pt>
                <c:pt idx="6">
                  <c:v>231525.01908459191</c:v>
                </c:pt>
                <c:pt idx="7">
                  <c:v>236217.4435711597</c:v>
                </c:pt>
                <c:pt idx="8">
                  <c:v>240456.28294197639</c:v>
                </c:pt>
                <c:pt idx="9">
                  <c:v>244291.873544584</c:v>
                </c:pt>
                <c:pt idx="10">
                  <c:v>248434.6984776</c:v>
                </c:pt>
                <c:pt idx="11">
                  <c:v>250776.498061486</c:v>
                </c:pt>
                <c:pt idx="12">
                  <c:v>257687.7018565388</c:v>
                </c:pt>
                <c:pt idx="13">
                  <c:v>262051.61598266201</c:v>
                </c:pt>
                <c:pt idx="14">
                  <c:v>270818.45032309112</c:v>
                </c:pt>
                <c:pt idx="15">
                  <c:v>273327.71999100369</c:v>
                </c:pt>
                <c:pt idx="16">
                  <c:v>270054.66578569799</c:v>
                </c:pt>
                <c:pt idx="17">
                  <c:v>265723.44464542938</c:v>
                </c:pt>
                <c:pt idx="18">
                  <c:v>263884.01689317689</c:v>
                </c:pt>
                <c:pt idx="19">
                  <c:v>263479.18276773021</c:v>
                </c:pt>
                <c:pt idx="20">
                  <c:v>262155.09597327432</c:v>
                </c:pt>
                <c:pt idx="21">
                  <c:v>259166.2479942012</c:v>
                </c:pt>
                <c:pt idx="22">
                  <c:v>255999.51713306949</c:v>
                </c:pt>
                <c:pt idx="23">
                  <c:v>253290.11788260931</c:v>
                </c:pt>
                <c:pt idx="24">
                  <c:v>252980.29083724669</c:v>
                </c:pt>
                <c:pt idx="25">
                  <c:v>252497.7358589184</c:v>
                </c:pt>
                <c:pt idx="26">
                  <c:v>251723.6431670411</c:v>
                </c:pt>
                <c:pt idx="27">
                  <c:v>253205.29192346189</c:v>
                </c:pt>
                <c:pt idx="28">
                  <c:v>255249.24178488849</c:v>
                </c:pt>
                <c:pt idx="29">
                  <c:v>256861.97509712071</c:v>
                </c:pt>
                <c:pt idx="30">
                  <c:v>259040.205839884</c:v>
                </c:pt>
                <c:pt idx="31">
                  <c:v>265768.53769819078</c:v>
                </c:pt>
                <c:pt idx="32">
                  <c:v>271223.36272102938</c:v>
                </c:pt>
                <c:pt idx="33">
                  <c:v>274114.74802020751</c:v>
                </c:pt>
                <c:pt idx="34">
                  <c:v>277276.17125937139</c:v>
                </c:pt>
                <c:pt idx="35">
                  <c:v>279706.17179711262</c:v>
                </c:pt>
                <c:pt idx="36">
                  <c:v>281744.10480363289</c:v>
                </c:pt>
                <c:pt idx="37">
                  <c:v>283273.20011927688</c:v>
                </c:pt>
                <c:pt idx="38">
                  <c:v>283523.30342770729</c:v>
                </c:pt>
                <c:pt idx="39">
                  <c:v>283163.00037090998</c:v>
                </c:pt>
                <c:pt idx="40">
                  <c:v>283544.86647466029</c:v>
                </c:pt>
                <c:pt idx="41">
                  <c:v>284380.36858578888</c:v>
                </c:pt>
                <c:pt idx="42">
                  <c:v>282743.66138014442</c:v>
                </c:pt>
                <c:pt idx="43">
                  <c:v>282380.45405822009</c:v>
                </c:pt>
                <c:pt idx="44">
                  <c:v>281875.81664987578</c:v>
                </c:pt>
                <c:pt idx="45">
                  <c:v>280412.24142864317</c:v>
                </c:pt>
                <c:pt idx="46">
                  <c:v>279884.08645021811</c:v>
                </c:pt>
                <c:pt idx="47">
                  <c:v>279876.37696030119</c:v>
                </c:pt>
                <c:pt idx="48">
                  <c:v>283657.11184294149</c:v>
                </c:pt>
                <c:pt idx="49">
                  <c:v>286213.87438602129</c:v>
                </c:pt>
                <c:pt idx="50">
                  <c:v>285943.1054842883</c:v>
                </c:pt>
                <c:pt idx="51">
                  <c:v>286221.31953163189</c:v>
                </c:pt>
                <c:pt idx="52">
                  <c:v>288195.5116936898</c:v>
                </c:pt>
                <c:pt idx="53">
                  <c:v>288286.60095405392</c:v>
                </c:pt>
                <c:pt idx="54">
                  <c:v>289957.88657703123</c:v>
                </c:pt>
                <c:pt idx="55">
                  <c:v>293796.85927651142</c:v>
                </c:pt>
              </c:numCache>
            </c:numRef>
          </c:val>
          <c:smooth val="0"/>
          <c:extLst>
            <c:ext xmlns:c16="http://schemas.microsoft.com/office/drawing/2014/chart" uri="{C3380CC4-5D6E-409C-BE32-E72D297353CC}">
              <c16:uniqueId val="{00000007-7AF4-4626-A73E-624A22FF55A7}"/>
            </c:ext>
          </c:extLst>
        </c:ser>
        <c:ser>
          <c:idx val="7"/>
          <c:order val="7"/>
          <c:tx>
            <c:strRef>
              <c:f>Динамика!$B$1</c:f>
              <c:strCache>
                <c:ptCount val="1"/>
                <c:pt idx="0">
                  <c:v>Юго-Западный АО</c:v>
                </c:pt>
              </c:strCache>
            </c:strRef>
          </c:tx>
          <c:spPr>
            <a:ln w="28575" cap="rnd">
              <a:solidFill>
                <a:schemeClr val="accent2">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252676.76757866339</c:v>
                </c:pt>
                <c:pt idx="1">
                  <c:v>251521</c:v>
                </c:pt>
                <c:pt idx="2">
                  <c:v>257717.3994652222</c:v>
                </c:pt>
                <c:pt idx="3">
                  <c:v>263055.17312146898</c:v>
                </c:pt>
                <c:pt idx="4">
                  <c:v>267496.63666675298</c:v>
                </c:pt>
                <c:pt idx="5">
                  <c:v>267714.09157880186</c:v>
                </c:pt>
                <c:pt idx="6">
                  <c:v>274500.01690092351</c:v>
                </c:pt>
                <c:pt idx="7">
                  <c:v>279971.03003293643</c:v>
                </c:pt>
                <c:pt idx="8">
                  <c:v>284425.09842203389</c:v>
                </c:pt>
                <c:pt idx="9">
                  <c:v>287414.23817491438</c:v>
                </c:pt>
                <c:pt idx="10">
                  <c:v>291686.34427841782</c:v>
                </c:pt>
                <c:pt idx="11">
                  <c:v>295671.37932612142</c:v>
                </c:pt>
                <c:pt idx="12">
                  <c:v>301752.70797902631</c:v>
                </c:pt>
                <c:pt idx="13">
                  <c:v>307307.36865101598</c:v>
                </c:pt>
                <c:pt idx="14">
                  <c:v>320210.02967514237</c:v>
                </c:pt>
                <c:pt idx="15">
                  <c:v>324283.56090027408</c:v>
                </c:pt>
                <c:pt idx="16">
                  <c:v>318190.26654221967</c:v>
                </c:pt>
                <c:pt idx="17">
                  <c:v>312344.65072477132</c:v>
                </c:pt>
                <c:pt idx="18">
                  <c:v>309244.1348849741</c:v>
                </c:pt>
                <c:pt idx="19">
                  <c:v>308834.37533444568</c:v>
                </c:pt>
                <c:pt idx="20">
                  <c:v>306233.1175945258</c:v>
                </c:pt>
                <c:pt idx="21">
                  <c:v>301531.71527971758</c:v>
                </c:pt>
                <c:pt idx="22">
                  <c:v>299035.41672953381</c:v>
                </c:pt>
                <c:pt idx="23">
                  <c:v>296629.6945765338</c:v>
                </c:pt>
                <c:pt idx="24">
                  <c:v>295773.71667826647</c:v>
                </c:pt>
                <c:pt idx="25">
                  <c:v>294978.52411132469</c:v>
                </c:pt>
                <c:pt idx="26">
                  <c:v>293915.58188242093</c:v>
                </c:pt>
                <c:pt idx="27">
                  <c:v>295572.76397545612</c:v>
                </c:pt>
                <c:pt idx="28">
                  <c:v>296021.71554492629</c:v>
                </c:pt>
                <c:pt idx="29">
                  <c:v>301770.70533518039</c:v>
                </c:pt>
                <c:pt idx="30">
                  <c:v>300685.82013446209</c:v>
                </c:pt>
                <c:pt idx="31">
                  <c:v>307525.38589723379</c:v>
                </c:pt>
                <c:pt idx="32">
                  <c:v>311274.0379918635</c:v>
                </c:pt>
                <c:pt idx="33">
                  <c:v>316408.24935934541</c:v>
                </c:pt>
                <c:pt idx="34">
                  <c:v>320151.12423298409</c:v>
                </c:pt>
                <c:pt idx="35">
                  <c:v>322882.27017838153</c:v>
                </c:pt>
                <c:pt idx="36">
                  <c:v>325473.74666206271</c:v>
                </c:pt>
                <c:pt idx="37">
                  <c:v>326709.71713019809</c:v>
                </c:pt>
                <c:pt idx="38">
                  <c:v>327963.09834628343</c:v>
                </c:pt>
                <c:pt idx="39">
                  <c:v>327066.62273190613</c:v>
                </c:pt>
                <c:pt idx="40">
                  <c:v>324951.84754883748</c:v>
                </c:pt>
                <c:pt idx="41">
                  <c:v>324925.25636285031</c:v>
                </c:pt>
                <c:pt idx="42">
                  <c:v>327895.29192146711</c:v>
                </c:pt>
                <c:pt idx="43">
                  <c:v>326994.16273948271</c:v>
                </c:pt>
                <c:pt idx="44">
                  <c:v>327112.91615573713</c:v>
                </c:pt>
                <c:pt idx="45">
                  <c:v>326178.79508298071</c:v>
                </c:pt>
                <c:pt idx="46">
                  <c:v>326766.01225446421</c:v>
                </c:pt>
                <c:pt idx="47">
                  <c:v>327798.26951923181</c:v>
                </c:pt>
                <c:pt idx="48">
                  <c:v>332381.78182822512</c:v>
                </c:pt>
                <c:pt idx="49">
                  <c:v>336469.0688223911</c:v>
                </c:pt>
                <c:pt idx="50">
                  <c:v>335447.96066498052</c:v>
                </c:pt>
                <c:pt idx="51">
                  <c:v>337436.08787011681</c:v>
                </c:pt>
                <c:pt idx="52">
                  <c:v>340908.6453013721</c:v>
                </c:pt>
                <c:pt idx="53">
                  <c:v>344135.97311972751</c:v>
                </c:pt>
                <c:pt idx="54">
                  <c:v>346148.28879103687</c:v>
                </c:pt>
                <c:pt idx="55">
                  <c:v>347494.20654323848</c:v>
                </c:pt>
              </c:numCache>
            </c:numRef>
          </c:val>
          <c:smooth val="0"/>
          <c:extLst>
            <c:ext xmlns:c16="http://schemas.microsoft.com/office/drawing/2014/chart" uri="{C3380CC4-5D6E-409C-BE32-E72D297353CC}">
              <c16:uniqueId val="{00000008-7AF4-4626-A73E-624A22FF55A7}"/>
            </c:ext>
          </c:extLst>
        </c:ser>
        <c:ser>
          <c:idx val="8"/>
          <c:order val="8"/>
          <c:tx>
            <c:strRef>
              <c:f>Динамика!$B$1</c:f>
              <c:strCache>
                <c:ptCount val="1"/>
                <c:pt idx="0">
                  <c:v>Южный АО</c:v>
                </c:pt>
              </c:strCache>
            </c:strRef>
          </c:tx>
          <c:spPr>
            <a:ln w="28575" cap="rnd">
              <a:solidFill>
                <a:schemeClr val="accent3">
                  <a:lumMod val="60000"/>
                </a:schemeClr>
              </a:solidFill>
              <a:round/>
            </a:ln>
            <a:effectLst/>
          </c:spPr>
          <c:marker>
            <c:symbol val="none"/>
          </c:marker>
          <c:cat>
            <c:multiLvlStrRef>
              <c:f>Динамика!$B$1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Динамика!$B$1</c:f>
              <c:numCache>
                <c:formatCode>#\ ##0_ ;\-#\ ##0\ </c:formatCode>
                <c:ptCount val="56"/>
                <c:pt idx="0">
                  <c:v>229702.2527081068</c:v>
                </c:pt>
                <c:pt idx="1">
                  <c:v>227762</c:v>
                </c:pt>
                <c:pt idx="2">
                  <c:v>235586.81450968509</c:v>
                </c:pt>
                <c:pt idx="3">
                  <c:v>240115.281335354</c:v>
                </c:pt>
                <c:pt idx="4">
                  <c:v>243481.25289579309</c:v>
                </c:pt>
                <c:pt idx="5">
                  <c:v>238147.17446186498</c:v>
                </c:pt>
                <c:pt idx="6">
                  <c:v>251078.98626123049</c:v>
                </c:pt>
                <c:pt idx="7">
                  <c:v>255337.31070487079</c:v>
                </c:pt>
                <c:pt idx="8">
                  <c:v>257160.38414682401</c:v>
                </c:pt>
                <c:pt idx="9">
                  <c:v>260881.01090544171</c:v>
                </c:pt>
                <c:pt idx="10">
                  <c:v>265469.06839972612</c:v>
                </c:pt>
                <c:pt idx="11">
                  <c:v>271211.70766656921</c:v>
                </c:pt>
                <c:pt idx="12">
                  <c:v>276059.69586917787</c:v>
                </c:pt>
                <c:pt idx="13">
                  <c:v>279253.82993361098</c:v>
                </c:pt>
                <c:pt idx="14">
                  <c:v>289946.48951570521</c:v>
                </c:pt>
                <c:pt idx="15">
                  <c:v>293908.62513073621</c:v>
                </c:pt>
                <c:pt idx="16">
                  <c:v>290264.32717697421</c:v>
                </c:pt>
                <c:pt idx="17">
                  <c:v>285898.24451545969</c:v>
                </c:pt>
                <c:pt idx="18">
                  <c:v>283666.13279055618</c:v>
                </c:pt>
                <c:pt idx="19">
                  <c:v>282502.1327105618</c:v>
                </c:pt>
                <c:pt idx="20">
                  <c:v>283201.69586318691</c:v>
                </c:pt>
                <c:pt idx="21">
                  <c:v>278112.6184314813</c:v>
                </c:pt>
                <c:pt idx="22">
                  <c:v>274615.69143664488</c:v>
                </c:pt>
                <c:pt idx="23">
                  <c:v>272147.78095598659</c:v>
                </c:pt>
                <c:pt idx="24">
                  <c:v>271771.28308731172</c:v>
                </c:pt>
                <c:pt idx="25">
                  <c:v>271944.71502837329</c:v>
                </c:pt>
                <c:pt idx="26">
                  <c:v>271339.62750437472</c:v>
                </c:pt>
                <c:pt idx="27">
                  <c:v>271537.54008447792</c:v>
                </c:pt>
                <c:pt idx="28">
                  <c:v>271854.90477099549</c:v>
                </c:pt>
                <c:pt idx="29">
                  <c:v>273530.18825430929</c:v>
                </c:pt>
                <c:pt idx="30">
                  <c:v>279327.91056812921</c:v>
                </c:pt>
                <c:pt idx="31">
                  <c:v>286060.81074433221</c:v>
                </c:pt>
                <c:pt idx="32">
                  <c:v>290822.91353305808</c:v>
                </c:pt>
                <c:pt idx="33">
                  <c:v>298066.19404510548</c:v>
                </c:pt>
                <c:pt idx="34">
                  <c:v>303855.39928112749</c:v>
                </c:pt>
                <c:pt idx="35">
                  <c:v>303967.25541657058</c:v>
                </c:pt>
                <c:pt idx="36">
                  <c:v>303769.06009649101</c:v>
                </c:pt>
                <c:pt idx="37">
                  <c:v>306396.68392163911</c:v>
                </c:pt>
                <c:pt idx="38">
                  <c:v>304233.77453044592</c:v>
                </c:pt>
                <c:pt idx="39">
                  <c:v>302940.21188891242</c:v>
                </c:pt>
                <c:pt idx="40">
                  <c:v>301699.60501795658</c:v>
                </c:pt>
                <c:pt idx="41">
                  <c:v>304341.83995830722</c:v>
                </c:pt>
                <c:pt idx="42">
                  <c:v>304079.88072100829</c:v>
                </c:pt>
                <c:pt idx="43">
                  <c:v>303447.717979501</c:v>
                </c:pt>
                <c:pt idx="44">
                  <c:v>302361.06314639049</c:v>
                </c:pt>
                <c:pt idx="45">
                  <c:v>301726.02739388688</c:v>
                </c:pt>
                <c:pt idx="46">
                  <c:v>301663.86230100982</c:v>
                </c:pt>
                <c:pt idx="47">
                  <c:v>303084.11864721822</c:v>
                </c:pt>
                <c:pt idx="48">
                  <c:v>306610.88333045557</c:v>
                </c:pt>
                <c:pt idx="49">
                  <c:v>308569.71740717988</c:v>
                </c:pt>
                <c:pt idx="50">
                  <c:v>311004.03813215619</c:v>
                </c:pt>
                <c:pt idx="51">
                  <c:v>312715.54204088531</c:v>
                </c:pt>
                <c:pt idx="52">
                  <c:v>314571.80840825947</c:v>
                </c:pt>
                <c:pt idx="53">
                  <c:v>313996.77878630348</c:v>
                </c:pt>
                <c:pt idx="54">
                  <c:v>317123.17237117741</c:v>
                </c:pt>
                <c:pt idx="55">
                  <c:v>319461.35296923999</c:v>
                </c:pt>
              </c:numCache>
            </c:numRef>
          </c:val>
          <c:smooth val="0"/>
          <c:extLst>
            <c:ext xmlns:c16="http://schemas.microsoft.com/office/drawing/2014/chart" uri="{C3380CC4-5D6E-409C-BE32-E72D297353CC}">
              <c16:uniqueId val="{00000009-7AF4-4626-A73E-624A22FF55A7}"/>
            </c:ext>
          </c:extLst>
        </c:ser>
        <c:dLbls>
          <c:showLegendKey val="0"/>
          <c:showVal val="0"/>
          <c:showCatName val="0"/>
          <c:showSerName val="0"/>
          <c:showPercent val="0"/>
          <c:showBubbleSize val="0"/>
        </c:dLbls>
        <c:smooth val="0"/>
        <c:axId val="430710368"/>
        <c:axId val="430695808"/>
      </c:lineChart>
      <c:catAx>
        <c:axId val="4307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695808"/>
        <c:crosses val="autoZero"/>
        <c:auto val="1"/>
        <c:lblAlgn val="ctr"/>
        <c:lblOffset val="100"/>
        <c:noMultiLvlLbl val="0"/>
      </c:catAx>
      <c:valAx>
        <c:axId val="430695808"/>
        <c:scaling>
          <c:orientation val="minMax"/>
          <c:min val="150000"/>
        </c:scaling>
        <c:delete val="0"/>
        <c:axPos val="l"/>
        <c:title>
          <c:tx>
            <c:strRef>
              <c:f>Динамика!$B$1</c:f>
              <c:strCache>
                <c:ptCount val="1"/>
              </c:strCache>
            </c:strRef>
          </c:tx>
          <c:layout>
            <c:manualLayout>
              <c:xMode val="edge"/>
              <c:yMode val="edge"/>
              <c:x val="0.10710514126910606"/>
              <c:y val="2.5510204081632654E-2"/>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chemeClr val="tx1">
                      <a:lumMod val="65000"/>
                      <a:lumOff val="35000"/>
                    </a:schemeClr>
                  </a:solidFill>
                  <a:latin typeface="+mn-lt"/>
                  <a:ea typeface="+mn-ea"/>
                  <a:cs typeface="+mn-cs"/>
                </a:defRPr>
              </a:pPr>
              <a:endParaRPr lang="ru-RU"/>
            </a:p>
          </c:txPr>
        </c:title>
        <c:numFmt formatCode="#\ ##0_ ;\-#\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710368"/>
        <c:crosses val="autoZero"/>
        <c:crossBetween val="between"/>
      </c:valAx>
      <c:spPr>
        <a:noFill/>
        <a:ln w="0">
          <a:noFill/>
        </a:ln>
        <a:effectLst/>
      </c:spPr>
    </c:plotArea>
    <c:legend>
      <c:legendPos val="r"/>
      <c:layout>
        <c:manualLayout>
          <c:xMode val="edge"/>
          <c:yMode val="edge"/>
          <c:x val="0.77816815406294038"/>
          <c:y val="0.11439476845055385"/>
          <c:w val="0.21619539689995304"/>
          <c:h val="0.72828840250900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отправке.xlsx]Объем!Объем-предл</c:name>
    <c:fmtId val="3"/>
  </c:pivotSource>
  <c:chart>
    <c:title>
      <c:tx>
        <c:strRef>
          <c:f>Объем!$A$1</c:f>
          <c:strCache>
            <c:ptCount val="1"/>
            <c:pt idx="0">
              <c:v>Динамика объема предложения</c:v>
            </c:pt>
          </c:strCache>
        </c:strRef>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Объем!$A$1</c:f>
              <c:strCache>
                <c:ptCount val="1"/>
                <c:pt idx="0">
                  <c:v>Итог</c:v>
                </c:pt>
              </c:strCache>
            </c:strRef>
          </c:tx>
          <c:spPr>
            <a:ln w="28575" cap="rnd">
              <a:solidFill>
                <a:schemeClr val="accent1"/>
              </a:solidFill>
              <a:round/>
            </a:ln>
            <a:effectLst/>
          </c:spPr>
          <c:marker>
            <c:symbol val="none"/>
          </c:marker>
          <c:cat>
            <c:multiLvlStrRef>
              <c:f>Объем!$A$1</c:f>
              <c:multiLvlStrCache>
                <c:ptCount val="56"/>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pt idx="44">
                    <c:v>сен</c:v>
                  </c:pt>
                  <c:pt idx="45">
                    <c:v>окт</c:v>
                  </c:pt>
                  <c:pt idx="46">
                    <c:v>ноя</c:v>
                  </c:pt>
                  <c:pt idx="47">
                    <c:v>дек</c:v>
                  </c:pt>
                  <c:pt idx="48">
                    <c:v>янв</c:v>
                  </c:pt>
                  <c:pt idx="49">
                    <c:v>фев</c:v>
                  </c:pt>
                  <c:pt idx="50">
                    <c:v>мар</c:v>
                  </c:pt>
                  <c:pt idx="51">
                    <c:v>апр</c:v>
                  </c:pt>
                  <c:pt idx="52">
                    <c:v>май</c:v>
                  </c:pt>
                  <c:pt idx="53">
                    <c:v>июн</c:v>
                  </c:pt>
                  <c:pt idx="54">
                    <c:v>июл</c:v>
                  </c:pt>
                  <c:pt idx="55">
                    <c:v>авг</c:v>
                  </c:pt>
                </c:lvl>
                <c:lvl>
                  <c:pt idx="0">
                    <c:v>2021</c:v>
                  </c:pt>
                  <c:pt idx="12">
                    <c:v>2022</c:v>
                  </c:pt>
                  <c:pt idx="24">
                    <c:v>2023</c:v>
                  </c:pt>
                  <c:pt idx="36">
                    <c:v>2024</c:v>
                  </c:pt>
                  <c:pt idx="48">
                    <c:v>2025</c:v>
                  </c:pt>
                </c:lvl>
              </c:multiLvlStrCache>
            </c:multiLvlStrRef>
          </c:cat>
          <c:val>
            <c:numRef>
              <c:f>Объем!$A$1</c:f>
              <c:numCache>
                <c:formatCode>#,##0</c:formatCode>
                <c:ptCount val="56"/>
                <c:pt idx="0">
                  <c:v>33696</c:v>
                </c:pt>
                <c:pt idx="1">
                  <c:v>36928</c:v>
                </c:pt>
                <c:pt idx="2">
                  <c:v>40098.840000000004</c:v>
                </c:pt>
                <c:pt idx="3">
                  <c:v>39674</c:v>
                </c:pt>
                <c:pt idx="4">
                  <c:v>39139</c:v>
                </c:pt>
                <c:pt idx="5">
                  <c:v>39250</c:v>
                </c:pt>
                <c:pt idx="6">
                  <c:v>38946</c:v>
                </c:pt>
                <c:pt idx="7">
                  <c:v>37677</c:v>
                </c:pt>
                <c:pt idx="8">
                  <c:v>39371.869999999995</c:v>
                </c:pt>
                <c:pt idx="9">
                  <c:v>40320</c:v>
                </c:pt>
                <c:pt idx="10">
                  <c:v>38654</c:v>
                </c:pt>
                <c:pt idx="11">
                  <c:v>36939</c:v>
                </c:pt>
                <c:pt idx="12">
                  <c:v>34055</c:v>
                </c:pt>
                <c:pt idx="13">
                  <c:v>37351</c:v>
                </c:pt>
                <c:pt idx="14">
                  <c:v>35749</c:v>
                </c:pt>
                <c:pt idx="15">
                  <c:v>32227</c:v>
                </c:pt>
                <c:pt idx="16">
                  <c:v>35606</c:v>
                </c:pt>
                <c:pt idx="17">
                  <c:v>40367</c:v>
                </c:pt>
                <c:pt idx="18">
                  <c:v>43364</c:v>
                </c:pt>
                <c:pt idx="19">
                  <c:v>44486</c:v>
                </c:pt>
                <c:pt idx="20">
                  <c:v>49091</c:v>
                </c:pt>
                <c:pt idx="21">
                  <c:v>50851</c:v>
                </c:pt>
                <c:pt idx="22">
                  <c:v>50186</c:v>
                </c:pt>
                <c:pt idx="23">
                  <c:v>48354</c:v>
                </c:pt>
                <c:pt idx="24">
                  <c:v>46290</c:v>
                </c:pt>
                <c:pt idx="25">
                  <c:v>48705</c:v>
                </c:pt>
                <c:pt idx="26">
                  <c:v>51354</c:v>
                </c:pt>
                <c:pt idx="27">
                  <c:v>48817</c:v>
                </c:pt>
                <c:pt idx="28">
                  <c:v>47660</c:v>
                </c:pt>
                <c:pt idx="29">
                  <c:v>46252</c:v>
                </c:pt>
                <c:pt idx="30">
                  <c:v>43280</c:v>
                </c:pt>
                <c:pt idx="31">
                  <c:v>41050</c:v>
                </c:pt>
                <c:pt idx="32">
                  <c:v>38632</c:v>
                </c:pt>
                <c:pt idx="33">
                  <c:v>37552</c:v>
                </c:pt>
                <c:pt idx="34">
                  <c:v>37865</c:v>
                </c:pt>
                <c:pt idx="35">
                  <c:v>34799</c:v>
                </c:pt>
                <c:pt idx="36">
                  <c:v>34722</c:v>
                </c:pt>
                <c:pt idx="37">
                  <c:v>38847</c:v>
                </c:pt>
                <c:pt idx="38">
                  <c:v>40695</c:v>
                </c:pt>
                <c:pt idx="39">
                  <c:v>41463</c:v>
                </c:pt>
                <c:pt idx="40">
                  <c:v>41191</c:v>
                </c:pt>
                <c:pt idx="41">
                  <c:v>42751</c:v>
                </c:pt>
                <c:pt idx="42">
                  <c:v>43920</c:v>
                </c:pt>
                <c:pt idx="43">
                  <c:v>44771</c:v>
                </c:pt>
                <c:pt idx="44">
                  <c:v>45297</c:v>
                </c:pt>
                <c:pt idx="45">
                  <c:v>46503.270000000004</c:v>
                </c:pt>
                <c:pt idx="46">
                  <c:v>45781</c:v>
                </c:pt>
                <c:pt idx="47">
                  <c:v>40105</c:v>
                </c:pt>
                <c:pt idx="48">
                  <c:v>35988</c:v>
                </c:pt>
                <c:pt idx="49">
                  <c:v>37022</c:v>
                </c:pt>
                <c:pt idx="50">
                  <c:v>37437</c:v>
                </c:pt>
                <c:pt idx="51">
                  <c:v>36697</c:v>
                </c:pt>
                <c:pt idx="52">
                  <c:v>36941</c:v>
                </c:pt>
                <c:pt idx="53">
                  <c:v>34708</c:v>
                </c:pt>
                <c:pt idx="54">
                  <c:v>35695</c:v>
                </c:pt>
                <c:pt idx="55">
                  <c:v>35274</c:v>
                </c:pt>
              </c:numCache>
            </c:numRef>
          </c:val>
          <c:smooth val="0"/>
          <c:extLst>
            <c:ext xmlns:c16="http://schemas.microsoft.com/office/drawing/2014/chart" uri="{C3380CC4-5D6E-409C-BE32-E72D297353CC}">
              <c16:uniqueId val="{00000000-71A7-4466-BD7C-54EF2A6B4582}"/>
            </c:ext>
          </c:extLst>
        </c:ser>
        <c:dLbls>
          <c:showLegendKey val="0"/>
          <c:showVal val="0"/>
          <c:showCatName val="0"/>
          <c:showSerName val="0"/>
          <c:showPercent val="0"/>
          <c:showBubbleSize val="0"/>
        </c:dLbls>
        <c:smooth val="0"/>
        <c:axId val="1716680639"/>
        <c:axId val="1716683551"/>
      </c:lineChart>
      <c:catAx>
        <c:axId val="171668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3551"/>
        <c:crosses val="autoZero"/>
        <c:auto val="1"/>
        <c:lblAlgn val="ctr"/>
        <c:lblOffset val="100"/>
        <c:noMultiLvlLbl val="0"/>
      </c:catAx>
      <c:valAx>
        <c:axId val="1716683551"/>
        <c:scaling>
          <c:orientation val="minMax"/>
          <c:min val="3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[Отчет Москва август 25 к отправке.xlsx]Объем!Объем-по_годам</c:name>
    <c:fmtId val="10"/>
  </c:pivotSource>
  <c:chart>
    <c:title>
      <c:tx>
        <c:strRef>
          <c:f>Объем!$G$1</c:f>
          <c:strCache>
            <c:ptCount val="1"/>
            <c:pt idx="0">
              <c:v>Динамика объема предложения по годам</c:v>
            </c:pt>
          </c:strCache>
        </c:strRef>
      </c:tx>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Объем!$G$1</c:f>
              <c:strCache>
                <c:ptCount val="1"/>
                <c:pt idx="0">
                  <c:v>2020</c:v>
                </c:pt>
              </c:strCache>
            </c:strRef>
          </c:tx>
          <c:spPr>
            <a:ln w="28575" cap="rnd">
              <a:solidFill>
                <a:schemeClr val="accent6">
                  <a:lumMod val="60000"/>
                  <a:lumOff val="40000"/>
                </a:schemeClr>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1">
                  <c:v>51138</c:v>
                </c:pt>
                <c:pt idx="2">
                  <c:v>49623</c:v>
                </c:pt>
                <c:pt idx="3">
                  <c:v>35935</c:v>
                </c:pt>
                <c:pt idx="4">
                  <c:v>40051</c:v>
                </c:pt>
                <c:pt idx="5">
                  <c:v>45138</c:v>
                </c:pt>
                <c:pt idx="6">
                  <c:v>44816</c:v>
                </c:pt>
                <c:pt idx="7">
                  <c:v>43874</c:v>
                </c:pt>
                <c:pt idx="8">
                  <c:v>42617</c:v>
                </c:pt>
                <c:pt idx="9">
                  <c:v>40044</c:v>
                </c:pt>
                <c:pt idx="10">
                  <c:v>36531</c:v>
                </c:pt>
                <c:pt idx="11">
                  <c:v>33045</c:v>
                </c:pt>
              </c:numCache>
            </c:numRef>
          </c:val>
          <c:smooth val="0"/>
          <c:extLst>
            <c:ext xmlns:c16="http://schemas.microsoft.com/office/drawing/2014/chart" uri="{C3380CC4-5D6E-409C-BE32-E72D297353CC}">
              <c16:uniqueId val="{00000000-9CA4-44A3-BA29-F35CB4993251}"/>
            </c:ext>
          </c:extLst>
        </c:ser>
        <c:ser>
          <c:idx val="1"/>
          <c:order val="1"/>
          <c:tx>
            <c:strRef>
              <c:f>Объем!$G$1</c:f>
              <c:strCache>
                <c:ptCount val="1"/>
                <c:pt idx="0">
                  <c:v>2021</c:v>
                </c:pt>
              </c:strCache>
            </c:strRef>
          </c:tx>
          <c:spPr>
            <a:ln w="28575" cap="rnd">
              <a:solidFill>
                <a:schemeClr val="accent2"/>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33696</c:v>
                </c:pt>
                <c:pt idx="1">
                  <c:v>36928</c:v>
                </c:pt>
                <c:pt idx="2">
                  <c:v>40098.840000000004</c:v>
                </c:pt>
                <c:pt idx="3">
                  <c:v>39674</c:v>
                </c:pt>
                <c:pt idx="4">
                  <c:v>39139</c:v>
                </c:pt>
                <c:pt idx="5">
                  <c:v>39250</c:v>
                </c:pt>
                <c:pt idx="6">
                  <c:v>38946</c:v>
                </c:pt>
                <c:pt idx="7">
                  <c:v>37677</c:v>
                </c:pt>
                <c:pt idx="8">
                  <c:v>39371.869999999995</c:v>
                </c:pt>
                <c:pt idx="9">
                  <c:v>40320</c:v>
                </c:pt>
                <c:pt idx="10">
                  <c:v>38654</c:v>
                </c:pt>
                <c:pt idx="11">
                  <c:v>36939</c:v>
                </c:pt>
              </c:numCache>
            </c:numRef>
          </c:val>
          <c:smooth val="0"/>
          <c:extLst>
            <c:ext xmlns:c16="http://schemas.microsoft.com/office/drawing/2014/chart" uri="{C3380CC4-5D6E-409C-BE32-E72D297353CC}">
              <c16:uniqueId val="{00000001-9CA4-44A3-BA29-F35CB4993251}"/>
            </c:ext>
          </c:extLst>
        </c:ser>
        <c:ser>
          <c:idx val="2"/>
          <c:order val="2"/>
          <c:tx>
            <c:strRef>
              <c:f>Объем!$G$1</c:f>
              <c:strCache>
                <c:ptCount val="1"/>
                <c:pt idx="0">
                  <c:v>2022</c:v>
                </c:pt>
              </c:strCache>
            </c:strRef>
          </c:tx>
          <c:spPr>
            <a:ln w="28575" cap="rnd">
              <a:solidFill>
                <a:schemeClr val="accent3"/>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34055</c:v>
                </c:pt>
                <c:pt idx="1">
                  <c:v>37351</c:v>
                </c:pt>
                <c:pt idx="2">
                  <c:v>35749</c:v>
                </c:pt>
                <c:pt idx="3">
                  <c:v>32227</c:v>
                </c:pt>
                <c:pt idx="4">
                  <c:v>35606</c:v>
                </c:pt>
                <c:pt idx="5">
                  <c:v>40367</c:v>
                </c:pt>
                <c:pt idx="6">
                  <c:v>43364</c:v>
                </c:pt>
                <c:pt idx="7">
                  <c:v>44486</c:v>
                </c:pt>
                <c:pt idx="8">
                  <c:v>49091</c:v>
                </c:pt>
                <c:pt idx="9">
                  <c:v>50851</c:v>
                </c:pt>
                <c:pt idx="10">
                  <c:v>50186</c:v>
                </c:pt>
                <c:pt idx="11">
                  <c:v>48354</c:v>
                </c:pt>
              </c:numCache>
            </c:numRef>
          </c:val>
          <c:smooth val="0"/>
          <c:extLst>
            <c:ext xmlns:c16="http://schemas.microsoft.com/office/drawing/2014/chart" uri="{C3380CC4-5D6E-409C-BE32-E72D297353CC}">
              <c16:uniqueId val="{00000002-9CA4-44A3-BA29-F35CB4993251}"/>
            </c:ext>
          </c:extLst>
        </c:ser>
        <c:ser>
          <c:idx val="3"/>
          <c:order val="3"/>
          <c:tx>
            <c:strRef>
              <c:f>Объем!$G$1</c:f>
              <c:strCache>
                <c:ptCount val="1"/>
                <c:pt idx="0">
                  <c:v>2023</c:v>
                </c:pt>
              </c:strCache>
            </c:strRef>
          </c:tx>
          <c:spPr>
            <a:ln w="28575" cap="rnd">
              <a:solidFill>
                <a:schemeClr val="accent4"/>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46290</c:v>
                </c:pt>
                <c:pt idx="1">
                  <c:v>48705</c:v>
                </c:pt>
                <c:pt idx="2">
                  <c:v>51354</c:v>
                </c:pt>
                <c:pt idx="3">
                  <c:v>48817</c:v>
                </c:pt>
                <c:pt idx="4">
                  <c:v>47660</c:v>
                </c:pt>
                <c:pt idx="5">
                  <c:v>46252</c:v>
                </c:pt>
                <c:pt idx="6">
                  <c:v>43280</c:v>
                </c:pt>
                <c:pt idx="7">
                  <c:v>41050</c:v>
                </c:pt>
                <c:pt idx="8">
                  <c:v>38632</c:v>
                </c:pt>
                <c:pt idx="9">
                  <c:v>37552</c:v>
                </c:pt>
                <c:pt idx="10">
                  <c:v>37865</c:v>
                </c:pt>
                <c:pt idx="11">
                  <c:v>34799</c:v>
                </c:pt>
              </c:numCache>
            </c:numRef>
          </c:val>
          <c:smooth val="0"/>
          <c:extLst>
            <c:ext xmlns:c16="http://schemas.microsoft.com/office/drawing/2014/chart" uri="{C3380CC4-5D6E-409C-BE32-E72D297353CC}">
              <c16:uniqueId val="{00000003-9CA4-44A3-BA29-F35CB4993251}"/>
            </c:ext>
          </c:extLst>
        </c:ser>
        <c:ser>
          <c:idx val="4"/>
          <c:order val="4"/>
          <c:tx>
            <c:strRef>
              <c:f>Объем!$G$1</c:f>
              <c:strCache>
                <c:ptCount val="1"/>
                <c:pt idx="0">
                  <c:v>2024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34722</c:v>
                </c:pt>
                <c:pt idx="1">
                  <c:v>38847</c:v>
                </c:pt>
                <c:pt idx="2">
                  <c:v>40695</c:v>
                </c:pt>
                <c:pt idx="3">
                  <c:v>41463</c:v>
                </c:pt>
                <c:pt idx="4">
                  <c:v>41191</c:v>
                </c:pt>
                <c:pt idx="5">
                  <c:v>42751</c:v>
                </c:pt>
                <c:pt idx="6">
                  <c:v>43920</c:v>
                </c:pt>
                <c:pt idx="7">
                  <c:v>44771</c:v>
                </c:pt>
                <c:pt idx="8">
                  <c:v>45297</c:v>
                </c:pt>
                <c:pt idx="9">
                  <c:v>46503.270000000004</c:v>
                </c:pt>
                <c:pt idx="10">
                  <c:v>45781</c:v>
                </c:pt>
                <c:pt idx="11">
                  <c:v>40105</c:v>
                </c:pt>
              </c:numCache>
            </c:numRef>
          </c:val>
          <c:smooth val="0"/>
          <c:extLst>
            <c:ext xmlns:c16="http://schemas.microsoft.com/office/drawing/2014/chart" uri="{C3380CC4-5D6E-409C-BE32-E72D297353CC}">
              <c16:uniqueId val="{00000004-9CA4-44A3-BA29-F35CB4993251}"/>
            </c:ext>
          </c:extLst>
        </c:ser>
        <c:ser>
          <c:idx val="5"/>
          <c:order val="5"/>
          <c:tx>
            <c:strRef>
              <c:f>Объем!$G$1</c:f>
              <c:strCache>
                <c:ptCount val="1"/>
                <c:pt idx="0">
                  <c:v>2025</c:v>
                </c:pt>
              </c:strCache>
            </c:strRef>
          </c:tx>
          <c:spPr>
            <a:ln w="28575" cap="rnd">
              <a:solidFill>
                <a:schemeClr val="accent6"/>
              </a:solidFill>
              <a:round/>
            </a:ln>
            <a:effectLst/>
          </c:spPr>
          <c:marker>
            <c:symbol val="none"/>
          </c:marker>
          <c:cat>
            <c:strRef>
              <c:f>Объем!$G$1</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Объем!$G$1</c:f>
              <c:numCache>
                <c:formatCode>#,##0</c:formatCode>
                <c:ptCount val="12"/>
                <c:pt idx="0">
                  <c:v>35988</c:v>
                </c:pt>
                <c:pt idx="1">
                  <c:v>37022</c:v>
                </c:pt>
                <c:pt idx="2">
                  <c:v>37437</c:v>
                </c:pt>
                <c:pt idx="3">
                  <c:v>36697</c:v>
                </c:pt>
                <c:pt idx="4">
                  <c:v>36941</c:v>
                </c:pt>
                <c:pt idx="5">
                  <c:v>34708</c:v>
                </c:pt>
                <c:pt idx="6">
                  <c:v>35695</c:v>
                </c:pt>
                <c:pt idx="7">
                  <c:v>35274</c:v>
                </c:pt>
              </c:numCache>
            </c:numRef>
          </c:val>
          <c:smooth val="0"/>
          <c:extLst>
            <c:ext xmlns:c16="http://schemas.microsoft.com/office/drawing/2014/chart" uri="{C3380CC4-5D6E-409C-BE32-E72D297353CC}">
              <c16:uniqueId val="{00000000-628D-4962-90DC-1F2FF23160F4}"/>
            </c:ext>
          </c:extLst>
        </c:ser>
        <c:dLbls>
          <c:showLegendKey val="0"/>
          <c:showVal val="0"/>
          <c:showCatName val="0"/>
          <c:showSerName val="0"/>
          <c:showPercent val="0"/>
          <c:showBubbleSize val="0"/>
        </c:dLbls>
        <c:smooth val="0"/>
        <c:axId val="1716683967"/>
        <c:axId val="1716692287"/>
      </c:lineChart>
      <c:catAx>
        <c:axId val="17166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92287"/>
        <c:crosses val="autoZero"/>
        <c:auto val="1"/>
        <c:lblAlgn val="ctr"/>
        <c:lblOffset val="100"/>
        <c:noMultiLvlLbl val="0"/>
      </c:catAx>
      <c:valAx>
        <c:axId val="1716692287"/>
        <c:scaling>
          <c:orientation val="minMax"/>
          <c:min val="3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16683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 цен выставления по административным округам Москвы</a:t>
            </a:r>
          </a:p>
          <a:p>
            <a:pPr>
              <a:defRPr/>
            </a:pPr>
            <a:r>
              <a:rPr lang="ru-RU"/>
              <a:t> 2021-2022гг</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0.10240889459623499"/>
          <c:y val="0.13792834585384453"/>
          <c:w val="0.87871524720753502"/>
          <c:h val="0.61381692990425241"/>
        </c:manualLayout>
      </c:layout>
      <c:lineChart>
        <c:grouping val="standard"/>
        <c:varyColors val="0"/>
        <c:ser>
          <c:idx val="0"/>
          <c:order val="0"/>
          <c:tx>
            <c:strRef>
              <c:f>Лист5!$A$2</c:f>
              <c:strCache>
                <c:ptCount val="1"/>
                <c:pt idx="0">
                  <c:v>Восточный АО</c:v>
                </c:pt>
              </c:strCache>
            </c:strRef>
          </c:tx>
          <c:spPr>
            <a:ln w="28575" cap="rnd">
              <a:solidFill>
                <a:schemeClr val="accent1"/>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(Лист5!$M$2:$Y$2,Лист5!$Z$2,Лист5!$AA$2,Лист5!$AB$2,Лист5!$AC$2,Лист5!$AD$2,Лист5!$AE$2,Лист5!$AF$2,Лист5!$AG$2,Лист5!$AH$2,Лист5!$AI$2,Лист5!$AJ$2,Лист5!$AK$2,Лист5!$AL$2,Лист5!$AM$2,Лист5!$AN$2)</c:f>
              <c:numCache>
                <c:formatCode>_-* #\ ##0_-;\-* #\ ##0_-;_-* "-"??_-;_-@_-</c:formatCode>
                <c:ptCount val="28"/>
                <c:pt idx="0">
                  <c:v>222408.36348782439</c:v>
                </c:pt>
                <c:pt idx="1">
                  <c:v>224060</c:v>
                </c:pt>
                <c:pt idx="2">
                  <c:v>229760.2050391048</c:v>
                </c:pt>
                <c:pt idx="3">
                  <c:v>231824.103198336</c:v>
                </c:pt>
                <c:pt idx="4">
                  <c:v>236146.7532297835</c:v>
                </c:pt>
                <c:pt idx="5">
                  <c:v>230983.15311796564</c:v>
                </c:pt>
                <c:pt idx="6">
                  <c:v>239462</c:v>
                </c:pt>
                <c:pt idx="7">
                  <c:v>243817.904226457</c:v>
                </c:pt>
                <c:pt idx="8">
                  <c:v>249485.8436743115</c:v>
                </c:pt>
                <c:pt idx="9">
                  <c:v>253346.3276842862</c:v>
                </c:pt>
                <c:pt idx="10">
                  <c:v>256232</c:v>
                </c:pt>
                <c:pt idx="11">
                  <c:v>258976.40443368099</c:v>
                </c:pt>
                <c:pt idx="12">
                  <c:v>267946.63172765332</c:v>
                </c:pt>
                <c:pt idx="13">
                  <c:v>270974.11240620178</c:v>
                </c:pt>
                <c:pt idx="14">
                  <c:v>278463.86159667029</c:v>
                </c:pt>
                <c:pt idx="15">
                  <c:v>280226.01933808258</c:v>
                </c:pt>
                <c:pt idx="16">
                  <c:v>275858.12621868192</c:v>
                </c:pt>
                <c:pt idx="17">
                  <c:v>272522.22327429499</c:v>
                </c:pt>
                <c:pt idx="18">
                  <c:v>269980.5322232318</c:v>
                </c:pt>
                <c:pt idx="19">
                  <c:v>268038.24546257441</c:v>
                </c:pt>
                <c:pt idx="20">
                  <c:v>266117.43562820752</c:v>
                </c:pt>
                <c:pt idx="21">
                  <c:v>261889.18829567861</c:v>
                </c:pt>
                <c:pt idx="22">
                  <c:v>258588.9765727123</c:v>
                </c:pt>
                <c:pt idx="23">
                  <c:v>258297.76694470219</c:v>
                </c:pt>
                <c:pt idx="24">
                  <c:v>259332.9226559925</c:v>
                </c:pt>
                <c:pt idx="25">
                  <c:v>259473.58519021151</c:v>
                </c:pt>
                <c:pt idx="26">
                  <c:v>259217.51369044819</c:v>
                </c:pt>
                <c:pt idx="27">
                  <c:v>260149.9673409111</c:v>
                </c:pt>
              </c:numCache>
            </c:numRef>
          </c:val>
          <c:smooth val="0"/>
          <c:extLst>
            <c:ext xmlns:c16="http://schemas.microsoft.com/office/drawing/2014/chart" uri="{C3380CC4-5D6E-409C-BE32-E72D297353CC}">
              <c16:uniqueId val="{00000000-CFDA-4237-A978-1868611E33E3}"/>
            </c:ext>
          </c:extLst>
        </c:ser>
        <c:ser>
          <c:idx val="1"/>
          <c:order val="1"/>
          <c:tx>
            <c:strRef>
              <c:f>Лист5!$A$3</c:f>
              <c:strCache>
                <c:ptCount val="1"/>
                <c:pt idx="0">
                  <c:v>Западный АО</c:v>
                </c:pt>
              </c:strCache>
            </c:strRef>
          </c:tx>
          <c:spPr>
            <a:ln w="28575" cap="rnd">
              <a:solidFill>
                <a:schemeClr val="accent2"/>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(Лист5!$M$3:$Y$3,Лист5!$Z$3,Лист5!$AA$3,Лист5!$AB$3,Лист5!$AC$3,Лист5!$AD$3,Лист5!$AE$3,Лист5!$AF$3,Лист5!$AG$3,Лист5!$AH$3,Лист5!$AI$3,Лист5!$AJ$3,Лист5!$AK$3,Лист5!$AL$3,Лист5!$AM$3,Лист5!$AN$3)</c:f>
              <c:numCache>
                <c:formatCode>_-* #\ ##0_-;\-* #\ ##0_-;_-* "-"??_-;_-@_-</c:formatCode>
                <c:ptCount val="28"/>
                <c:pt idx="0">
                  <c:v>288669.41646255122</c:v>
                </c:pt>
                <c:pt idx="1">
                  <c:v>290704</c:v>
                </c:pt>
                <c:pt idx="2">
                  <c:v>294686.30042326043</c:v>
                </c:pt>
                <c:pt idx="3">
                  <c:v>299003.19790890749</c:v>
                </c:pt>
                <c:pt idx="4">
                  <c:v>303562.77174101147</c:v>
                </c:pt>
                <c:pt idx="5">
                  <c:v>307644.74547330698</c:v>
                </c:pt>
                <c:pt idx="6">
                  <c:v>307365.87509837101</c:v>
                </c:pt>
                <c:pt idx="7">
                  <c:v>313986.35700671421</c:v>
                </c:pt>
                <c:pt idx="8">
                  <c:v>318405.32816914219</c:v>
                </c:pt>
                <c:pt idx="9">
                  <c:v>321496.05009821663</c:v>
                </c:pt>
                <c:pt idx="10">
                  <c:v>326170</c:v>
                </c:pt>
                <c:pt idx="11">
                  <c:v>330302.86080593202</c:v>
                </c:pt>
                <c:pt idx="12">
                  <c:v>340527.33672739542</c:v>
                </c:pt>
                <c:pt idx="13">
                  <c:v>346948.1862733243</c:v>
                </c:pt>
                <c:pt idx="14">
                  <c:v>363085.50828029233</c:v>
                </c:pt>
                <c:pt idx="15">
                  <c:v>367420.52702621918</c:v>
                </c:pt>
                <c:pt idx="16">
                  <c:v>359294.42630135908</c:v>
                </c:pt>
                <c:pt idx="17">
                  <c:v>348500.65509742312</c:v>
                </c:pt>
                <c:pt idx="18">
                  <c:v>343912.83252685261</c:v>
                </c:pt>
                <c:pt idx="19">
                  <c:v>340004.22844694433</c:v>
                </c:pt>
                <c:pt idx="20">
                  <c:v>336424.29970319528</c:v>
                </c:pt>
                <c:pt idx="21">
                  <c:v>330306.84382925881</c:v>
                </c:pt>
                <c:pt idx="22">
                  <c:v>326518.66673538182</c:v>
                </c:pt>
                <c:pt idx="23">
                  <c:v>324768.07093273278</c:v>
                </c:pt>
                <c:pt idx="24">
                  <c:v>326279.82855966821</c:v>
                </c:pt>
                <c:pt idx="25">
                  <c:v>322496.14762979379</c:v>
                </c:pt>
                <c:pt idx="26">
                  <c:v>325831.62776930293</c:v>
                </c:pt>
                <c:pt idx="27">
                  <c:v>326518.58120994607</c:v>
                </c:pt>
              </c:numCache>
            </c:numRef>
          </c:val>
          <c:smooth val="0"/>
          <c:extLst>
            <c:ext xmlns:c16="http://schemas.microsoft.com/office/drawing/2014/chart" uri="{C3380CC4-5D6E-409C-BE32-E72D297353CC}">
              <c16:uniqueId val="{00000001-CFDA-4237-A978-1868611E33E3}"/>
            </c:ext>
          </c:extLst>
        </c:ser>
        <c:ser>
          <c:idx val="2"/>
          <c:order val="2"/>
          <c:tx>
            <c:strRef>
              <c:f>Лист5!$A$4</c:f>
              <c:strCache>
                <c:ptCount val="1"/>
                <c:pt idx="0">
                  <c:v>Новомосковский</c:v>
                </c:pt>
              </c:strCache>
            </c:strRef>
          </c:tx>
          <c:spPr>
            <a:ln w="28575" cap="rnd">
              <a:solidFill>
                <a:schemeClr val="accent3"/>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(Лист5!$M$4:$Y$4,Лист5!$Z$4,Лист5!$AA$4,Лист5!$AB$4,Лист5!$AC$4,Лист5!$AD$4,Лист5!$AE$4,Лист5!$AF$4,Лист5!$AG$4,Лист5!$AH$4,Лист5!$AI$4,Лист5!$AJ$4,Лист5!$AK$4,Лист5!$AL$4,Лист5!$AM$4,Лист5!$AN$4)</c:f>
              <c:numCache>
                <c:formatCode>_-* #\ ##0_-;\-* #\ ##0_-;_-* "-"??_-;_-@_-</c:formatCode>
                <c:ptCount val="28"/>
                <c:pt idx="0">
                  <c:v>174893.75244081969</c:v>
                </c:pt>
                <c:pt idx="1">
                  <c:v>166469</c:v>
                </c:pt>
                <c:pt idx="2">
                  <c:v>170101.71363001299</c:v>
                </c:pt>
                <c:pt idx="3">
                  <c:v>171331.37824459199</c:v>
                </c:pt>
                <c:pt idx="4">
                  <c:v>185143.76767959961</c:v>
                </c:pt>
                <c:pt idx="5">
                  <c:v>185631.433362765</c:v>
                </c:pt>
                <c:pt idx="6">
                  <c:v>189270</c:v>
                </c:pt>
                <c:pt idx="7">
                  <c:v>190978.5946016557</c:v>
                </c:pt>
                <c:pt idx="8">
                  <c:v>191949.76357757431</c:v>
                </c:pt>
                <c:pt idx="9">
                  <c:v>199505.4179037796</c:v>
                </c:pt>
                <c:pt idx="10">
                  <c:v>204239.18979340579</c:v>
                </c:pt>
                <c:pt idx="11">
                  <c:v>207782.7273838</c:v>
                </c:pt>
                <c:pt idx="12">
                  <c:v>209952.13364457179</c:v>
                </c:pt>
                <c:pt idx="13">
                  <c:v>212581.93896508319</c:v>
                </c:pt>
                <c:pt idx="14">
                  <c:v>221724.66943999371</c:v>
                </c:pt>
                <c:pt idx="15">
                  <c:v>224159.74462695079</c:v>
                </c:pt>
                <c:pt idx="16">
                  <c:v>224950.51592621111</c:v>
                </c:pt>
                <c:pt idx="17">
                  <c:v>223068.0169433133</c:v>
                </c:pt>
                <c:pt idx="18">
                  <c:v>218829.20562310121</c:v>
                </c:pt>
                <c:pt idx="19">
                  <c:v>217394.79671944631</c:v>
                </c:pt>
                <c:pt idx="20">
                  <c:v>219142.34026592321</c:v>
                </c:pt>
                <c:pt idx="21">
                  <c:v>218235.13738975261</c:v>
                </c:pt>
                <c:pt idx="22">
                  <c:v>213383.53864553969</c:v>
                </c:pt>
                <c:pt idx="23">
                  <c:v>213351.93392868809</c:v>
                </c:pt>
                <c:pt idx="24">
                  <c:v>214267.87892695851</c:v>
                </c:pt>
                <c:pt idx="25">
                  <c:v>215088.57304761501</c:v>
                </c:pt>
                <c:pt idx="26">
                  <c:v>216997.25024225019</c:v>
                </c:pt>
                <c:pt idx="27">
                  <c:v>216056.46931929531</c:v>
                </c:pt>
              </c:numCache>
            </c:numRef>
          </c:val>
          <c:smooth val="0"/>
          <c:extLst>
            <c:ext xmlns:c16="http://schemas.microsoft.com/office/drawing/2014/chart" uri="{C3380CC4-5D6E-409C-BE32-E72D297353CC}">
              <c16:uniqueId val="{00000002-CFDA-4237-A978-1868611E33E3}"/>
            </c:ext>
          </c:extLst>
        </c:ser>
        <c:ser>
          <c:idx val="3"/>
          <c:order val="3"/>
          <c:tx>
            <c:strRef>
              <c:f>Лист5!$A$5</c:f>
              <c:strCache>
                <c:ptCount val="1"/>
                <c:pt idx="0">
                  <c:v>Северный АО</c:v>
                </c:pt>
              </c:strCache>
            </c:strRef>
          </c:tx>
          <c:spPr>
            <a:ln w="28575" cap="rnd">
              <a:solidFill>
                <a:schemeClr val="accent4"/>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(Лист5!$M$5:$Y$5,Лист5!$Z$5,Лист5!$AA$5,Лист5!$AB$5,Лист5!$AC$5,Лист5!$AD$5,Лист5!$AE$5,Лист5!$AF$5,Лист5!$AG$5,Лист5!$AH$5,Лист5!$AI$5,Лист5!$AJ$5,Лист5!$AK$5,Лист5!$AL$5,Лист5!$AM$5,Лист5!$AN$5)</c:f>
              <c:numCache>
                <c:formatCode>_-* #\ ##0_-;\-* #\ ##0_-;_-* "-"??_-;_-@_-</c:formatCode>
                <c:ptCount val="28"/>
                <c:pt idx="0">
                  <c:v>254214.55851797509</c:v>
                </c:pt>
                <c:pt idx="1">
                  <c:v>250175</c:v>
                </c:pt>
                <c:pt idx="2">
                  <c:v>255178.5</c:v>
                </c:pt>
                <c:pt idx="3">
                  <c:v>262834</c:v>
                </c:pt>
                <c:pt idx="4">
                  <c:v>270519.52216606628</c:v>
                </c:pt>
                <c:pt idx="5">
                  <c:v>271639.90676165489</c:v>
                </c:pt>
                <c:pt idx="6">
                  <c:v>279829.87249036401</c:v>
                </c:pt>
                <c:pt idx="7">
                  <c:v>285267.26389235689</c:v>
                </c:pt>
                <c:pt idx="8">
                  <c:v>288234.28745723149</c:v>
                </c:pt>
                <c:pt idx="9">
                  <c:v>290471.21689291118</c:v>
                </c:pt>
                <c:pt idx="10">
                  <c:v>293787</c:v>
                </c:pt>
                <c:pt idx="11">
                  <c:v>298124.974818199</c:v>
                </c:pt>
                <c:pt idx="12">
                  <c:v>301307.60404216993</c:v>
                </c:pt>
                <c:pt idx="13">
                  <c:v>306540.32746884797</c:v>
                </c:pt>
                <c:pt idx="14">
                  <c:v>320968.52090053831</c:v>
                </c:pt>
                <c:pt idx="15">
                  <c:v>327258.34607007517</c:v>
                </c:pt>
                <c:pt idx="16">
                  <c:v>321220.19261946628</c:v>
                </c:pt>
                <c:pt idx="17">
                  <c:v>314573.90563794709</c:v>
                </c:pt>
                <c:pt idx="18">
                  <c:v>308423.61822482687</c:v>
                </c:pt>
                <c:pt idx="19">
                  <c:v>308092.55807605002</c:v>
                </c:pt>
                <c:pt idx="20">
                  <c:v>307037.0851852576</c:v>
                </c:pt>
                <c:pt idx="21">
                  <c:v>301857.90412314358</c:v>
                </c:pt>
                <c:pt idx="22">
                  <c:v>298853.75503415312</c:v>
                </c:pt>
                <c:pt idx="23">
                  <c:v>296416.32505120052</c:v>
                </c:pt>
                <c:pt idx="24">
                  <c:v>296895.23621274339</c:v>
                </c:pt>
                <c:pt idx="25">
                  <c:v>297406.94574075512</c:v>
                </c:pt>
                <c:pt idx="26">
                  <c:v>298460.60393010598</c:v>
                </c:pt>
                <c:pt idx="27">
                  <c:v>299938.94214565807</c:v>
                </c:pt>
              </c:numCache>
            </c:numRef>
          </c:val>
          <c:smooth val="0"/>
          <c:extLst>
            <c:ext xmlns:c16="http://schemas.microsoft.com/office/drawing/2014/chart" uri="{C3380CC4-5D6E-409C-BE32-E72D297353CC}">
              <c16:uniqueId val="{00000003-CFDA-4237-A978-1868611E33E3}"/>
            </c:ext>
          </c:extLst>
        </c:ser>
        <c:ser>
          <c:idx val="4"/>
          <c:order val="4"/>
          <c:tx>
            <c:strRef>
              <c:f>Лист5!$A$6</c:f>
              <c:strCache>
                <c:ptCount val="1"/>
                <c:pt idx="0">
                  <c:v>Северо-Восточный АО</c:v>
                </c:pt>
              </c:strCache>
            </c:strRef>
          </c:tx>
          <c:spPr>
            <a:ln w="28575" cap="rnd">
              <a:solidFill>
                <a:schemeClr val="accent5"/>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(Лист5!$M$6:$Y$6,Лист5!$Z$6,Лист5!$AA$6,Лист5!$AB$6,Лист5!$AC$6,Лист5!$AD$6,Лист5!$AE$6,Лист5!$AF$6,Лист5!$AG$6,Лист5!$AH$6,Лист5!$AI$6,Лист5!$AJ$6,Лист5!$AK$6,Лист5!$AL$6,Лист5!$AM$6,Лист5!$AN$6)</c:f>
              <c:numCache>
                <c:formatCode>_-* #\ ##0_-;\-* #\ ##0_-;_-* "-"??_-;_-@_-</c:formatCode>
                <c:ptCount val="28"/>
                <c:pt idx="0">
                  <c:v>233980.9473695881</c:v>
                </c:pt>
                <c:pt idx="1">
                  <c:v>227817</c:v>
                </c:pt>
                <c:pt idx="2">
                  <c:v>230654</c:v>
                </c:pt>
                <c:pt idx="3">
                  <c:v>232671</c:v>
                </c:pt>
                <c:pt idx="4">
                  <c:v>242760</c:v>
                </c:pt>
                <c:pt idx="5">
                  <c:v>250087.87851045234</c:v>
                </c:pt>
                <c:pt idx="6">
                  <c:v>258704</c:v>
                </c:pt>
                <c:pt idx="7">
                  <c:v>262066.97207549991</c:v>
                </c:pt>
                <c:pt idx="8">
                  <c:v>267543.33263386798</c:v>
                </c:pt>
                <c:pt idx="9">
                  <c:v>271461.21226723271</c:v>
                </c:pt>
                <c:pt idx="10">
                  <c:v>275176.24553046102</c:v>
                </c:pt>
                <c:pt idx="11">
                  <c:v>279581.36686801759</c:v>
                </c:pt>
                <c:pt idx="12">
                  <c:v>283948.77177602582</c:v>
                </c:pt>
                <c:pt idx="13">
                  <c:v>287890.35994628642</c:v>
                </c:pt>
                <c:pt idx="14">
                  <c:v>296364.80183482671</c:v>
                </c:pt>
                <c:pt idx="15">
                  <c:v>297827.46372484748</c:v>
                </c:pt>
                <c:pt idx="16">
                  <c:v>293393.42577519623</c:v>
                </c:pt>
                <c:pt idx="17">
                  <c:v>294060.66383427603</c:v>
                </c:pt>
                <c:pt idx="18">
                  <c:v>288945.80174840608</c:v>
                </c:pt>
                <c:pt idx="19">
                  <c:v>286930.18072477228</c:v>
                </c:pt>
                <c:pt idx="20">
                  <c:v>285504.26702068438</c:v>
                </c:pt>
                <c:pt idx="21">
                  <c:v>281794.19893284788</c:v>
                </c:pt>
                <c:pt idx="22">
                  <c:v>278597.23265815148</c:v>
                </c:pt>
                <c:pt idx="23">
                  <c:v>275840.2238329539</c:v>
                </c:pt>
                <c:pt idx="24">
                  <c:v>275615.10457874852</c:v>
                </c:pt>
                <c:pt idx="25">
                  <c:v>276820.27551149769</c:v>
                </c:pt>
                <c:pt idx="26">
                  <c:v>277437.93456249143</c:v>
                </c:pt>
                <c:pt idx="27">
                  <c:v>277858.91699838708</c:v>
                </c:pt>
              </c:numCache>
            </c:numRef>
          </c:val>
          <c:smooth val="0"/>
          <c:extLst>
            <c:ext xmlns:c16="http://schemas.microsoft.com/office/drawing/2014/chart" uri="{C3380CC4-5D6E-409C-BE32-E72D297353CC}">
              <c16:uniqueId val="{00000004-CFDA-4237-A978-1868611E33E3}"/>
            </c:ext>
          </c:extLst>
        </c:ser>
        <c:ser>
          <c:idx val="5"/>
          <c:order val="5"/>
          <c:tx>
            <c:strRef>
              <c:f>Лист5!$A$7</c:f>
              <c:strCache>
                <c:ptCount val="1"/>
                <c:pt idx="0">
                  <c:v>Северо-Западный АО</c:v>
                </c:pt>
              </c:strCache>
            </c:strRef>
          </c:tx>
          <c:spPr>
            <a:ln w="28575" cap="rnd">
              <a:solidFill>
                <a:schemeClr val="accent6"/>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(Лист5!$M$7:$Y$7,Лист5!$Z$7,Лист5!$AA$7,Лист5!$AB$7,Лист5!$AC$7,Лист5!$AD$7,Лист5!$AE$7,Лист5!$AF$7,Лист5!$AG$7,Лист5!$AH$7,Лист5!$AI$7,Лист5!$AJ$7,Лист5!$AK$7,Лист5!$AL$7,Лист5!$AM$7,Лист5!$AN$7)</c:f>
              <c:numCache>
                <c:formatCode>_-* #\ ##0_-;\-* #\ ##0_-;_-* "-"??_-;_-@_-</c:formatCode>
                <c:ptCount val="28"/>
                <c:pt idx="0">
                  <c:v>252079.08210971011</c:v>
                </c:pt>
                <c:pt idx="1">
                  <c:v>249379</c:v>
                </c:pt>
                <c:pt idx="2">
                  <c:v>256057.22500537531</c:v>
                </c:pt>
                <c:pt idx="3">
                  <c:v>259971.7770430946</c:v>
                </c:pt>
                <c:pt idx="4">
                  <c:v>264259.30843595619</c:v>
                </c:pt>
                <c:pt idx="5">
                  <c:v>263638.9330597294</c:v>
                </c:pt>
                <c:pt idx="6">
                  <c:v>270586.86449560802</c:v>
                </c:pt>
                <c:pt idx="7">
                  <c:v>273464.63700159639</c:v>
                </c:pt>
                <c:pt idx="8">
                  <c:v>278765.98798666633</c:v>
                </c:pt>
                <c:pt idx="9">
                  <c:v>285228.90836500551</c:v>
                </c:pt>
                <c:pt idx="10">
                  <c:v>289711.73171745968</c:v>
                </c:pt>
                <c:pt idx="11">
                  <c:v>292388.12739667401</c:v>
                </c:pt>
                <c:pt idx="12">
                  <c:v>301531.94290582743</c:v>
                </c:pt>
                <c:pt idx="13">
                  <c:v>306505.3299040483</c:v>
                </c:pt>
                <c:pt idx="14">
                  <c:v>317477.79596749821</c:v>
                </c:pt>
                <c:pt idx="15">
                  <c:v>317865.33061718981</c:v>
                </c:pt>
                <c:pt idx="16">
                  <c:v>314491.06933455681</c:v>
                </c:pt>
                <c:pt idx="17">
                  <c:v>306747.44519740611</c:v>
                </c:pt>
                <c:pt idx="18">
                  <c:v>302028.76333584398</c:v>
                </c:pt>
                <c:pt idx="19">
                  <c:v>301502.58819331578</c:v>
                </c:pt>
                <c:pt idx="20">
                  <c:v>299742.17782187578</c:v>
                </c:pt>
                <c:pt idx="21">
                  <c:v>295218.10880760069</c:v>
                </c:pt>
                <c:pt idx="22">
                  <c:v>290013.10981768259</c:v>
                </c:pt>
                <c:pt idx="23">
                  <c:v>289305.56698198023</c:v>
                </c:pt>
                <c:pt idx="24">
                  <c:v>290651.04610973608</c:v>
                </c:pt>
                <c:pt idx="25">
                  <c:v>289313.35217759508</c:v>
                </c:pt>
                <c:pt idx="26">
                  <c:v>291927.00474655448</c:v>
                </c:pt>
                <c:pt idx="27">
                  <c:v>294542.43336894322</c:v>
                </c:pt>
              </c:numCache>
            </c:numRef>
          </c:val>
          <c:smooth val="0"/>
          <c:extLst>
            <c:ext xmlns:c16="http://schemas.microsoft.com/office/drawing/2014/chart" uri="{C3380CC4-5D6E-409C-BE32-E72D297353CC}">
              <c16:uniqueId val="{00000005-CFDA-4237-A978-1868611E33E3}"/>
            </c:ext>
          </c:extLst>
        </c:ser>
        <c:ser>
          <c:idx val="7"/>
          <c:order val="6"/>
          <c:tx>
            <c:strRef>
              <c:f>Лист5!$A$10</c:f>
              <c:strCache>
                <c:ptCount val="1"/>
                <c:pt idx="0">
                  <c:v>Юго-Восточный АО</c:v>
                </c:pt>
              </c:strCache>
            </c:strRef>
          </c:tx>
          <c:spPr>
            <a:ln w="28575" cap="rnd">
              <a:solidFill>
                <a:schemeClr val="accent2">
                  <a:lumMod val="60000"/>
                </a:schemeClr>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(Лист5!$M$10:$Y$10,Лист5!$Z$10,Лист5!$AA$10,Лист5!$AB$10,Лист5!$AC$10,Лист5!$AD$10,Лист5!$AE$10,Лист5!$AF$10,Лист5!$AG$10,Лист5!$AH$10,Лист5!$AI$10,Лист5!$AJ$10,Лист5!$AK$10,Лист5!$AL$10,Лист5!$AM$10,Лист5!$AN$10)</c:f>
              <c:numCache>
                <c:formatCode>_-* #\ ##0_-;\-* #\ ##0_-;_-* "-"??_-;_-@_-</c:formatCode>
                <c:ptCount val="28"/>
                <c:pt idx="0">
                  <c:v>207722.82884056869</c:v>
                </c:pt>
                <c:pt idx="1">
                  <c:v>208923</c:v>
                </c:pt>
                <c:pt idx="2">
                  <c:v>214923.24614204169</c:v>
                </c:pt>
                <c:pt idx="3">
                  <c:v>214656</c:v>
                </c:pt>
                <c:pt idx="4">
                  <c:v>223160.25658915259</c:v>
                </c:pt>
                <c:pt idx="5">
                  <c:v>221907.45513157058</c:v>
                </c:pt>
                <c:pt idx="6">
                  <c:v>231525.01908459191</c:v>
                </c:pt>
                <c:pt idx="7">
                  <c:v>236217.4435711597</c:v>
                </c:pt>
                <c:pt idx="8">
                  <c:v>240456.28294197639</c:v>
                </c:pt>
                <c:pt idx="9">
                  <c:v>244291.873544584</c:v>
                </c:pt>
                <c:pt idx="10">
                  <c:v>248434.6984776</c:v>
                </c:pt>
                <c:pt idx="11">
                  <c:v>250776.498061486</c:v>
                </c:pt>
                <c:pt idx="12">
                  <c:v>257687.7018565388</c:v>
                </c:pt>
                <c:pt idx="13">
                  <c:v>262051.61598266201</c:v>
                </c:pt>
                <c:pt idx="14">
                  <c:v>270818.45032309112</c:v>
                </c:pt>
                <c:pt idx="15">
                  <c:v>273327.71999100369</c:v>
                </c:pt>
                <c:pt idx="16">
                  <c:v>270054.66578569799</c:v>
                </c:pt>
                <c:pt idx="17">
                  <c:v>265723.44464542938</c:v>
                </c:pt>
                <c:pt idx="18">
                  <c:v>263884.01689317689</c:v>
                </c:pt>
                <c:pt idx="19">
                  <c:v>263479.18276773021</c:v>
                </c:pt>
                <c:pt idx="20">
                  <c:v>262155.09597327432</c:v>
                </c:pt>
                <c:pt idx="21">
                  <c:v>259166.2479942012</c:v>
                </c:pt>
                <c:pt idx="22">
                  <c:v>255999.51713306949</c:v>
                </c:pt>
                <c:pt idx="23">
                  <c:v>253290.11788260931</c:v>
                </c:pt>
                <c:pt idx="24">
                  <c:v>252980.29083724669</c:v>
                </c:pt>
                <c:pt idx="25">
                  <c:v>252497.7358589184</c:v>
                </c:pt>
                <c:pt idx="26">
                  <c:v>251723.6431670411</c:v>
                </c:pt>
                <c:pt idx="27">
                  <c:v>253205.29192346189</c:v>
                </c:pt>
              </c:numCache>
            </c:numRef>
          </c:val>
          <c:smooth val="0"/>
          <c:extLst>
            <c:ext xmlns:c16="http://schemas.microsoft.com/office/drawing/2014/chart" uri="{C3380CC4-5D6E-409C-BE32-E72D297353CC}">
              <c16:uniqueId val="{00000006-CFDA-4237-A978-1868611E33E3}"/>
            </c:ext>
          </c:extLst>
        </c:ser>
        <c:ser>
          <c:idx val="8"/>
          <c:order val="7"/>
          <c:tx>
            <c:strRef>
              <c:f>Лист5!$A$11</c:f>
              <c:strCache>
                <c:ptCount val="1"/>
                <c:pt idx="0">
                  <c:v>Юго-Западный АО</c:v>
                </c:pt>
              </c:strCache>
            </c:strRef>
          </c:tx>
          <c:spPr>
            <a:ln w="28575" cap="rnd">
              <a:solidFill>
                <a:schemeClr val="accent3">
                  <a:lumMod val="60000"/>
                </a:schemeClr>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(Лист5!$M$11:$Y$11,Лист5!$Z$11,Лист5!$AA$11,Лист5!$AB$11,Лист5!$AC$11,Лист5!$AD$11,Лист5!$AE$11,Лист5!$AF$11,Лист5!$AG$11,Лист5!$AH$11,Лист5!$AI$11,Лист5!$AJ$11,Лист5!$AK$11,Лист5!$AL$11,Лист5!$AM$11,Лист5!$AN$11)</c:f>
              <c:numCache>
                <c:formatCode>_-* #\ ##0_-;\-* #\ ##0_-;_-* "-"??_-;_-@_-</c:formatCode>
                <c:ptCount val="28"/>
                <c:pt idx="0">
                  <c:v>252676.76757866339</c:v>
                </c:pt>
                <c:pt idx="1">
                  <c:v>251521</c:v>
                </c:pt>
                <c:pt idx="2">
                  <c:v>257717.3994652222</c:v>
                </c:pt>
                <c:pt idx="3">
                  <c:v>263055.17312146898</c:v>
                </c:pt>
                <c:pt idx="4">
                  <c:v>267496.63666675298</c:v>
                </c:pt>
                <c:pt idx="5">
                  <c:v>267714.09157880186</c:v>
                </c:pt>
                <c:pt idx="6">
                  <c:v>274500.01690092351</c:v>
                </c:pt>
                <c:pt idx="7">
                  <c:v>279971.03003293643</c:v>
                </c:pt>
                <c:pt idx="8">
                  <c:v>284425.09842203389</c:v>
                </c:pt>
                <c:pt idx="9">
                  <c:v>287414.23817491438</c:v>
                </c:pt>
                <c:pt idx="10">
                  <c:v>291686.34427841782</c:v>
                </c:pt>
                <c:pt idx="11">
                  <c:v>295671.37932612142</c:v>
                </c:pt>
                <c:pt idx="12">
                  <c:v>301752.70797902631</c:v>
                </c:pt>
                <c:pt idx="13">
                  <c:v>307307.36865101598</c:v>
                </c:pt>
                <c:pt idx="14">
                  <c:v>320210.02967514237</c:v>
                </c:pt>
                <c:pt idx="15">
                  <c:v>324283.56090027408</c:v>
                </c:pt>
                <c:pt idx="16">
                  <c:v>318190.26654221967</c:v>
                </c:pt>
                <c:pt idx="17">
                  <c:v>312344.65072477132</c:v>
                </c:pt>
                <c:pt idx="18">
                  <c:v>309244.1348849741</c:v>
                </c:pt>
                <c:pt idx="19">
                  <c:v>308834.37533444568</c:v>
                </c:pt>
                <c:pt idx="20">
                  <c:v>306233.1175945258</c:v>
                </c:pt>
                <c:pt idx="21">
                  <c:v>301531.71527971758</c:v>
                </c:pt>
                <c:pt idx="22">
                  <c:v>299035.41672953381</c:v>
                </c:pt>
                <c:pt idx="23">
                  <c:v>296629.6945765338</c:v>
                </c:pt>
                <c:pt idx="24">
                  <c:v>295773.71667826647</c:v>
                </c:pt>
                <c:pt idx="25">
                  <c:v>294978.52411132469</c:v>
                </c:pt>
                <c:pt idx="26">
                  <c:v>293915.58188242093</c:v>
                </c:pt>
                <c:pt idx="27">
                  <c:v>295572.76397545612</c:v>
                </c:pt>
              </c:numCache>
            </c:numRef>
          </c:val>
          <c:smooth val="0"/>
          <c:extLst>
            <c:ext xmlns:c16="http://schemas.microsoft.com/office/drawing/2014/chart" uri="{C3380CC4-5D6E-409C-BE32-E72D297353CC}">
              <c16:uniqueId val="{00000007-CFDA-4237-A978-1868611E33E3}"/>
            </c:ext>
          </c:extLst>
        </c:ser>
        <c:ser>
          <c:idx val="9"/>
          <c:order val="8"/>
          <c:tx>
            <c:strRef>
              <c:f>Лист5!$A$12</c:f>
              <c:strCache>
                <c:ptCount val="1"/>
                <c:pt idx="0">
                  <c:v>Южный АО</c:v>
                </c:pt>
              </c:strCache>
            </c:strRef>
          </c:tx>
          <c:spPr>
            <a:ln w="28575" cap="rnd">
              <a:solidFill>
                <a:schemeClr val="accent4">
                  <a:lumMod val="60000"/>
                </a:schemeClr>
              </a:solidFill>
              <a:round/>
            </a:ln>
            <a:effectLst/>
          </c:spPr>
          <c:marker>
            <c:symbol val="none"/>
          </c:marker>
          <c:cat>
            <c:numRef>
              <c:f>(Лист5!$M$1:$Y$1,Лист5!$Z$1,Лист5!$AA$1,Лист5!$AB$1,Лист5!$AC$1,Лист5!$AD$1,Лист5!$AE$1,Лист5!$AF$1,Лист5!$AG$1,Лист5!$AH$1,Лист5!$AI$1,Лист5!$AJ$1,Лист5!$AK$1,Лист5!$AL$1,Лист5!$AM$1,Лист5!$AN$1)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(Лист5!$M$12:$Y$12,Лист5!$Z$12,Лист5!$AA$12,Лист5!$AB$12,Лист5!$AC$12,Лист5!$AD$12,Лист5!$AE$12,Лист5!$AF$12,Лист5!$AG$12,Лист5!$AH$12,Лист5!$AI$12,Лист5!$AJ$12,Лист5!$AK$12,Лист5!$AL$12,Лист5!$AM$12,Лист5!$AN$12)</c:f>
              <c:numCache>
                <c:formatCode>_-* #\ ##0_-;\-* #\ ##0_-;_-* "-"??_-;_-@_-</c:formatCode>
                <c:ptCount val="28"/>
                <c:pt idx="0">
                  <c:v>229702.2527081068</c:v>
                </c:pt>
                <c:pt idx="1">
                  <c:v>227762</c:v>
                </c:pt>
                <c:pt idx="2">
                  <c:v>235586.81450968509</c:v>
                </c:pt>
                <c:pt idx="3">
                  <c:v>240115.281335354</c:v>
                </c:pt>
                <c:pt idx="4">
                  <c:v>243481.25289579309</c:v>
                </c:pt>
                <c:pt idx="5">
                  <c:v>238147.17446186498</c:v>
                </c:pt>
                <c:pt idx="6">
                  <c:v>251078.98626123049</c:v>
                </c:pt>
                <c:pt idx="7">
                  <c:v>255337.31070487079</c:v>
                </c:pt>
                <c:pt idx="8">
                  <c:v>257160.38414682401</c:v>
                </c:pt>
                <c:pt idx="9">
                  <c:v>260881.01090544171</c:v>
                </c:pt>
                <c:pt idx="10">
                  <c:v>265469.06839972612</c:v>
                </c:pt>
                <c:pt idx="11">
                  <c:v>271211.70766656921</c:v>
                </c:pt>
                <c:pt idx="12">
                  <c:v>276059.69586917787</c:v>
                </c:pt>
                <c:pt idx="13">
                  <c:v>279253.82993361098</c:v>
                </c:pt>
                <c:pt idx="14">
                  <c:v>289946.48951570521</c:v>
                </c:pt>
                <c:pt idx="15">
                  <c:v>293908.62513073621</c:v>
                </c:pt>
                <c:pt idx="16">
                  <c:v>290264.32717697421</c:v>
                </c:pt>
                <c:pt idx="17">
                  <c:v>285898.24451545969</c:v>
                </c:pt>
                <c:pt idx="18">
                  <c:v>283666.13279055618</c:v>
                </c:pt>
                <c:pt idx="19">
                  <c:v>282502.1327105618</c:v>
                </c:pt>
                <c:pt idx="20">
                  <c:v>283201.69586318691</c:v>
                </c:pt>
                <c:pt idx="21">
                  <c:v>278112.6184314813</c:v>
                </c:pt>
                <c:pt idx="22">
                  <c:v>274615.69143664488</c:v>
                </c:pt>
                <c:pt idx="23">
                  <c:v>272147.78095598659</c:v>
                </c:pt>
                <c:pt idx="24">
                  <c:v>271771.28308731172</c:v>
                </c:pt>
                <c:pt idx="25">
                  <c:v>271944.71502837329</c:v>
                </c:pt>
                <c:pt idx="26">
                  <c:v>271339.62750437472</c:v>
                </c:pt>
                <c:pt idx="27">
                  <c:v>271537.54008447792</c:v>
                </c:pt>
              </c:numCache>
            </c:numRef>
          </c:val>
          <c:smooth val="0"/>
          <c:extLst>
            <c:ext xmlns:c16="http://schemas.microsoft.com/office/drawing/2014/chart" uri="{C3380CC4-5D6E-409C-BE32-E72D297353CC}">
              <c16:uniqueId val="{00000008-CFDA-4237-A978-1868611E33E3}"/>
            </c:ext>
          </c:extLst>
        </c:ser>
        <c:dLbls>
          <c:showLegendKey val="0"/>
          <c:showVal val="0"/>
          <c:showCatName val="0"/>
          <c:showSerName val="0"/>
          <c:showPercent val="0"/>
          <c:showBubbleSize val="0"/>
        </c:dLbls>
        <c:smooth val="0"/>
        <c:axId val="643687423"/>
        <c:axId val="643705311"/>
      </c:lineChart>
      <c:dateAx>
        <c:axId val="6436874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43705311"/>
        <c:crosses val="autoZero"/>
        <c:auto val="1"/>
        <c:lblOffset val="100"/>
        <c:baseTimeUnit val="months"/>
      </c:dateAx>
      <c:valAx>
        <c:axId val="643705311"/>
        <c:scaling>
          <c:orientation val="minMax"/>
          <c:min val="150000"/>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43687423"/>
        <c:crosses val="autoZero"/>
        <c:crossBetween val="between"/>
      </c:valAx>
      <c:spPr>
        <a:noFill/>
        <a:ln>
          <a:noFill/>
        </a:ln>
        <a:effectLst/>
      </c:spPr>
    </c:plotArea>
    <c:legend>
      <c:legendPos val="b"/>
      <c:layout>
        <c:manualLayout>
          <c:xMode val="edge"/>
          <c:yMode val="edge"/>
          <c:x val="0.10080751460324947"/>
          <c:y val="0.86224620687365505"/>
          <c:w val="0.55440144020645743"/>
          <c:h val="0.137753793126344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изменение цены относительно</a:t>
            </a:r>
            <a:r>
              <a:rPr lang="ru-RU" baseline="0"/>
              <a:t> апреля</a:t>
            </a:r>
            <a:r>
              <a:rPr lang="ru-RU"/>
              <a:t> 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0.12870166618322026"/>
          <c:y val="0.19486128356326676"/>
          <c:w val="0.83523818897637792"/>
          <c:h val="0.45729476523767865"/>
        </c:manualLayout>
      </c:layout>
      <c:barChart>
        <c:barDir val="col"/>
        <c:grouping val="clustered"/>
        <c:varyColors val="0"/>
        <c:ser>
          <c:idx val="0"/>
          <c:order val="0"/>
          <c:tx>
            <c:v>апр 22</c:v>
          </c:tx>
          <c:spPr>
            <a:solidFill>
              <a:schemeClr val="accent1"/>
            </a:solidFill>
            <a:ln>
              <a:noFill/>
            </a:ln>
            <a:effectLst/>
          </c:spPr>
          <c:invertIfNegative val="0"/>
          <c:cat>
            <c:strRef>
              <c:f>отчет!$A$61:$A$71</c:f>
              <c:strCache>
                <c:ptCount val="11"/>
                <c:pt idx="0">
                  <c:v>Восточный АО</c:v>
                </c:pt>
                <c:pt idx="1">
                  <c:v>Западный АО</c:v>
                </c:pt>
                <c:pt idx="2">
                  <c:v>Новомосковский</c:v>
                </c:pt>
                <c:pt idx="3">
                  <c:v>Северный АО</c:v>
                </c:pt>
                <c:pt idx="4">
                  <c:v>Северо-Восточный АО</c:v>
                </c:pt>
                <c:pt idx="5">
                  <c:v>Северо-Западный АО</c:v>
                </c:pt>
                <c:pt idx="6">
                  <c:v>Троицкий</c:v>
                </c:pt>
                <c:pt idx="7">
                  <c:v>Центральный АО</c:v>
                </c:pt>
                <c:pt idx="8">
                  <c:v>Юго-Восточный АО</c:v>
                </c:pt>
                <c:pt idx="9">
                  <c:v>Юго-Западный АО</c:v>
                </c:pt>
                <c:pt idx="10">
                  <c:v>Южный АО</c:v>
                </c:pt>
              </c:strCache>
            </c:strRef>
          </c:cat>
          <c:val>
            <c:numRef>
              <c:f>отчет!$BK$61:$BK$71</c:f>
              <c:numCache>
                <c:formatCode>_-* #\ ##0_-;\-* #\ ##0_-;_-* "-"??_-;_-@_-</c:formatCode>
                <c:ptCount val="11"/>
                <c:pt idx="0">
                  <c:v>280226.01933808258</c:v>
                </c:pt>
                <c:pt idx="1">
                  <c:v>367420.52702621918</c:v>
                </c:pt>
                <c:pt idx="2">
                  <c:v>224159.74462695079</c:v>
                </c:pt>
                <c:pt idx="3">
                  <c:v>327258.34607007517</c:v>
                </c:pt>
                <c:pt idx="4">
                  <c:v>297827.46372484748</c:v>
                </c:pt>
                <c:pt idx="5">
                  <c:v>317865.33061718981</c:v>
                </c:pt>
                <c:pt idx="6">
                  <c:v>179428.2809239756</c:v>
                </c:pt>
                <c:pt idx="7">
                  <c:v>611145.75765048899</c:v>
                </c:pt>
                <c:pt idx="8">
                  <c:v>273327.71999100369</c:v>
                </c:pt>
                <c:pt idx="9">
                  <c:v>324283.56090027408</c:v>
                </c:pt>
                <c:pt idx="10">
                  <c:v>293908.62513073621</c:v>
                </c:pt>
              </c:numCache>
            </c:numRef>
          </c:val>
          <c:extLst>
            <c:ext xmlns:c16="http://schemas.microsoft.com/office/drawing/2014/chart" uri="{C3380CC4-5D6E-409C-BE32-E72D297353CC}">
              <c16:uniqueId val="{00000000-F568-428D-A8C4-31FDEAE30646}"/>
            </c:ext>
          </c:extLst>
        </c:ser>
        <c:ser>
          <c:idx val="1"/>
          <c:order val="1"/>
          <c:tx>
            <c:v>апр 23</c:v>
          </c:tx>
          <c:spPr>
            <a:solidFill>
              <a:schemeClr val="accent2"/>
            </a:solidFill>
            <a:ln>
              <a:noFill/>
            </a:ln>
            <a:effectLst/>
          </c:spPr>
          <c:invertIfNegative val="0"/>
          <c:cat>
            <c:strRef>
              <c:f>отчет!$A$61:$A$71</c:f>
              <c:strCache>
                <c:ptCount val="11"/>
                <c:pt idx="0">
                  <c:v>Восточный АО</c:v>
                </c:pt>
                <c:pt idx="1">
                  <c:v>Западный АО</c:v>
                </c:pt>
                <c:pt idx="2">
                  <c:v>Новомосковский</c:v>
                </c:pt>
                <c:pt idx="3">
                  <c:v>Северный АО</c:v>
                </c:pt>
                <c:pt idx="4">
                  <c:v>Северо-Восточный АО</c:v>
                </c:pt>
                <c:pt idx="5">
                  <c:v>Северо-Западный АО</c:v>
                </c:pt>
                <c:pt idx="6">
                  <c:v>Троицкий</c:v>
                </c:pt>
                <c:pt idx="7">
                  <c:v>Центральный АО</c:v>
                </c:pt>
                <c:pt idx="8">
                  <c:v>Юго-Восточный АО</c:v>
                </c:pt>
                <c:pt idx="9">
                  <c:v>Юго-Западный АО</c:v>
                </c:pt>
                <c:pt idx="10">
                  <c:v>Южный АО</c:v>
                </c:pt>
              </c:strCache>
            </c:strRef>
          </c:cat>
          <c:val>
            <c:numRef>
              <c:f>отчет!$CI$61:$CI$71</c:f>
              <c:numCache>
                <c:formatCode>_-* #\ ##0_-;\-* #\ ##0_-;_-* "-"??_-;_-@_-</c:formatCode>
                <c:ptCount val="11"/>
                <c:pt idx="0">
                  <c:v>260149.9673409111</c:v>
                </c:pt>
                <c:pt idx="1">
                  <c:v>326518.58120994607</c:v>
                </c:pt>
                <c:pt idx="2">
                  <c:v>216056.46931929531</c:v>
                </c:pt>
                <c:pt idx="3">
                  <c:v>299938.94214565807</c:v>
                </c:pt>
                <c:pt idx="4">
                  <c:v>277858.91699838708</c:v>
                </c:pt>
                <c:pt idx="5">
                  <c:v>294542.43336894322</c:v>
                </c:pt>
                <c:pt idx="6">
                  <c:v>169292.30333286771</c:v>
                </c:pt>
                <c:pt idx="7">
                  <c:v>543077.44689871592</c:v>
                </c:pt>
                <c:pt idx="8">
                  <c:v>253205.29192346189</c:v>
                </c:pt>
                <c:pt idx="9">
                  <c:v>295572.76397545612</c:v>
                </c:pt>
                <c:pt idx="10">
                  <c:v>271537.54008447792</c:v>
                </c:pt>
              </c:numCache>
            </c:numRef>
          </c:val>
          <c:extLst>
            <c:ext xmlns:c16="http://schemas.microsoft.com/office/drawing/2014/chart" uri="{C3380CC4-5D6E-409C-BE32-E72D297353CC}">
              <c16:uniqueId val="{00000002-F568-428D-A8C4-31FDEAE30646}"/>
            </c:ext>
          </c:extLst>
        </c:ser>
        <c:dLbls>
          <c:showLegendKey val="0"/>
          <c:showVal val="0"/>
          <c:showCatName val="0"/>
          <c:showSerName val="0"/>
          <c:showPercent val="0"/>
          <c:showBubbleSize val="0"/>
        </c:dLbls>
        <c:gapWidth val="219"/>
        <c:overlap val="-27"/>
        <c:axId val="176584528"/>
        <c:axId val="176572048"/>
      </c:barChart>
      <c:catAx>
        <c:axId val="1765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6572048"/>
        <c:crosses val="autoZero"/>
        <c:auto val="1"/>
        <c:lblAlgn val="ctr"/>
        <c:lblOffset val="100"/>
        <c:noMultiLvlLbl val="0"/>
      </c:catAx>
      <c:valAx>
        <c:axId val="176572048"/>
        <c:scaling>
          <c:orientation val="minMax"/>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658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lvl="6" rtl="0"/>
            <a:r>
              <a:rPr lang="ru-RU" sz="1050" b="0" i="1" baseline="0">
                <a:effectLst/>
              </a:rPr>
              <a:t>объем предложения </a:t>
            </a:r>
            <a:endParaRPr lang="ru-RU" sz="900" i="1">
              <a:effectLst/>
            </a:endParaRPr>
          </a:p>
          <a:p>
            <a:pPr lvl="0" rtl="0"/>
            <a:r>
              <a:rPr lang="ru-RU" sz="1050" b="0" i="1" baseline="0">
                <a:effectLst/>
              </a:rPr>
              <a:t>по административным округам Москвы, апрель 2023</a:t>
            </a:r>
            <a:endParaRPr lang="ru-RU" sz="900" i="1">
              <a:effectLst/>
            </a:endParaRPr>
          </a:p>
        </cx:rich>
      </cx:tx>
    </cx:title>
    <cx:plotArea>
      <cx:plotAreaRegion>
        <cx:series layoutId="funnel" uniqueId="{23E2B978-8C65-4627-ABD6-DCD3EEABC82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rtl="0"/>
            <a:r>
              <a:rPr lang="ru-RU" sz="1000" b="0" i="1" baseline="0">
                <a:effectLst/>
              </a:rPr>
              <a:t>средняя взвешенная цена квадратного метра</a:t>
            </a:r>
            <a:endParaRPr lang="ru-RU" sz="800">
              <a:effectLst/>
            </a:endParaRPr>
          </a:p>
          <a:p>
            <a:pPr rtl="0"/>
            <a:r>
              <a:rPr lang="ru-RU" sz="1000" b="0" i="1" baseline="0">
                <a:effectLst/>
              </a:rPr>
              <a:t> по административным округам Москвы апрель 2023</a:t>
            </a:r>
            <a:endParaRPr lang="ru-RU" sz="800">
              <a:effectLst/>
            </a:endParaRPr>
          </a:p>
        </cx:rich>
      </cx:tx>
    </cx:title>
    <cx:plotArea>
      <cx:plotAreaRegion>
        <cx:series layoutId="funnel" uniqueId="{B93E7025-F7E8-4620-9082-DDDF0B43F021}">
          <cx:dataLabels>
            <cx:numFmt formatCode="# ##0" sourceLinked="0"/>
            <cx:visibility seriesName="0" categoryName="0" value="1"/>
            <cx:separator>, </cx:separator>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absolute">
    <xdr:from>
      <xdr:col>0</xdr:col>
      <xdr:colOff>167820</xdr:colOff>
      <xdr:row>1</xdr:row>
      <xdr:rowOff>0</xdr:rowOff>
    </xdr:from>
    <xdr:to>
      <xdr:col>0</xdr:col>
      <xdr:colOff>1328961</xdr:colOff>
      <xdr:row>15</xdr:row>
      <xdr:rowOff>9071</xdr:rowOff>
    </xdr:to>
    <mc:AlternateContent xmlns:mc="http://schemas.openxmlformats.org/markup-compatibility/2006" xmlns:a14="http://schemas.microsoft.com/office/drawing/2010/main">
      <mc:Choice Requires="a14">
        <xdr:graphicFrame macro="">
          <xdr:nvGraphicFramePr>
            <xdr:cNvPr id="5" name="Годы 1">
              <a:extLst>
                <a:ext uri="{FF2B5EF4-FFF2-40B4-BE49-F238E27FC236}">
                  <a16:creationId xmlns:a16="http://schemas.microsoft.com/office/drawing/2014/main" id="{E71BCE18-1549-4BEF-AEC0-6F49FE503B7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Годы 1"/>
            </a:graphicData>
          </a:graphic>
        </xdr:graphicFrame>
      </mc:Choice>
      <mc:Fallback xmlns="">
        <xdr:sp macro="" textlink="">
          <xdr:nvSpPr>
            <xdr:cNvPr id="0" name=""/>
            <xdr:cNvSpPr>
              <a:spLocks noTextEdit="1"/>
            </xdr:cNvSpPr>
          </xdr:nvSpPr>
          <xdr:spPr>
            <a:xfrm>
              <a:off x="167820" y="181429"/>
              <a:ext cx="1161141" cy="2549071"/>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10</xdr:col>
      <xdr:colOff>158299</xdr:colOff>
      <xdr:row>0</xdr:row>
      <xdr:rowOff>163287</xdr:rowOff>
    </xdr:from>
    <xdr:to>
      <xdr:col>27</xdr:col>
      <xdr:colOff>0</xdr:colOff>
      <xdr:row>20</xdr:row>
      <xdr:rowOff>142068</xdr:rowOff>
    </xdr:to>
    <xdr:sp macro="" textlink="">
      <xdr:nvSpPr>
        <xdr:cNvPr id="8" name="Прямоугольник 7">
          <a:extLst>
            <a:ext uri="{FF2B5EF4-FFF2-40B4-BE49-F238E27FC236}">
              <a16:creationId xmlns:a16="http://schemas.microsoft.com/office/drawing/2014/main" id="{7AD5D509-DCB4-4429-A8CA-5B7482C1A4A0}"/>
            </a:ext>
          </a:extLst>
        </xdr:cNvPr>
        <xdr:cNvSpPr/>
      </xdr:nvSpPr>
      <xdr:spPr>
        <a:xfrm>
          <a:off x="9366875" y="163287"/>
          <a:ext cx="10160989" cy="3595052"/>
        </a:xfrm>
        <a:prstGeom prst="rect">
          <a:avLst/>
        </a:prstGeom>
        <a:solidFill>
          <a:srgbClr val="ECF3FA"/>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r>
            <a:rPr lang="en-US" sz="1300" i="1">
              <a:solidFill>
                <a:schemeClr val="dk1"/>
              </a:solidFill>
              <a:effectLst/>
              <a:latin typeface="+mn-lt"/>
              <a:ea typeface="+mn-ea"/>
              <a:cs typeface="+mn-cs"/>
            </a:rPr>
            <a:t> </a:t>
          </a:r>
          <a:r>
            <a:rPr lang="ru-RU" sz="1300" b="1" i="1">
              <a:solidFill>
                <a:schemeClr val="dk1"/>
              </a:solidFill>
              <a:effectLst/>
              <a:latin typeface="+mn-lt"/>
              <a:ea typeface="+mn-ea"/>
              <a:cs typeface="+mn-cs"/>
            </a:rPr>
            <a:t>Объем</a:t>
          </a:r>
          <a:r>
            <a:rPr lang="ru-RU" sz="1300" b="1" i="1" baseline="0">
              <a:solidFill>
                <a:schemeClr val="dk1"/>
              </a:solidFill>
              <a:effectLst/>
              <a:latin typeface="+mn-lt"/>
              <a:ea typeface="+mn-ea"/>
              <a:cs typeface="+mn-cs"/>
            </a:rPr>
            <a:t> предложения</a:t>
          </a:r>
          <a:r>
            <a:rPr lang="ru-RU" sz="1300" i="1" baseline="0">
              <a:solidFill>
                <a:schemeClr val="dk1"/>
              </a:solidFill>
              <a:effectLst/>
              <a:latin typeface="+mn-lt"/>
              <a:ea typeface="+mn-ea"/>
              <a:cs typeface="+mn-cs"/>
            </a:rPr>
            <a:t>. </a:t>
          </a:r>
          <a:r>
            <a:rPr lang="en-US" sz="1300" i="1" baseline="0">
              <a:solidFill>
                <a:schemeClr val="dk1"/>
              </a:solidFill>
              <a:effectLst/>
              <a:latin typeface="+mn-lt"/>
              <a:ea typeface="+mn-ea"/>
              <a:cs typeface="+mn-cs"/>
            </a:rPr>
            <a:t> </a:t>
          </a:r>
          <a:r>
            <a:rPr lang="ru-RU" sz="1300" i="1" baseline="0">
              <a:solidFill>
                <a:schemeClr val="dk1"/>
              </a:solidFill>
              <a:effectLst/>
              <a:latin typeface="+mn-lt"/>
              <a:ea typeface="+mn-ea"/>
              <a:cs typeface="+mn-cs"/>
            </a:rPr>
            <a:t>Август не дал ощутимого прироста объема предложения, данные топчутся на месте</a:t>
          </a:r>
          <a:r>
            <a:rPr lang="en-US" sz="1300" i="1" baseline="0">
              <a:solidFill>
                <a:schemeClr val="dk1"/>
              </a:solidFill>
              <a:effectLst/>
              <a:latin typeface="+mn-lt"/>
              <a:ea typeface="+mn-ea"/>
              <a:cs typeface="+mn-cs"/>
            </a:rPr>
            <a:t>: 35 274 </a:t>
          </a:r>
          <a:r>
            <a:rPr lang="ru-RU" sz="1300" i="1" baseline="0">
              <a:solidFill>
                <a:schemeClr val="dk1"/>
              </a:solidFill>
              <a:effectLst/>
              <a:latin typeface="+mn-lt"/>
              <a:ea typeface="+mn-ea"/>
              <a:cs typeface="+mn-cs"/>
            </a:rPr>
            <a:t>против 35 700.</a:t>
          </a:r>
          <a:endParaRPr lang="en-US" sz="1300" i="1" baseline="0">
            <a:solidFill>
              <a:schemeClr val="dk1"/>
            </a:solidFill>
            <a:effectLst/>
            <a:latin typeface="+mn-lt"/>
            <a:ea typeface="+mn-ea"/>
            <a:cs typeface="+mn-cs"/>
          </a:endParaRPr>
        </a:p>
        <a:p>
          <a:r>
            <a:rPr lang="ru-RU" sz="1300" i="1" baseline="0">
              <a:solidFill>
                <a:schemeClr val="dk1"/>
              </a:solidFill>
              <a:effectLst/>
              <a:latin typeface="+mn-lt"/>
              <a:ea typeface="+mn-ea"/>
              <a:cs typeface="+mn-cs"/>
            </a:rPr>
            <a:t>Яркой ценовой динамики не происходит. Рынок вторичной городской недвижимости всё так же ждет снижения ключевой ставки до комфртной отметки.  </a:t>
          </a:r>
        </a:p>
        <a:p>
          <a:endParaRPr lang="ru-RU" sz="1300" i="1" baseline="0">
            <a:solidFill>
              <a:schemeClr val="dk1"/>
            </a:solidFill>
            <a:effectLst/>
            <a:latin typeface="+mn-lt"/>
            <a:ea typeface="+mn-ea"/>
            <a:cs typeface="+mn-cs"/>
          </a:endParaRPr>
        </a:p>
        <a:p>
          <a:endParaRPr lang="ru-RU" sz="1300" i="1" baseline="0">
            <a:solidFill>
              <a:schemeClr val="dk1"/>
            </a:solidFill>
            <a:effectLst/>
            <a:latin typeface="+mn-lt"/>
            <a:ea typeface="+mn-ea"/>
            <a:cs typeface="+mn-cs"/>
          </a:endParaRPr>
        </a:p>
      </xdr:txBody>
    </xdr:sp>
    <xdr:clientData/>
  </xdr:twoCellAnchor>
  <xdr:twoCellAnchor>
    <xdr:from>
      <xdr:col>3</xdr:col>
      <xdr:colOff>230644</xdr:colOff>
      <xdr:row>1</xdr:row>
      <xdr:rowOff>-1</xdr:rowOff>
    </xdr:from>
    <xdr:to>
      <xdr:col>10</xdr:col>
      <xdr:colOff>38746</xdr:colOff>
      <xdr:row>20</xdr:row>
      <xdr:rowOff>103322</xdr:rowOff>
    </xdr:to>
    <xdr:graphicFrame macro="">
      <xdr:nvGraphicFramePr>
        <xdr:cNvPr id="10" name="Диаграмма 9">
          <a:extLst>
            <a:ext uri="{FF2B5EF4-FFF2-40B4-BE49-F238E27FC236}">
              <a16:creationId xmlns:a16="http://schemas.microsoft.com/office/drawing/2014/main" id="{406B5161-2EBB-4F31-BA62-DB981165F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21749</xdr:colOff>
      <xdr:row>21</xdr:row>
      <xdr:rowOff>93479</xdr:rowOff>
    </xdr:from>
    <xdr:to>
      <xdr:col>10</xdr:col>
      <xdr:colOff>77492</xdr:colOff>
      <xdr:row>40</xdr:row>
      <xdr:rowOff>64575</xdr:rowOff>
    </xdr:to>
    <xdr:graphicFrame macro="">
      <xdr:nvGraphicFramePr>
        <xdr:cNvPr id="12" name="Диаграмма 11">
          <a:extLst>
            <a:ext uri="{FF2B5EF4-FFF2-40B4-BE49-F238E27FC236}">
              <a16:creationId xmlns:a16="http://schemas.microsoft.com/office/drawing/2014/main" id="{8141F5EF-927F-4C0B-AAF8-0D2BB2C20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154215</xdr:colOff>
      <xdr:row>15</xdr:row>
      <xdr:rowOff>136072</xdr:rowOff>
    </xdr:from>
    <xdr:to>
      <xdr:col>0</xdr:col>
      <xdr:colOff>1297215</xdr:colOff>
      <xdr:row>36</xdr:row>
      <xdr:rowOff>1</xdr:rowOff>
    </xdr:to>
    <mc:AlternateContent xmlns:mc="http://schemas.openxmlformats.org/markup-compatibility/2006" xmlns:a14="http://schemas.microsoft.com/office/drawing/2010/main">
      <mc:Choice Requires="a14">
        <xdr:graphicFrame macro="">
          <xdr:nvGraphicFramePr>
            <xdr:cNvPr id="11" name="Месяц">
              <a:extLst>
                <a:ext uri="{FF2B5EF4-FFF2-40B4-BE49-F238E27FC236}">
                  <a16:creationId xmlns:a16="http://schemas.microsoft.com/office/drawing/2014/main" id="{DA88B64C-E6A0-449B-8076-45C44257DCD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Месяц"/>
            </a:graphicData>
          </a:graphic>
        </xdr:graphicFrame>
      </mc:Choice>
      <mc:Fallback xmlns="">
        <xdr:sp macro="" textlink="">
          <xdr:nvSpPr>
            <xdr:cNvPr id="0" name=""/>
            <xdr:cNvSpPr>
              <a:spLocks noTextEdit="1"/>
            </xdr:cNvSpPr>
          </xdr:nvSpPr>
          <xdr:spPr>
            <a:xfrm>
              <a:off x="154215" y="2857501"/>
              <a:ext cx="1143000" cy="3673929"/>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absolute">
    <xdr:from>
      <xdr:col>1</xdr:col>
      <xdr:colOff>25065</xdr:colOff>
      <xdr:row>1</xdr:row>
      <xdr:rowOff>2150</xdr:rowOff>
    </xdr:from>
    <xdr:to>
      <xdr:col>3</xdr:col>
      <xdr:colOff>167899</xdr:colOff>
      <xdr:row>20</xdr:row>
      <xdr:rowOff>51660</xdr:rowOff>
    </xdr:to>
    <xdr:graphicFrame macro="">
      <xdr:nvGraphicFramePr>
        <xdr:cNvPr id="14" name="Диаграмма 13">
          <a:extLst>
            <a:ext uri="{FF2B5EF4-FFF2-40B4-BE49-F238E27FC236}">
              <a16:creationId xmlns:a16="http://schemas.microsoft.com/office/drawing/2014/main" id="{AE9D37F3-CD5A-497C-AE3A-F8724587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174623</xdr:colOff>
      <xdr:row>21</xdr:row>
      <xdr:rowOff>90406</xdr:rowOff>
    </xdr:from>
    <xdr:to>
      <xdr:col>28</xdr:col>
      <xdr:colOff>116238</xdr:colOff>
      <xdr:row>40</xdr:row>
      <xdr:rowOff>51661</xdr:rowOff>
    </xdr:to>
    <xdr:graphicFrame macro="">
      <xdr:nvGraphicFramePr>
        <xdr:cNvPr id="15" name="Диаграмма 14">
          <a:extLst>
            <a:ext uri="{FF2B5EF4-FFF2-40B4-BE49-F238E27FC236}">
              <a16:creationId xmlns:a16="http://schemas.microsoft.com/office/drawing/2014/main" id="{2BC31BC1-C4BC-47F3-B853-E2CF32A44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891152</xdr:colOff>
      <xdr:row>40</xdr:row>
      <xdr:rowOff>167899</xdr:rowOff>
    </xdr:from>
    <xdr:to>
      <xdr:col>10</xdr:col>
      <xdr:colOff>374543</xdr:colOff>
      <xdr:row>59</xdr:row>
      <xdr:rowOff>154982</xdr:rowOff>
    </xdr:to>
    <xdr:graphicFrame macro="">
      <xdr:nvGraphicFramePr>
        <xdr:cNvPr id="13" name="динамика_объема">
          <a:extLst>
            <a:ext uri="{FF2B5EF4-FFF2-40B4-BE49-F238E27FC236}">
              <a16:creationId xmlns:a16="http://schemas.microsoft.com/office/drawing/2014/main" id="{96383CF5-04CC-4ED9-97DC-7AB4FFB68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180812</xdr:colOff>
      <xdr:row>40</xdr:row>
      <xdr:rowOff>154983</xdr:rowOff>
    </xdr:from>
    <xdr:to>
      <xdr:col>30</xdr:col>
      <xdr:colOff>77491</xdr:colOff>
      <xdr:row>59</xdr:row>
      <xdr:rowOff>127742</xdr:rowOff>
    </xdr:to>
    <xdr:graphicFrame macro="">
      <xdr:nvGraphicFramePr>
        <xdr:cNvPr id="16" name="объем_по_годам">
          <a:extLst>
            <a:ext uri="{FF2B5EF4-FFF2-40B4-BE49-F238E27FC236}">
              <a16:creationId xmlns:a16="http://schemas.microsoft.com/office/drawing/2014/main" id="{38F87ECB-2CF0-4E7A-BE35-9B9DA9CFB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365125</xdr:colOff>
      <xdr:row>5</xdr:row>
      <xdr:rowOff>0</xdr:rowOff>
    </xdr:from>
    <xdr:to>
      <xdr:col>13</xdr:col>
      <xdr:colOff>311150</xdr:colOff>
      <xdr:row>18</xdr:row>
      <xdr:rowOff>95250</xdr:rowOff>
    </xdr:to>
    <xdr:graphicFrame macro="">
      <xdr:nvGraphicFramePr>
        <xdr:cNvPr id="3" name="Диаграмма 2">
          <a:extLst>
            <a:ext uri="{FF2B5EF4-FFF2-40B4-BE49-F238E27FC236}">
              <a16:creationId xmlns:a16="http://schemas.microsoft.com/office/drawing/2014/main" id="{9FDB522F-D218-4B23-B104-96EF3F1F5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203835</xdr:colOff>
      <xdr:row>4</xdr:row>
      <xdr:rowOff>44450</xdr:rowOff>
    </xdr:from>
    <xdr:to>
      <xdr:col>8</xdr:col>
      <xdr:colOff>10160</xdr:colOff>
      <xdr:row>17</xdr:row>
      <xdr:rowOff>120650</xdr:rowOff>
    </xdr:to>
    <xdr:graphicFrame macro="">
      <xdr:nvGraphicFramePr>
        <xdr:cNvPr id="5" name="Диаграмма 4">
          <a:extLst>
            <a:ext uri="{FF2B5EF4-FFF2-40B4-BE49-F238E27FC236}">
              <a16:creationId xmlns:a16="http://schemas.microsoft.com/office/drawing/2014/main" id="{48625C3D-B4D8-466C-9EDA-A22DC95EB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44450</xdr:colOff>
      <xdr:row>2</xdr:row>
      <xdr:rowOff>0</xdr:rowOff>
    </xdr:from>
    <xdr:to>
      <xdr:col>13</xdr:col>
      <xdr:colOff>314325</xdr:colOff>
      <xdr:row>15</xdr:row>
      <xdr:rowOff>165100</xdr:rowOff>
    </xdr:to>
    <xdr:graphicFrame macro="">
      <xdr:nvGraphicFramePr>
        <xdr:cNvPr id="3" name="Диаграмма 2">
          <a:extLst>
            <a:ext uri="{FF2B5EF4-FFF2-40B4-BE49-F238E27FC236}">
              <a16:creationId xmlns:a16="http://schemas.microsoft.com/office/drawing/2014/main" id="{C7E6CD90-EAC2-4085-BA57-3742EE2CB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123825</xdr:colOff>
      <xdr:row>2</xdr:row>
      <xdr:rowOff>172604</xdr:rowOff>
    </xdr:from>
    <xdr:to>
      <xdr:col>45</xdr:col>
      <xdr:colOff>27709</xdr:colOff>
      <xdr:row>18</xdr:row>
      <xdr:rowOff>6927</xdr:rowOff>
    </xdr:to>
    <xdr:graphicFrame macro="">
      <xdr:nvGraphicFramePr>
        <xdr:cNvPr id="2" name="Диаграмма 1">
          <a:extLst>
            <a:ext uri="{FF2B5EF4-FFF2-40B4-BE49-F238E27FC236}">
              <a16:creationId xmlns:a16="http://schemas.microsoft.com/office/drawing/2014/main" id="{6CD10635-A18B-4A99-94E3-9887B4294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471055</xdr:colOff>
      <xdr:row>22</xdr:row>
      <xdr:rowOff>55417</xdr:rowOff>
    </xdr:from>
    <xdr:to>
      <xdr:col>24</xdr:col>
      <xdr:colOff>512618</xdr:colOff>
      <xdr:row>36</xdr:row>
      <xdr:rowOff>138546</xdr:rowOff>
    </xdr:to>
    <xdr:graphicFrame macro="">
      <xdr:nvGraphicFramePr>
        <xdr:cNvPr id="2" name="динамика_объема">
          <a:extLst>
            <a:ext uri="{FF2B5EF4-FFF2-40B4-BE49-F238E27FC236}">
              <a16:creationId xmlns:a16="http://schemas.microsoft.com/office/drawing/2014/main" id="{C3684621-46C4-414C-8D1F-46180DD73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124690</xdr:colOff>
      <xdr:row>0</xdr:row>
      <xdr:rowOff>152399</xdr:rowOff>
    </xdr:from>
    <xdr:to>
      <xdr:col>27</xdr:col>
      <xdr:colOff>110836</xdr:colOff>
      <xdr:row>19</xdr:row>
      <xdr:rowOff>138543</xdr:rowOff>
    </xdr:to>
    <xdr:graphicFrame macro="">
      <xdr:nvGraphicFramePr>
        <xdr:cNvPr id="3" name="объем_по_годам">
          <a:extLst>
            <a:ext uri="{FF2B5EF4-FFF2-40B4-BE49-F238E27FC236}">
              <a16:creationId xmlns:a16="http://schemas.microsoft.com/office/drawing/2014/main" id="{2B3A36E8-E511-4F00-994D-8432F0F11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118033</xdr:colOff>
      <xdr:row>0</xdr:row>
      <xdr:rowOff>139025</xdr:rowOff>
    </xdr:from>
    <xdr:to>
      <xdr:col>16</xdr:col>
      <xdr:colOff>25919</xdr:colOff>
      <xdr:row>7</xdr:row>
      <xdr:rowOff>129591</xdr:rowOff>
    </xdr:to>
    <xdr:sp macro="" textlink="">
      <xdr:nvSpPr>
        <xdr:cNvPr id="4" name="Прямоугольник 3">
          <a:extLst>
            <a:ext uri="{FF2B5EF4-FFF2-40B4-BE49-F238E27FC236}">
              <a16:creationId xmlns:a16="http://schemas.microsoft.com/office/drawing/2014/main" id="{72D0C26B-7164-479F-AD01-1F3FD790704A}"/>
            </a:ext>
          </a:extLst>
        </xdr:cNvPr>
        <xdr:cNvSpPr/>
      </xdr:nvSpPr>
      <xdr:spPr>
        <a:xfrm>
          <a:off x="1796247" y="139025"/>
          <a:ext cx="10074366" cy="1260566"/>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r>
            <a:rPr lang="ru-RU" sz="1100">
              <a:solidFill>
                <a:schemeClr val="dk1"/>
              </a:solidFill>
              <a:effectLst/>
              <a:latin typeface="+mn-lt"/>
              <a:ea typeface="+mn-ea"/>
              <a:cs typeface="+mn-cs"/>
            </a:rPr>
            <a:t>Объем</a:t>
          </a:r>
          <a:r>
            <a:rPr lang="ru-RU" sz="1100" baseline="0">
              <a:solidFill>
                <a:schemeClr val="dk1"/>
              </a:solidFill>
              <a:effectLst/>
              <a:latin typeface="+mn-lt"/>
              <a:ea typeface="+mn-ea"/>
              <a:cs typeface="+mn-cs"/>
            </a:rPr>
            <a:t> предложения вторичной городской недвижимости в апреле 2023 года составляет 48,8 тысяч объектов, что на 5% меньше объема предложения марта.</a:t>
          </a:r>
        </a:p>
        <a:p>
          <a:r>
            <a:rPr lang="ru-RU" sz="1100" baseline="0">
              <a:solidFill>
                <a:schemeClr val="dk1"/>
              </a:solidFill>
              <a:effectLst/>
              <a:latin typeface="+mn-lt"/>
              <a:ea typeface="+mn-ea"/>
              <a:cs typeface="+mn-cs"/>
            </a:rPr>
            <a:t>Наибольшее снижение по округам Москвы произошло в Зеленоградском (8%) и в Троицком (7%). Наименьшее - в Южном округе (4%.)</a:t>
          </a:r>
        </a:p>
      </xdr:txBody>
    </xdr:sp>
    <xdr:clientData/>
  </xdr:twoCellAnchor>
  <xdr:twoCellAnchor>
    <xdr:from>
      <xdr:col>1</xdr:col>
      <xdr:colOff>161990</xdr:colOff>
      <xdr:row>51</xdr:row>
      <xdr:rowOff>97192</xdr:rowOff>
    </xdr:from>
    <xdr:to>
      <xdr:col>15</xdr:col>
      <xdr:colOff>226785</xdr:colOff>
      <xdr:row>55</xdr:row>
      <xdr:rowOff>109893</xdr:rowOff>
    </xdr:to>
    <xdr:sp macro="" textlink="">
      <xdr:nvSpPr>
        <xdr:cNvPr id="7" name="Прямоугольник 6">
          <a:extLst>
            <a:ext uri="{FF2B5EF4-FFF2-40B4-BE49-F238E27FC236}">
              <a16:creationId xmlns:a16="http://schemas.microsoft.com/office/drawing/2014/main" id="{0D0C4C8F-247C-42EA-BE58-77DF1923DA4D}"/>
            </a:ext>
          </a:extLst>
        </xdr:cNvPr>
        <xdr:cNvSpPr/>
      </xdr:nvSpPr>
      <xdr:spPr>
        <a:xfrm>
          <a:off x="1840204" y="9168621"/>
          <a:ext cx="9563877" cy="73841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ru-RU" sz="1100" b="0" i="0">
              <a:solidFill>
                <a:schemeClr val="dk1"/>
              </a:solidFill>
              <a:effectLst/>
              <a:latin typeface="+mn-lt"/>
              <a:ea typeface="+mn-ea"/>
              <a:cs typeface="+mn-cs"/>
            </a:rPr>
            <a:t>При покупке происходит активный торг, иногда величина скидки доходит до 10%. </a:t>
          </a:r>
          <a:r>
            <a:rPr lang="ru-RU" sz="1100" baseline="0">
              <a:solidFill>
                <a:schemeClr val="dk1"/>
              </a:solidFill>
              <a:effectLst/>
              <a:latin typeface="+mn-lt"/>
              <a:ea typeface="+mn-ea"/>
              <a:cs typeface="+mn-cs"/>
            </a:rPr>
            <a:t>Размер торга в среднем в апреле составил 7%. </a:t>
          </a:r>
        </a:p>
      </xdr:txBody>
    </xdr:sp>
    <xdr:clientData/>
  </xdr:twoCellAnchor>
  <xdr:twoCellAnchor>
    <xdr:from>
      <xdr:col>7</xdr:col>
      <xdr:colOff>779313</xdr:colOff>
      <xdr:row>8</xdr:row>
      <xdr:rowOff>127672</xdr:rowOff>
    </xdr:from>
    <xdr:to>
      <xdr:col>15</xdr:col>
      <xdr:colOff>344869</xdr:colOff>
      <xdr:row>23</xdr:row>
      <xdr:rowOff>127672</xdr:rowOff>
    </xdr:to>
    <mc:AlternateContent xmlns:mc="http://schemas.openxmlformats.org/markup-compatibility/2006">
      <mc:Choice xmlns:cx2="http://schemas.microsoft.com/office/drawing/2015/10/21/chartex" Requires="cx2">
        <xdr:graphicFrame macro="">
          <xdr:nvGraphicFramePr>
            <xdr:cNvPr id="10" name="Диаграмма 9">
              <a:extLst>
                <a:ext uri="{FF2B5EF4-FFF2-40B4-BE49-F238E27FC236}">
                  <a16:creationId xmlns:a16="http://schemas.microsoft.com/office/drawing/2014/main" id="{DB1375D8-4DED-4C04-9B0C-2E2ED0D22F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20933" y="1590712"/>
              <a:ext cx="4609996" cy="2743200"/>
            </a:xfrm>
            <a:prstGeom prst="rect">
              <a:avLst/>
            </a:prstGeom>
            <a:solidFill>
              <a:prstClr val="white"/>
            </a:solidFill>
            <a:ln w="1">
              <a:solidFill>
                <a:prstClr val="green"/>
              </a:solidFill>
            </a:ln>
          </xdr:spPr>
          <xdr:txBody>
            <a:bodyPr vertOverflow="clip" horzOverflow="clip"/>
            <a:lstStyle/>
            <a:p>
              <a:r>
                <a:rPr lang="ru-RU"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1</xdr:col>
      <xdr:colOff>92115</xdr:colOff>
      <xdr:row>8</xdr:row>
      <xdr:rowOff>94135</xdr:rowOff>
    </xdr:from>
    <xdr:to>
      <xdr:col>7</xdr:col>
      <xdr:colOff>323980</xdr:colOff>
      <xdr:row>23</xdr:row>
      <xdr:rowOff>94135</xdr:rowOff>
    </xdr:to>
    <mc:AlternateContent xmlns:mc="http://schemas.openxmlformats.org/markup-compatibility/2006">
      <mc:Choice xmlns:cx2="http://schemas.microsoft.com/office/drawing/2015/10/21/chartex" Requires="cx2">
        <xdr:graphicFrame macro="">
          <xdr:nvGraphicFramePr>
            <xdr:cNvPr id="11" name="Диаграмма 10">
              <a:extLst>
                <a:ext uri="{FF2B5EF4-FFF2-40B4-BE49-F238E27FC236}">
                  <a16:creationId xmlns:a16="http://schemas.microsoft.com/office/drawing/2014/main" id="{39AD5ECC-2F3A-4BC3-BBAE-8BC2E9A3D8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7475" y="1557175"/>
              <a:ext cx="4605745" cy="2743200"/>
            </a:xfrm>
            <a:prstGeom prst="rect">
              <a:avLst/>
            </a:prstGeom>
            <a:solidFill>
              <a:prstClr val="white"/>
            </a:solidFill>
            <a:ln w="1">
              <a:solidFill>
                <a:prstClr val="green"/>
              </a:solidFill>
            </a:ln>
          </xdr:spPr>
          <xdr:txBody>
            <a:bodyPr vertOverflow="clip" horzOverflow="clip"/>
            <a:lstStyle/>
            <a:p>
              <a:r>
                <a:rPr lang="ru-RU"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1</xdr:col>
      <xdr:colOff>58316</xdr:colOff>
      <xdr:row>24</xdr:row>
      <xdr:rowOff>51837</xdr:rowOff>
    </xdr:from>
    <xdr:to>
      <xdr:col>15</xdr:col>
      <xdr:colOff>336938</xdr:colOff>
      <xdr:row>30</xdr:row>
      <xdr:rowOff>161989</xdr:rowOff>
    </xdr:to>
    <xdr:sp macro="" textlink="">
      <xdr:nvSpPr>
        <xdr:cNvPr id="8" name="Прямоугольник 7">
          <a:extLst>
            <a:ext uri="{FF2B5EF4-FFF2-40B4-BE49-F238E27FC236}">
              <a16:creationId xmlns:a16="http://schemas.microsoft.com/office/drawing/2014/main" id="{CB54F50F-4D15-4ACC-ACF9-00F3B18BCBC0}"/>
            </a:ext>
          </a:extLst>
        </xdr:cNvPr>
        <xdr:cNvSpPr/>
      </xdr:nvSpPr>
      <xdr:spPr>
        <a:xfrm>
          <a:off x="1736530" y="4406123"/>
          <a:ext cx="9777704" cy="119872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r>
            <a:rPr lang="ru-RU" sz="1100" baseline="0">
              <a:solidFill>
                <a:schemeClr val="dk1"/>
              </a:solidFill>
              <a:effectLst/>
              <a:latin typeface="+mn-lt"/>
              <a:ea typeface="+mn-ea"/>
              <a:cs typeface="+mn-cs"/>
            </a:rPr>
            <a:t>Средняя цена квадратного метра в апреле по сравнению с мартом практически не изменилась. На 1% цена повысилась только в пяти округах: </a:t>
          </a:r>
          <a:r>
            <a:rPr lang="ru-RU" sz="1100" b="0" i="0" u="none" strike="noStrike">
              <a:solidFill>
                <a:schemeClr val="dk1"/>
              </a:solidFill>
              <a:effectLst/>
              <a:latin typeface="+mn-lt"/>
              <a:ea typeface="+mn-ea"/>
              <a:cs typeface="+mn-cs"/>
            </a:rPr>
            <a:t>Северо-Западном, Троицком, Центральном, Юго-Восточном, Юго-Западном.</a:t>
          </a:r>
          <a:r>
            <a:rPr lang="ru-RU" sz="1100" baseline="0">
              <a:solidFill>
                <a:schemeClr val="dk1"/>
              </a:solidFill>
              <a:effectLst/>
              <a:latin typeface="+mn-lt"/>
              <a:ea typeface="+mn-ea"/>
              <a:cs typeface="+mn-cs"/>
            </a:rPr>
            <a:t> В остальных округах Москвы изменение цены незначительно, близко к 0%.</a:t>
          </a:r>
          <a:endParaRPr lang="en-US" sz="1100" baseline="0">
            <a:solidFill>
              <a:schemeClr val="dk1"/>
            </a:solidFill>
            <a:effectLst/>
            <a:latin typeface="+mn-lt"/>
            <a:ea typeface="+mn-ea"/>
            <a:cs typeface="+mn-cs"/>
          </a:endParaRPr>
        </a:p>
      </xdr:txBody>
    </xdr:sp>
    <xdr:clientData/>
  </xdr:twoCellAnchor>
  <xdr:twoCellAnchor>
    <xdr:from>
      <xdr:col>7</xdr:col>
      <xdr:colOff>124408</xdr:colOff>
      <xdr:row>73</xdr:row>
      <xdr:rowOff>1</xdr:rowOff>
    </xdr:from>
    <xdr:to>
      <xdr:col>18</xdr:col>
      <xdr:colOff>492449</xdr:colOff>
      <xdr:row>94</xdr:row>
      <xdr:rowOff>165877</xdr:rowOff>
    </xdr:to>
    <xdr:graphicFrame macro="">
      <xdr:nvGraphicFramePr>
        <xdr:cNvPr id="9" name="Диаграмма 8">
          <a:extLst>
            <a:ext uri="{FF2B5EF4-FFF2-40B4-BE49-F238E27FC236}">
              <a16:creationId xmlns:a16="http://schemas.microsoft.com/office/drawing/2014/main" id="{1A6A50C8-84B5-47AD-BF50-BE37B7BC7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145142</xdr:colOff>
      <xdr:row>73</xdr:row>
      <xdr:rowOff>61684</xdr:rowOff>
    </xdr:from>
    <xdr:to>
      <xdr:col>7</xdr:col>
      <xdr:colOff>98489</xdr:colOff>
      <xdr:row>88</xdr:row>
      <xdr:rowOff>10883</xdr:rowOff>
    </xdr:to>
    <xdr:graphicFrame macro="">
      <xdr:nvGraphicFramePr>
        <xdr:cNvPr id="2" name="Диаграмма 1">
          <a:extLst>
            <a:ext uri="{FF2B5EF4-FFF2-40B4-BE49-F238E27FC236}">
              <a16:creationId xmlns:a16="http://schemas.microsoft.com/office/drawing/2014/main" id="{31864E33-4936-F2DE-A6A9-D9F0D250F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ina/Desktop/&#1054;&#1090;&#1095;&#1077;&#1090;&#1099;/&#1054;&#1090;&#1095;&#1077;&#1090;%20&#1087;&#1086;%20&#1088;&#1099;&#1085;&#1082;&#1091;%20&#1074;&#1090;&#1086;&#1088;&#1080;&#1095;&#1082;&#1080;%20&#1076;&#1086;%2010%20&#1095;&#1080;&#1089;&#1083;&#1072;/&#1074;&#1099;&#1075;&#1088;&#1091;&#1079;&#1082;&#1072;%20&#1076;&#1083;&#1103;%20&#1086;&#1090;&#1095;&#1077;&#1090;&#1072;%20&#1087;&#1086;%20&#1087;&#1088;&#1077;&#1076;&#1083;&#1086;&#1078;&#1077;&#1085;&#1080;&#1102;/&#1052;&#1086;&#1089;&#1082;&#1074;&#1072;_&#1087;&#1088;&#1086;&#1076;&#1072;&#1078;&#1072;_06_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ina/Desktop/&#1054;&#1090;&#1095;&#1077;&#1090;&#1099;/&#1054;&#1090;&#1095;&#1077;&#1090;%20&#1087;&#1086;%20&#1088;&#1099;&#1085;&#1082;&#1091;%20&#1074;&#1090;&#1086;&#1088;&#1080;&#1095;&#1082;&#1080;%20&#1076;&#1086;%2010%20&#1095;&#1080;&#1089;&#1083;&#1072;/&#1074;&#1099;&#1075;&#1088;&#1091;&#1079;&#1082;&#1072;%20&#1076;&#1083;&#1103;%20&#1086;&#1090;&#1095;&#1077;&#1090;&#1072;%20&#1087;&#1086;%20&#1087;&#1088;&#1077;&#1076;&#1083;&#1086;&#1078;&#1077;&#1085;&#1080;&#1102;/&#1052;&#1086;&#1089;&#1082;&#1074;&#1072;_&#1087;&#1088;&#1086;&#1076;&#1072;&#1078;&#1072;_07_20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rina/Desktop/&#1054;&#1090;&#1095;&#1077;&#1090;&#1099;/&#1054;&#1090;&#1095;&#1077;&#1090;%20&#1087;&#1086;%20&#1088;&#1099;&#1085;&#1082;&#1091;%20&#1074;&#1090;&#1086;&#1088;&#1080;&#1095;&#1082;&#1080;%20&#1076;&#1086;%2010%20&#1095;&#1080;&#1089;&#1083;&#1072;/&#1074;&#1099;&#1075;&#1088;&#1091;&#1079;&#1082;&#1072;%20&#1076;&#1083;&#1103;%20&#1086;&#1090;&#1095;&#1077;&#1090;&#1072;%20&#1087;&#1086;%20&#1087;&#1088;&#1077;&#1076;&#1083;&#1086;&#1078;&#1077;&#1085;&#1080;&#1102;/&#1052;&#1086;&#1089;&#1082;&#1074;&#1072;_&#1087;&#1088;&#1086;&#1076;&#1072;&#1078;&#1072;_08_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Dan\Desktop\sf%20python\&#1052;&#1086;&#1089;&#1082;&#1074;&#1072;_&#1087;&#1088;&#1086;&#1076;&#1072;&#1078;&#1072;_03_2025.xlsx" TargetMode="External"/><Relationship Id="rId1" Type="http://schemas.openxmlformats.org/officeDocument/2006/relationships/externalLinkPath" Target="&#1052;&#1086;&#1089;&#1082;&#1074;&#1072;_&#1087;&#1088;&#1086;&#1076;&#1072;&#1078;&#1072;_03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осква_продажа_АО"/>
      <sheetName val="Москва_продажа_районы"/>
    </sheetNames>
    <sheetDataSet>
      <sheetData sheetId="0"/>
      <sheetData sheetId="1">
        <row r="2">
          <cell r="C2" t="str">
            <v>Богородское</v>
          </cell>
          <cell r="D2">
            <v>376</v>
          </cell>
          <cell r="E2">
            <v>288576.21964653942</v>
          </cell>
          <cell r="F2">
            <v>108504658.58709881</v>
          </cell>
        </row>
        <row r="3">
          <cell r="C3" t="str">
            <v>Вешняки</v>
          </cell>
          <cell r="D3">
            <v>407</v>
          </cell>
          <cell r="E3">
            <v>233592.65835849731</v>
          </cell>
          <cell r="F3">
            <v>95072211.95190838</v>
          </cell>
        </row>
        <row r="4">
          <cell r="C4" t="str">
            <v>Восточное Измайлово</v>
          </cell>
          <cell r="D4">
            <v>243</v>
          </cell>
          <cell r="E4">
            <v>271309.21750392602</v>
          </cell>
          <cell r="F4">
            <v>65928139.853454024</v>
          </cell>
        </row>
        <row r="5">
          <cell r="C5" t="str">
            <v>Восточный</v>
          </cell>
          <cell r="D5">
            <v>39</v>
          </cell>
          <cell r="E5">
            <v>209434.10244116871</v>
          </cell>
          <cell r="F5">
            <v>8167929.9952055775</v>
          </cell>
        </row>
        <row r="6">
          <cell r="C6" t="str">
            <v>Гольяново</v>
          </cell>
          <cell r="D6">
            <v>514</v>
          </cell>
          <cell r="E6">
            <v>247906.01097135519</v>
          </cell>
          <cell r="F6">
            <v>127423689.6392765</v>
          </cell>
        </row>
        <row r="7">
          <cell r="C7" t="str">
            <v>Ивановское</v>
          </cell>
          <cell r="D7">
            <v>376</v>
          </cell>
          <cell r="E7">
            <v>234367.2750883986</v>
          </cell>
          <cell r="F7">
            <v>88122095.433237866</v>
          </cell>
        </row>
        <row r="8">
          <cell r="C8" t="str">
            <v>Измайлово</v>
          </cell>
          <cell r="D8">
            <v>403</v>
          </cell>
          <cell r="E8">
            <v>272027.96271979838</v>
          </cell>
          <cell r="F8">
            <v>109627268.97607879</v>
          </cell>
        </row>
        <row r="9">
          <cell r="C9" t="str">
            <v>Косино-Ухтомский</v>
          </cell>
          <cell r="D9">
            <v>232</v>
          </cell>
          <cell r="E9">
            <v>235636.31102494249</v>
          </cell>
          <cell r="F9">
            <v>54667624.157786667</v>
          </cell>
        </row>
        <row r="10">
          <cell r="C10" t="str">
            <v>Метрогородок</v>
          </cell>
          <cell r="D10">
            <v>110</v>
          </cell>
          <cell r="E10">
            <v>252804.1521111828</v>
          </cell>
          <cell r="F10">
            <v>27808456.732230108</v>
          </cell>
        </row>
        <row r="11">
          <cell r="C11" t="str">
            <v>Новогиреево</v>
          </cell>
          <cell r="D11">
            <v>280</v>
          </cell>
          <cell r="E11">
            <v>269296.72467537387</v>
          </cell>
          <cell r="F11">
            <v>75403082.909104705</v>
          </cell>
        </row>
        <row r="12">
          <cell r="C12" t="str">
            <v>Новокосино</v>
          </cell>
          <cell r="D12">
            <v>159</v>
          </cell>
          <cell r="E12">
            <v>239267.96542154369</v>
          </cell>
          <cell r="F12">
            <v>38043606.502025463</v>
          </cell>
        </row>
        <row r="13">
          <cell r="C13" t="str">
            <v>Перово</v>
          </cell>
          <cell r="D13">
            <v>348</v>
          </cell>
          <cell r="E13">
            <v>255863.2318361809</v>
          </cell>
          <cell r="F13">
            <v>89040404.678990945</v>
          </cell>
        </row>
        <row r="14">
          <cell r="C14" t="str">
            <v>Преображенское</v>
          </cell>
          <cell r="D14">
            <v>328</v>
          </cell>
          <cell r="E14">
            <v>300500.34753006621</v>
          </cell>
          <cell r="F14">
            <v>98564113.989861712</v>
          </cell>
        </row>
        <row r="15">
          <cell r="C15" t="str">
            <v>Северное Измайлово</v>
          </cell>
          <cell r="D15">
            <v>305</v>
          </cell>
          <cell r="E15">
            <v>262937.22031534539</v>
          </cell>
          <cell r="F15">
            <v>80195852.196180344</v>
          </cell>
        </row>
        <row r="16">
          <cell r="C16" t="str">
            <v>Соколиная Гора</v>
          </cell>
          <cell r="D16">
            <v>407</v>
          </cell>
          <cell r="E16">
            <v>289454.35586656741</v>
          </cell>
          <cell r="F16">
            <v>117807922.8376929</v>
          </cell>
        </row>
        <row r="17">
          <cell r="C17" t="str">
            <v>Сокольники</v>
          </cell>
          <cell r="D17">
            <v>276</v>
          </cell>
          <cell r="E17">
            <v>329083.21062836988</v>
          </cell>
          <cell r="F17">
            <v>90826966.133430108</v>
          </cell>
        </row>
        <row r="18">
          <cell r="C18" t="str">
            <v>Внуково</v>
          </cell>
          <cell r="D18">
            <v>53</v>
          </cell>
          <cell r="E18">
            <v>204107.61985931051</v>
          </cell>
          <cell r="F18">
            <v>10817703.852543451</v>
          </cell>
        </row>
        <row r="19">
          <cell r="C19" t="str">
            <v>Дорогомилово</v>
          </cell>
          <cell r="D19">
            <v>428</v>
          </cell>
          <cell r="E19">
            <v>455231.02804330608</v>
          </cell>
          <cell r="F19">
            <v>194838880.00253499</v>
          </cell>
        </row>
        <row r="20">
          <cell r="C20" t="str">
            <v>Крылатское</v>
          </cell>
          <cell r="D20">
            <v>224</v>
          </cell>
          <cell r="E20">
            <v>339988.84033484128</v>
          </cell>
          <cell r="F20">
            <v>76157500.235004455</v>
          </cell>
        </row>
        <row r="21">
          <cell r="C21" t="str">
            <v>Кунцево</v>
          </cell>
          <cell r="D21">
            <v>584</v>
          </cell>
          <cell r="E21">
            <v>307863.70909954159</v>
          </cell>
          <cell r="F21">
            <v>179792406.11413229</v>
          </cell>
        </row>
        <row r="22">
          <cell r="C22" t="str">
            <v>Можайский</v>
          </cell>
          <cell r="D22">
            <v>703</v>
          </cell>
          <cell r="E22">
            <v>274964.19876774371</v>
          </cell>
          <cell r="F22">
            <v>193299831.73372379</v>
          </cell>
        </row>
        <row r="23">
          <cell r="C23" t="str">
            <v>Ново-Переделкино</v>
          </cell>
          <cell r="D23">
            <v>255</v>
          </cell>
          <cell r="E23">
            <v>238630.8424634595</v>
          </cell>
          <cell r="F23">
            <v>60850864.828182183</v>
          </cell>
        </row>
        <row r="24">
          <cell r="C24" t="str">
            <v>Очаково-Матвеевское</v>
          </cell>
          <cell r="D24">
            <v>503</v>
          </cell>
          <cell r="E24">
            <v>299221.56159332121</v>
          </cell>
          <cell r="F24">
            <v>150508445.48144051</v>
          </cell>
        </row>
        <row r="25">
          <cell r="C25" t="str">
            <v>Проспект Вернадского</v>
          </cell>
          <cell r="D25">
            <v>324</v>
          </cell>
          <cell r="E25">
            <v>380450.0257170336</v>
          </cell>
          <cell r="F25">
            <v>123265808.3323189</v>
          </cell>
        </row>
        <row r="26">
          <cell r="C26" t="str">
            <v>Раменки</v>
          </cell>
          <cell r="D26">
            <v>690</v>
          </cell>
          <cell r="E26">
            <v>403153.46925264603</v>
          </cell>
          <cell r="F26">
            <v>278175893.78432572</v>
          </cell>
        </row>
        <row r="27">
          <cell r="C27" t="str">
            <v>Солнцево</v>
          </cell>
          <cell r="D27">
            <v>422</v>
          </cell>
          <cell r="E27">
            <v>255703.1029180623</v>
          </cell>
          <cell r="F27">
            <v>107906709.43142229</v>
          </cell>
        </row>
        <row r="28">
          <cell r="C28" t="str">
            <v>Тропарево-Никулино</v>
          </cell>
          <cell r="D28">
            <v>440</v>
          </cell>
          <cell r="E28">
            <v>327024.68058225769</v>
          </cell>
          <cell r="F28">
            <v>143890859.45619339</v>
          </cell>
        </row>
        <row r="29">
          <cell r="C29" t="str">
            <v>Филевский Парк</v>
          </cell>
          <cell r="D29">
            <v>320</v>
          </cell>
          <cell r="E29">
            <v>326900.25185500982</v>
          </cell>
          <cell r="F29">
            <v>104608080.5936031</v>
          </cell>
        </row>
        <row r="30">
          <cell r="C30" t="str">
            <v>Фили-Давыдково</v>
          </cell>
          <cell r="D30">
            <v>370</v>
          </cell>
          <cell r="E30">
            <v>328675.05937691079</v>
          </cell>
          <cell r="F30">
            <v>121609771.969457</v>
          </cell>
        </row>
        <row r="31">
          <cell r="C31" t="str">
            <v>14-й</v>
          </cell>
          <cell r="D31">
            <v>3</v>
          </cell>
          <cell r="E31">
            <v>208992.621205398</v>
          </cell>
          <cell r="F31">
            <v>626977.86361619399</v>
          </cell>
        </row>
        <row r="32">
          <cell r="C32" t="str">
            <v>15-й</v>
          </cell>
          <cell r="D32">
            <v>604</v>
          </cell>
          <cell r="E32">
            <v>208301.22470011449</v>
          </cell>
          <cell r="F32">
            <v>125813939.7188691</v>
          </cell>
        </row>
        <row r="33">
          <cell r="C33" t="str">
            <v>16-й</v>
          </cell>
          <cell r="D33">
            <v>3</v>
          </cell>
          <cell r="E33">
            <v>228689.88503265509</v>
          </cell>
          <cell r="F33">
            <v>686069.65509796515</v>
          </cell>
        </row>
        <row r="34">
          <cell r="C34" t="str">
            <v>19-й</v>
          </cell>
          <cell r="D34">
            <v>25</v>
          </cell>
          <cell r="E34">
            <v>234518.27147123689</v>
          </cell>
          <cell r="F34">
            <v>5862956.7867809217</v>
          </cell>
        </row>
        <row r="35">
          <cell r="C35" t="str">
            <v>Крюково</v>
          </cell>
          <cell r="D35">
            <v>3</v>
          </cell>
          <cell r="E35">
            <v>121821.9461697723</v>
          </cell>
          <cell r="F35">
            <v>365465.83850931679</v>
          </cell>
        </row>
        <row r="36">
          <cell r="C36" t="str">
            <v>Матушкино</v>
          </cell>
          <cell r="D36">
            <v>1</v>
          </cell>
          <cell r="E36">
            <v>256321.83908045979</v>
          </cell>
          <cell r="F36">
            <v>256321.83908045979</v>
          </cell>
        </row>
        <row r="37">
          <cell r="C37" t="str">
            <v>Внуковское</v>
          </cell>
          <cell r="D37">
            <v>151</v>
          </cell>
          <cell r="E37">
            <v>246333.3422745321</v>
          </cell>
          <cell r="F37">
            <v>37196334.68345435</v>
          </cell>
        </row>
        <row r="38">
          <cell r="C38" t="str">
            <v>Воскресенское</v>
          </cell>
          <cell r="D38">
            <v>61</v>
          </cell>
          <cell r="E38">
            <v>197108.27013727979</v>
          </cell>
          <cell r="F38">
            <v>12023604.47837407</v>
          </cell>
        </row>
        <row r="39">
          <cell r="C39" t="str">
            <v>Десеновское</v>
          </cell>
          <cell r="D39">
            <v>295</v>
          </cell>
          <cell r="E39">
            <v>209197.92171567219</v>
          </cell>
          <cell r="F39">
            <v>61713386.906123303</v>
          </cell>
        </row>
        <row r="40">
          <cell r="C40" t="str">
            <v>Кокошкино</v>
          </cell>
          <cell r="D40">
            <v>75</v>
          </cell>
          <cell r="E40">
            <v>189408.84941551241</v>
          </cell>
          <cell r="F40">
            <v>14205663.706163431</v>
          </cell>
        </row>
        <row r="41">
          <cell r="C41" t="str">
            <v>Марушкинское</v>
          </cell>
          <cell r="D41">
            <v>63</v>
          </cell>
          <cell r="E41">
            <v>190261.46720059149</v>
          </cell>
          <cell r="F41">
            <v>11986472.43363726</v>
          </cell>
        </row>
        <row r="42">
          <cell r="C42" t="str">
            <v>Московский</v>
          </cell>
          <cell r="D42">
            <v>209</v>
          </cell>
          <cell r="E42">
            <v>226664.97709604271</v>
          </cell>
          <cell r="F42">
            <v>47372980.213072933</v>
          </cell>
        </row>
        <row r="43">
          <cell r="C43" t="str">
            <v>Мосрентген</v>
          </cell>
          <cell r="D43">
            <v>52</v>
          </cell>
          <cell r="E43">
            <v>208817.05744917781</v>
          </cell>
          <cell r="F43">
            <v>10858486.987357249</v>
          </cell>
        </row>
        <row r="44">
          <cell r="C44" t="str">
            <v>Рязановское</v>
          </cell>
          <cell r="D44">
            <v>224</v>
          </cell>
          <cell r="E44">
            <v>193880.54110077961</v>
          </cell>
          <cell r="F44">
            <v>43429241.206574634</v>
          </cell>
        </row>
        <row r="45">
          <cell r="C45" t="str">
            <v>Сосенское</v>
          </cell>
          <cell r="D45">
            <v>318</v>
          </cell>
          <cell r="E45">
            <v>258436.0517087832</v>
          </cell>
          <cell r="F45">
            <v>82182664.443393052</v>
          </cell>
        </row>
        <row r="46">
          <cell r="C46" t="str">
            <v>Филимонковское</v>
          </cell>
          <cell r="D46">
            <v>161</v>
          </cell>
          <cell r="E46">
            <v>190326.80632094981</v>
          </cell>
          <cell r="F46">
            <v>30642615.817672919</v>
          </cell>
        </row>
        <row r="47">
          <cell r="C47" t="str">
            <v>Щербинка</v>
          </cell>
          <cell r="D47">
            <v>237</v>
          </cell>
          <cell r="E47">
            <v>190847.98793938381</v>
          </cell>
          <cell r="F47">
            <v>45230973.141633958</v>
          </cell>
        </row>
        <row r="48">
          <cell r="C48" t="str">
            <v>Аэропорт</v>
          </cell>
          <cell r="D48">
            <v>340</v>
          </cell>
          <cell r="E48">
            <v>341235.22555240447</v>
          </cell>
          <cell r="F48">
            <v>116019976.6878175</v>
          </cell>
        </row>
        <row r="49">
          <cell r="C49" t="str">
            <v>Беговой</v>
          </cell>
          <cell r="D49">
            <v>276</v>
          </cell>
          <cell r="E49">
            <v>380537.28920015279</v>
          </cell>
          <cell r="F49">
            <v>105028291.81924219</v>
          </cell>
        </row>
        <row r="50">
          <cell r="C50" t="str">
            <v>Бескудниковский</v>
          </cell>
          <cell r="D50">
            <v>238</v>
          </cell>
          <cell r="E50">
            <v>278147.23368876131</v>
          </cell>
          <cell r="F50">
            <v>66199041.617925189</v>
          </cell>
        </row>
        <row r="51">
          <cell r="C51" t="str">
            <v>Войковский</v>
          </cell>
          <cell r="D51">
            <v>293</v>
          </cell>
          <cell r="E51">
            <v>312716.42092975689</v>
          </cell>
          <cell r="F51">
            <v>91625911.332418784</v>
          </cell>
        </row>
        <row r="52">
          <cell r="C52" t="str">
            <v>Восточное Дегунино</v>
          </cell>
          <cell r="D52">
            <v>251</v>
          </cell>
          <cell r="E52">
            <v>248326.18597600979</v>
          </cell>
          <cell r="F52">
            <v>62329872.679978468</v>
          </cell>
        </row>
        <row r="53">
          <cell r="C53" t="str">
            <v>Головинский</v>
          </cell>
          <cell r="D53">
            <v>422</v>
          </cell>
          <cell r="E53">
            <v>279257.70188216749</v>
          </cell>
          <cell r="F53">
            <v>117846750.19427469</v>
          </cell>
        </row>
        <row r="54">
          <cell r="C54" t="str">
            <v>Дмитровский</v>
          </cell>
          <cell r="D54">
            <v>286</v>
          </cell>
          <cell r="E54">
            <v>247981.89914263159</v>
          </cell>
          <cell r="F54">
            <v>70922823.154792637</v>
          </cell>
        </row>
        <row r="55">
          <cell r="C55" t="str">
            <v>Западное Дегунино</v>
          </cell>
          <cell r="D55">
            <v>427</v>
          </cell>
          <cell r="E55">
            <v>274239.74066575489</v>
          </cell>
          <cell r="F55">
            <v>117100369.26427729</v>
          </cell>
        </row>
        <row r="56">
          <cell r="C56" t="str">
            <v>Коптево</v>
          </cell>
          <cell r="D56">
            <v>332</v>
          </cell>
          <cell r="E56">
            <v>274509.35936891253</v>
          </cell>
          <cell r="F56">
            <v>91137107.310478956</v>
          </cell>
        </row>
        <row r="57">
          <cell r="C57" t="str">
            <v>Левобережный</v>
          </cell>
          <cell r="D57">
            <v>215</v>
          </cell>
          <cell r="E57">
            <v>312579.42999100708</v>
          </cell>
          <cell r="F57">
            <v>67204577.448066518</v>
          </cell>
        </row>
        <row r="58">
          <cell r="C58" t="str">
            <v>Молжаниновский</v>
          </cell>
          <cell r="D58">
            <v>51</v>
          </cell>
          <cell r="E58">
            <v>187281.34802836311</v>
          </cell>
          <cell r="F58">
            <v>9551348.7494465187</v>
          </cell>
        </row>
        <row r="59">
          <cell r="C59" t="str">
            <v>Савеловский</v>
          </cell>
          <cell r="D59">
            <v>323</v>
          </cell>
          <cell r="E59">
            <v>324059.62651918712</v>
          </cell>
          <cell r="F59">
            <v>104671259.3656974</v>
          </cell>
        </row>
        <row r="60">
          <cell r="C60" t="str">
            <v>Сокол</v>
          </cell>
          <cell r="D60">
            <v>276</v>
          </cell>
          <cell r="E60">
            <v>340809.93331947451</v>
          </cell>
          <cell r="F60">
            <v>94063541.596174955</v>
          </cell>
        </row>
        <row r="61">
          <cell r="C61" t="str">
            <v>Тимирязевский</v>
          </cell>
          <cell r="D61">
            <v>227</v>
          </cell>
          <cell r="E61">
            <v>294089.29241684591</v>
          </cell>
          <cell r="F61">
            <v>66758269.378624022</v>
          </cell>
        </row>
        <row r="62">
          <cell r="C62" t="str">
            <v>Ховрино</v>
          </cell>
          <cell r="D62">
            <v>396</v>
          </cell>
          <cell r="E62">
            <v>268760.58167120389</v>
          </cell>
          <cell r="F62">
            <v>106429190.3417967</v>
          </cell>
        </row>
        <row r="63">
          <cell r="C63" t="str">
            <v>Хорошевский</v>
          </cell>
          <cell r="D63">
            <v>484</v>
          </cell>
          <cell r="E63">
            <v>371520.21095942572</v>
          </cell>
          <cell r="F63">
            <v>179815782.10436201</v>
          </cell>
        </row>
        <row r="64">
          <cell r="C64" t="str">
            <v>Алексеевский</v>
          </cell>
          <cell r="D64">
            <v>299</v>
          </cell>
          <cell r="E64">
            <v>326581.20758129947</v>
          </cell>
          <cell r="F64">
            <v>97647781.066808566</v>
          </cell>
        </row>
        <row r="65">
          <cell r="C65" t="str">
            <v>Алтуфьевский</v>
          </cell>
          <cell r="D65">
            <v>134</v>
          </cell>
          <cell r="E65">
            <v>242860.40510960881</v>
          </cell>
          <cell r="F65">
            <v>32543294.284687579</v>
          </cell>
        </row>
        <row r="66">
          <cell r="C66" t="str">
            <v>Бабушкинский</v>
          </cell>
          <cell r="D66">
            <v>292</v>
          </cell>
          <cell r="E66">
            <v>283736.29630291648</v>
          </cell>
          <cell r="F66">
            <v>82850998.520451605</v>
          </cell>
        </row>
        <row r="67">
          <cell r="C67" t="str">
            <v>Бибирево</v>
          </cell>
          <cell r="D67">
            <v>336</v>
          </cell>
          <cell r="E67">
            <v>239063.20146410531</v>
          </cell>
          <cell r="F67">
            <v>80325235.691939399</v>
          </cell>
        </row>
        <row r="68">
          <cell r="C68" t="str">
            <v>Бутырский</v>
          </cell>
          <cell r="D68">
            <v>219</v>
          </cell>
          <cell r="E68">
            <v>298110.13164997462</v>
          </cell>
          <cell r="F68">
            <v>65286118.831344433</v>
          </cell>
        </row>
        <row r="69">
          <cell r="C69" t="str">
            <v>Лианозово</v>
          </cell>
          <cell r="D69">
            <v>176</v>
          </cell>
          <cell r="E69">
            <v>256226.5849596411</v>
          </cell>
          <cell r="F69">
            <v>45095878.952896841</v>
          </cell>
        </row>
        <row r="70">
          <cell r="C70" t="str">
            <v>Лосиноостровский</v>
          </cell>
          <cell r="D70">
            <v>294</v>
          </cell>
          <cell r="E70">
            <v>246608.96868405171</v>
          </cell>
          <cell r="F70">
            <v>72503036.793111205</v>
          </cell>
        </row>
        <row r="71">
          <cell r="C71" t="str">
            <v>Марфино</v>
          </cell>
          <cell r="D71">
            <v>247</v>
          </cell>
          <cell r="E71">
            <v>308107.81288504758</v>
          </cell>
          <cell r="F71">
            <v>76102629.782606766</v>
          </cell>
        </row>
        <row r="72">
          <cell r="C72" t="str">
            <v>Марьина Роща</v>
          </cell>
          <cell r="D72">
            <v>309</v>
          </cell>
          <cell r="E72">
            <v>346920.75821306289</v>
          </cell>
          <cell r="F72">
            <v>107198514.2878364</v>
          </cell>
        </row>
        <row r="73">
          <cell r="C73" t="str">
            <v>Останкинский</v>
          </cell>
          <cell r="D73">
            <v>283</v>
          </cell>
          <cell r="E73">
            <v>331688.62191633048</v>
          </cell>
          <cell r="F73">
            <v>93867880.002321541</v>
          </cell>
        </row>
        <row r="74">
          <cell r="C74" t="str">
            <v>Отрадное</v>
          </cell>
          <cell r="D74">
            <v>533</v>
          </cell>
          <cell r="E74">
            <v>257651.45903652321</v>
          </cell>
          <cell r="F74">
            <v>137328227.66646689</v>
          </cell>
        </row>
        <row r="75">
          <cell r="C75" t="str">
            <v>Ростокино</v>
          </cell>
          <cell r="D75">
            <v>163</v>
          </cell>
          <cell r="E75">
            <v>309646.17465959513</v>
          </cell>
          <cell r="F75">
            <v>50472326.469513997</v>
          </cell>
        </row>
        <row r="76">
          <cell r="C76" t="str">
            <v>Свиблово</v>
          </cell>
          <cell r="D76">
            <v>143</v>
          </cell>
          <cell r="E76">
            <v>301866.74734585558</v>
          </cell>
          <cell r="F76">
            <v>43166944.870457359</v>
          </cell>
        </row>
        <row r="77">
          <cell r="C77" t="str">
            <v>Северное Медведково</v>
          </cell>
          <cell r="D77">
            <v>335</v>
          </cell>
          <cell r="E77">
            <v>257939.25188341801</v>
          </cell>
          <cell r="F77">
            <v>86409649.380945042</v>
          </cell>
        </row>
        <row r="78">
          <cell r="C78" t="str">
            <v>Северный</v>
          </cell>
          <cell r="D78">
            <v>156</v>
          </cell>
          <cell r="E78">
            <v>252777.53302576669</v>
          </cell>
          <cell r="F78">
            <v>39433295.152019612</v>
          </cell>
        </row>
        <row r="79">
          <cell r="C79" t="str">
            <v>Южное Медведково</v>
          </cell>
          <cell r="D79">
            <v>251</v>
          </cell>
          <cell r="E79">
            <v>264977.81483080488</v>
          </cell>
          <cell r="F79">
            <v>66509431.522532038</v>
          </cell>
        </row>
        <row r="80">
          <cell r="C80" t="str">
            <v>Ярославский</v>
          </cell>
          <cell r="D80">
            <v>314</v>
          </cell>
          <cell r="E80">
            <v>244315.62521419791</v>
          </cell>
          <cell r="F80">
            <v>76715106.317258134</v>
          </cell>
        </row>
        <row r="81">
          <cell r="C81" t="str">
            <v>Куркино</v>
          </cell>
          <cell r="D81">
            <v>181</v>
          </cell>
          <cell r="E81">
            <v>282305.15370973363</v>
          </cell>
          <cell r="F81">
            <v>51097232.821461789</v>
          </cell>
        </row>
        <row r="82">
          <cell r="C82" t="str">
            <v>Митино</v>
          </cell>
          <cell r="D82">
            <v>454</v>
          </cell>
          <cell r="E82">
            <v>252964.81269784109</v>
          </cell>
          <cell r="F82">
            <v>114846024.9648198</v>
          </cell>
        </row>
        <row r="83">
          <cell r="C83" t="str">
            <v>Покровское-Стрешнево</v>
          </cell>
          <cell r="D83">
            <v>343</v>
          </cell>
          <cell r="E83">
            <v>324769.37202698179</v>
          </cell>
          <cell r="F83">
            <v>111395894.6052548</v>
          </cell>
        </row>
        <row r="84">
          <cell r="C84" t="str">
            <v>Северное Тушино</v>
          </cell>
          <cell r="D84">
            <v>331</v>
          </cell>
          <cell r="E84">
            <v>272671.68795712758</v>
          </cell>
          <cell r="F84">
            <v>90254328.713809222</v>
          </cell>
        </row>
        <row r="85">
          <cell r="C85" t="str">
            <v>Строгино</v>
          </cell>
          <cell r="D85">
            <v>274</v>
          </cell>
          <cell r="E85">
            <v>288998.16874216968</v>
          </cell>
          <cell r="F85">
            <v>79185498.235354498</v>
          </cell>
        </row>
        <row r="86">
          <cell r="C86" t="str">
            <v>Хорошево-Мневники</v>
          </cell>
          <cell r="D86">
            <v>675</v>
          </cell>
          <cell r="E86">
            <v>356870.27647562092</v>
          </cell>
          <cell r="F86">
            <v>240887436.6210441</v>
          </cell>
        </row>
        <row r="87">
          <cell r="C87" t="str">
            <v>Щукино</v>
          </cell>
          <cell r="D87">
            <v>323</v>
          </cell>
          <cell r="E87">
            <v>313483.95385040028</v>
          </cell>
          <cell r="F87">
            <v>101255317.09367929</v>
          </cell>
        </row>
        <row r="88">
          <cell r="C88" t="str">
            <v>Южное Тушино</v>
          </cell>
          <cell r="D88">
            <v>276</v>
          </cell>
          <cell r="E88">
            <v>265303.40465559281</v>
          </cell>
          <cell r="F88">
            <v>73223739.684943616</v>
          </cell>
        </row>
        <row r="89">
          <cell r="C89" t="str">
            <v>Вороновское</v>
          </cell>
          <cell r="D89">
            <v>40</v>
          </cell>
          <cell r="E89">
            <v>160090.88600272001</v>
          </cell>
          <cell r="F89">
            <v>6403635.4401087984</v>
          </cell>
        </row>
        <row r="90">
          <cell r="C90" t="str">
            <v>Киевский</v>
          </cell>
          <cell r="D90">
            <v>38</v>
          </cell>
          <cell r="E90">
            <v>159420.29968050649</v>
          </cell>
          <cell r="F90">
            <v>6057971.3878592467</v>
          </cell>
        </row>
        <row r="91">
          <cell r="C91" t="str">
            <v>Кленовское</v>
          </cell>
          <cell r="D91">
            <v>27</v>
          </cell>
          <cell r="E91">
            <v>118323.0237860997</v>
          </cell>
          <cell r="F91">
            <v>3194721.6422246909</v>
          </cell>
        </row>
        <row r="92">
          <cell r="C92" t="str">
            <v>Краснопахорское</v>
          </cell>
          <cell r="D92">
            <v>36</v>
          </cell>
          <cell r="E92">
            <v>154075.35166665149</v>
          </cell>
          <cell r="F92">
            <v>5546712.6599994535</v>
          </cell>
        </row>
        <row r="93">
          <cell r="C93" t="str">
            <v>Михайлово-Ярцевское</v>
          </cell>
          <cell r="D93">
            <v>21</v>
          </cell>
          <cell r="E93">
            <v>168754.24240751399</v>
          </cell>
          <cell r="F93">
            <v>3543839.0905577941</v>
          </cell>
        </row>
        <row r="94">
          <cell r="C94" t="str">
            <v>Новофедоровское</v>
          </cell>
          <cell r="D94">
            <v>33</v>
          </cell>
          <cell r="E94">
            <v>147436.51550359989</v>
          </cell>
          <cell r="F94">
            <v>4865405.0116187977</v>
          </cell>
        </row>
        <row r="95">
          <cell r="C95" t="str">
            <v>Первомайское</v>
          </cell>
          <cell r="D95">
            <v>125</v>
          </cell>
          <cell r="E95">
            <v>162666.55806966571</v>
          </cell>
          <cell r="F95">
            <v>20333319.758708209</v>
          </cell>
        </row>
        <row r="96">
          <cell r="C96" t="str">
            <v>Роговское</v>
          </cell>
          <cell r="D96">
            <v>30</v>
          </cell>
          <cell r="E96">
            <v>112995.96146119251</v>
          </cell>
          <cell r="F96">
            <v>3389878.8438357762</v>
          </cell>
        </row>
        <row r="97">
          <cell r="C97" t="str">
            <v>Троицк</v>
          </cell>
          <cell r="D97">
            <v>220</v>
          </cell>
          <cell r="E97">
            <v>197009.92606769959</v>
          </cell>
          <cell r="F97">
            <v>43342183.734893903</v>
          </cell>
        </row>
        <row r="98">
          <cell r="C98" t="str">
            <v>Щаповское</v>
          </cell>
          <cell r="D98">
            <v>46</v>
          </cell>
          <cell r="E98">
            <v>158578.96707225821</v>
          </cell>
          <cell r="F98">
            <v>7294632.485323878</v>
          </cell>
        </row>
        <row r="99">
          <cell r="C99" t="str">
            <v>Арбат</v>
          </cell>
          <cell r="D99">
            <v>354</v>
          </cell>
          <cell r="E99">
            <v>709873.93239809852</v>
          </cell>
          <cell r="F99">
            <v>251295372.0689269</v>
          </cell>
        </row>
        <row r="100">
          <cell r="C100" t="str">
            <v>Басманный</v>
          </cell>
          <cell r="D100">
            <v>812</v>
          </cell>
          <cell r="E100">
            <v>457181.504901512</v>
          </cell>
          <cell r="F100">
            <v>371231381.98002768</v>
          </cell>
        </row>
        <row r="101">
          <cell r="C101" t="str">
            <v>Замоскворечье</v>
          </cell>
          <cell r="D101">
            <v>357</v>
          </cell>
          <cell r="E101">
            <v>538131.91273257497</v>
          </cell>
          <cell r="F101">
            <v>192113092.84552929</v>
          </cell>
        </row>
        <row r="102">
          <cell r="C102" t="str">
            <v>Красносельский</v>
          </cell>
          <cell r="D102">
            <v>294</v>
          </cell>
          <cell r="E102">
            <v>436074.4029257691</v>
          </cell>
          <cell r="F102">
            <v>128205874.4601761</v>
          </cell>
        </row>
        <row r="103">
          <cell r="C103" t="str">
            <v>Мещанский</v>
          </cell>
          <cell r="D103">
            <v>425</v>
          </cell>
          <cell r="E103">
            <v>454643.69460474793</v>
          </cell>
          <cell r="F103">
            <v>193223570.2070179</v>
          </cell>
        </row>
        <row r="104">
          <cell r="C104" t="str">
            <v>Пресненский</v>
          </cell>
          <cell r="D104">
            <v>1206</v>
          </cell>
          <cell r="E104">
            <v>584648.89645506965</v>
          </cell>
          <cell r="F104">
            <v>705086569.12481403</v>
          </cell>
        </row>
        <row r="105">
          <cell r="C105" t="str">
            <v>Таганский</v>
          </cell>
          <cell r="D105">
            <v>651</v>
          </cell>
          <cell r="E105">
            <v>393980.26243540121</v>
          </cell>
          <cell r="F105">
            <v>256481150.8454462</v>
          </cell>
        </row>
        <row r="106">
          <cell r="C106" t="str">
            <v>Тверской</v>
          </cell>
          <cell r="D106">
            <v>831</v>
          </cell>
          <cell r="E106">
            <v>578738.47394348518</v>
          </cell>
          <cell r="F106">
            <v>480931671.84703618</v>
          </cell>
        </row>
        <row r="107">
          <cell r="C107" t="str">
            <v>Хамовники</v>
          </cell>
          <cell r="D107">
            <v>841</v>
          </cell>
          <cell r="E107">
            <v>724930.49633673369</v>
          </cell>
          <cell r="F107">
            <v>609666547.41919303</v>
          </cell>
        </row>
        <row r="108">
          <cell r="C108" t="str">
            <v>Якиманка</v>
          </cell>
          <cell r="D108">
            <v>174</v>
          </cell>
          <cell r="E108">
            <v>718380.49768874166</v>
          </cell>
          <cell r="F108">
            <v>124998206.5978411</v>
          </cell>
        </row>
        <row r="109">
          <cell r="C109" t="str">
            <v>Выхино-Жулебино</v>
          </cell>
          <cell r="D109">
            <v>684</v>
          </cell>
          <cell r="E109">
            <v>241921.96670940431</v>
          </cell>
          <cell r="F109">
            <v>165474625.22923249</v>
          </cell>
        </row>
        <row r="110">
          <cell r="C110" t="str">
            <v>Капотня</v>
          </cell>
          <cell r="D110">
            <v>73</v>
          </cell>
          <cell r="E110">
            <v>228485.68099299099</v>
          </cell>
          <cell r="F110">
            <v>16679454.71248834</v>
          </cell>
        </row>
        <row r="111">
          <cell r="C111" t="str">
            <v>Кузьминки</v>
          </cell>
          <cell r="D111">
            <v>375</v>
          </cell>
          <cell r="E111">
            <v>255662.0138332716</v>
          </cell>
          <cell r="F111">
            <v>95873255.187476858</v>
          </cell>
        </row>
        <row r="112">
          <cell r="C112" t="str">
            <v>Лефортово</v>
          </cell>
          <cell r="D112">
            <v>312</v>
          </cell>
          <cell r="E112">
            <v>305431.15716478502</v>
          </cell>
          <cell r="F112">
            <v>95294521.035412923</v>
          </cell>
        </row>
        <row r="113">
          <cell r="C113" t="str">
            <v>Люблино</v>
          </cell>
          <cell r="D113">
            <v>716</v>
          </cell>
          <cell r="E113">
            <v>247179.9969605268</v>
          </cell>
          <cell r="F113">
            <v>176980877.8237372</v>
          </cell>
        </row>
        <row r="114">
          <cell r="C114" t="str">
            <v>Марьино</v>
          </cell>
          <cell r="D114">
            <v>747</v>
          </cell>
          <cell r="E114">
            <v>246935.9098170315</v>
          </cell>
          <cell r="F114">
            <v>184461124.63332251</v>
          </cell>
        </row>
        <row r="115">
          <cell r="C115" t="str">
            <v>Некрасовка</v>
          </cell>
          <cell r="D115">
            <v>334</v>
          </cell>
          <cell r="E115">
            <v>206778.1169368081</v>
          </cell>
          <cell r="F115">
            <v>69063891.056893915</v>
          </cell>
        </row>
        <row r="116">
          <cell r="C116" t="str">
            <v>Нижегородский</v>
          </cell>
          <cell r="D116">
            <v>317</v>
          </cell>
          <cell r="E116">
            <v>288693.37118697859</v>
          </cell>
          <cell r="F116">
            <v>91515798.666272238</v>
          </cell>
        </row>
        <row r="117">
          <cell r="C117" t="str">
            <v>Печатники</v>
          </cell>
          <cell r="D117">
            <v>246</v>
          </cell>
          <cell r="E117">
            <v>256841.18408712521</v>
          </cell>
          <cell r="F117">
            <v>63182931.285432801</v>
          </cell>
        </row>
        <row r="118">
          <cell r="C118" t="str">
            <v>Рязанский</v>
          </cell>
          <cell r="D118">
            <v>387</v>
          </cell>
          <cell r="E118">
            <v>264978.27386163711</v>
          </cell>
          <cell r="F118">
            <v>102546591.9844536</v>
          </cell>
        </row>
        <row r="119">
          <cell r="C119" t="str">
            <v>Текстильщики</v>
          </cell>
          <cell r="D119">
            <v>331</v>
          </cell>
          <cell r="E119">
            <v>254113.42308490601</v>
          </cell>
          <cell r="F119">
            <v>84111543.041103885</v>
          </cell>
        </row>
        <row r="120">
          <cell r="C120" t="str">
            <v>Южнопортовый</v>
          </cell>
          <cell r="D120">
            <v>351</v>
          </cell>
          <cell r="E120">
            <v>303429.60111806937</v>
          </cell>
          <cell r="F120">
            <v>106503789.9924424</v>
          </cell>
        </row>
        <row r="121">
          <cell r="C121" t="str">
            <v>Академический</v>
          </cell>
          <cell r="D121">
            <v>460</v>
          </cell>
          <cell r="E121">
            <v>330359.37774856167</v>
          </cell>
          <cell r="F121">
            <v>151965313.7643384</v>
          </cell>
        </row>
        <row r="122">
          <cell r="C122" t="str">
            <v>Гагаринский</v>
          </cell>
          <cell r="D122">
            <v>385</v>
          </cell>
          <cell r="E122">
            <v>433255.85819434113</v>
          </cell>
          <cell r="F122">
            <v>166803505.40482131</v>
          </cell>
        </row>
        <row r="123">
          <cell r="C123" t="str">
            <v>Зюзино</v>
          </cell>
          <cell r="D123">
            <v>361</v>
          </cell>
          <cell r="E123">
            <v>297275.02210147609</v>
          </cell>
          <cell r="F123">
            <v>107316282.9786329</v>
          </cell>
        </row>
        <row r="124">
          <cell r="C124" t="str">
            <v>Коньково</v>
          </cell>
          <cell r="D124">
            <v>498</v>
          </cell>
          <cell r="E124">
            <v>291918.62614221871</v>
          </cell>
          <cell r="F124">
            <v>145375475.81882489</v>
          </cell>
        </row>
        <row r="125">
          <cell r="C125" t="str">
            <v>Котловка</v>
          </cell>
          <cell r="D125">
            <v>228</v>
          </cell>
          <cell r="E125">
            <v>295936.76592875889</v>
          </cell>
          <cell r="F125">
            <v>67473582.631757021</v>
          </cell>
        </row>
        <row r="126">
          <cell r="C126" t="str">
            <v>Ломоносовский</v>
          </cell>
          <cell r="D126">
            <v>439</v>
          </cell>
          <cell r="E126">
            <v>356929.74954297958</v>
          </cell>
          <cell r="F126">
            <v>156692160.04936811</v>
          </cell>
        </row>
        <row r="127">
          <cell r="C127" t="str">
            <v>Обручевский</v>
          </cell>
          <cell r="D127">
            <v>358</v>
          </cell>
          <cell r="E127">
            <v>334647.78324814379</v>
          </cell>
          <cell r="F127">
            <v>119803906.4028355</v>
          </cell>
        </row>
        <row r="128">
          <cell r="C128" t="str">
            <v>Северное Бутово</v>
          </cell>
          <cell r="D128">
            <v>226</v>
          </cell>
          <cell r="E128">
            <v>245373.04494225551</v>
          </cell>
          <cell r="F128">
            <v>55454308.156949751</v>
          </cell>
        </row>
        <row r="129">
          <cell r="C129" t="str">
            <v>Теплый Стан</v>
          </cell>
          <cell r="D129">
            <v>441</v>
          </cell>
          <cell r="E129">
            <v>273297.53359071998</v>
          </cell>
          <cell r="F129">
            <v>120524212.3135075</v>
          </cell>
        </row>
        <row r="130">
          <cell r="C130" t="str">
            <v>Черемушки</v>
          </cell>
          <cell r="D130">
            <v>524</v>
          </cell>
          <cell r="E130">
            <v>322025.93693040212</v>
          </cell>
          <cell r="F130">
            <v>168741590.95153069</v>
          </cell>
        </row>
        <row r="131">
          <cell r="C131" t="str">
            <v>Южное Бутово</v>
          </cell>
          <cell r="D131">
            <v>722</v>
          </cell>
          <cell r="E131">
            <v>222264.05570693981</v>
          </cell>
          <cell r="F131">
            <v>160474648.22041059</v>
          </cell>
        </row>
        <row r="132">
          <cell r="C132" t="str">
            <v>Ясенево</v>
          </cell>
          <cell r="D132">
            <v>409</v>
          </cell>
          <cell r="E132">
            <v>253346.81162596459</v>
          </cell>
          <cell r="F132">
            <v>103618845.9550195</v>
          </cell>
        </row>
        <row r="133">
          <cell r="C133" t="str">
            <v>Бирюлёво Восточное</v>
          </cell>
          <cell r="D133">
            <v>328</v>
          </cell>
          <cell r="E133">
            <v>223892.7537556302</v>
          </cell>
          <cell r="F133">
            <v>73436823.231846705</v>
          </cell>
        </row>
        <row r="134">
          <cell r="C134" t="str">
            <v>Бирюлёво Западное</v>
          </cell>
          <cell r="D134">
            <v>207</v>
          </cell>
          <cell r="E134">
            <v>213860.51884503529</v>
          </cell>
          <cell r="F134">
            <v>44269127.400922313</v>
          </cell>
        </row>
        <row r="135">
          <cell r="C135" t="str">
            <v>Братеево</v>
          </cell>
          <cell r="D135">
            <v>231</v>
          </cell>
          <cell r="E135">
            <v>251081.8859033979</v>
          </cell>
          <cell r="F135">
            <v>57999915.643684924</v>
          </cell>
        </row>
        <row r="136">
          <cell r="C136" t="str">
            <v>Даниловский</v>
          </cell>
          <cell r="D136">
            <v>559</v>
          </cell>
          <cell r="E136">
            <v>358154.89971579832</v>
          </cell>
          <cell r="F136">
            <v>200208588.9411312</v>
          </cell>
        </row>
        <row r="137">
          <cell r="C137" t="str">
            <v>Донской</v>
          </cell>
          <cell r="D137">
            <v>218</v>
          </cell>
          <cell r="E137">
            <v>338549.00473854481</v>
          </cell>
          <cell r="F137">
            <v>73803683.033002764</v>
          </cell>
        </row>
        <row r="138">
          <cell r="C138" t="str">
            <v>Зябликово</v>
          </cell>
          <cell r="D138">
            <v>287</v>
          </cell>
          <cell r="E138">
            <v>242168.61750858411</v>
          </cell>
          <cell r="F138">
            <v>69502393.22496365</v>
          </cell>
        </row>
        <row r="139">
          <cell r="C139" t="str">
            <v>Москворечье-Сабурово</v>
          </cell>
          <cell r="D139">
            <v>232</v>
          </cell>
          <cell r="E139">
            <v>273892.4545623982</v>
          </cell>
          <cell r="F139">
            <v>63543049.45847638</v>
          </cell>
        </row>
        <row r="140">
          <cell r="C140" t="str">
            <v>Нагатино-Садовники</v>
          </cell>
          <cell r="D140">
            <v>373</v>
          </cell>
          <cell r="E140">
            <v>294800.23242148862</v>
          </cell>
          <cell r="F140">
            <v>109960486.6932153</v>
          </cell>
        </row>
        <row r="141">
          <cell r="C141" t="str">
            <v>Нагатинский Затон</v>
          </cell>
          <cell r="D141">
            <v>321</v>
          </cell>
          <cell r="E141">
            <v>296623.35430602118</v>
          </cell>
          <cell r="F141">
            <v>95216096.732232794</v>
          </cell>
        </row>
        <row r="142">
          <cell r="C142" t="str">
            <v>Нагорный</v>
          </cell>
          <cell r="D142">
            <v>283</v>
          </cell>
          <cell r="E142">
            <v>284609.15579053853</v>
          </cell>
          <cell r="F142">
            <v>80544391.088722393</v>
          </cell>
        </row>
        <row r="143">
          <cell r="C143" t="str">
            <v>Орехово-Борисово Северное</v>
          </cell>
          <cell r="D143">
            <v>236</v>
          </cell>
          <cell r="E143">
            <v>253145.90165085639</v>
          </cell>
          <cell r="F143">
            <v>59742432.789602108</v>
          </cell>
        </row>
        <row r="144">
          <cell r="C144" t="str">
            <v>Орехово-Борисово Южное</v>
          </cell>
          <cell r="D144">
            <v>392</v>
          </cell>
          <cell r="E144">
            <v>245713.91755425659</v>
          </cell>
          <cell r="F144">
            <v>96319855.681268588</v>
          </cell>
        </row>
        <row r="145">
          <cell r="C145" t="str">
            <v>Царицыно</v>
          </cell>
          <cell r="D145">
            <v>378</v>
          </cell>
          <cell r="E145">
            <v>260587.13817012939</v>
          </cell>
          <cell r="F145">
            <v>98501938.228308901</v>
          </cell>
        </row>
        <row r="146">
          <cell r="C146" t="str">
            <v>Чертаново Северное</v>
          </cell>
          <cell r="D146">
            <v>267</v>
          </cell>
          <cell r="E146">
            <v>264594.25666487409</v>
          </cell>
          <cell r="F146">
            <v>70646666.529521391</v>
          </cell>
        </row>
        <row r="147">
          <cell r="C147" t="str">
            <v>Чертаново Центральное</v>
          </cell>
          <cell r="D147">
            <v>281</v>
          </cell>
          <cell r="E147">
            <v>257287.3120329089</v>
          </cell>
          <cell r="F147">
            <v>72297734.681247398</v>
          </cell>
        </row>
        <row r="148">
          <cell r="C148" t="str">
            <v>Чертаново Южное</v>
          </cell>
          <cell r="D148">
            <v>392</v>
          </cell>
          <cell r="E148">
            <v>248864.2986979206</v>
          </cell>
          <cell r="F148">
            <v>97554805.089584872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осква_продажа_АО"/>
      <sheetName val="Москва_продажа_районы"/>
    </sheetNames>
    <sheetDataSet>
      <sheetData sheetId="0"/>
      <sheetData sheetId="1">
        <row r="2">
          <cell r="C2" t="str">
            <v>Богородское</v>
          </cell>
          <cell r="D2">
            <v>337</v>
          </cell>
          <cell r="E2">
            <v>286885.61323335167</v>
          </cell>
          <cell r="F2">
            <v>96680451.659639508</v>
          </cell>
        </row>
        <row r="3">
          <cell r="C3" t="str">
            <v>Вешняки</v>
          </cell>
          <cell r="D3">
            <v>365</v>
          </cell>
          <cell r="E3">
            <v>233060.2152286582</v>
          </cell>
          <cell r="F3">
            <v>85066978.558460236</v>
          </cell>
        </row>
        <row r="4">
          <cell r="C4" t="str">
            <v>Восточное Измайлово</v>
          </cell>
          <cell r="D4">
            <v>219</v>
          </cell>
          <cell r="E4">
            <v>266910.18093687919</v>
          </cell>
          <cell r="F4">
            <v>58453329.625176556</v>
          </cell>
        </row>
        <row r="5">
          <cell r="C5" t="str">
            <v>Восточный</v>
          </cell>
          <cell r="D5">
            <v>45</v>
          </cell>
          <cell r="E5">
            <v>210426.29252343011</v>
          </cell>
          <cell r="F5">
            <v>9469183.1635543555</v>
          </cell>
        </row>
        <row r="6">
          <cell r="C6" t="str">
            <v>Гольяново</v>
          </cell>
          <cell r="D6">
            <v>478</v>
          </cell>
          <cell r="E6">
            <v>249475.60996357919</v>
          </cell>
          <cell r="F6">
            <v>119249341.56259079</v>
          </cell>
        </row>
        <row r="7">
          <cell r="C7" t="str">
            <v>Ивановское</v>
          </cell>
          <cell r="D7">
            <v>360</v>
          </cell>
          <cell r="E7">
            <v>238540.3352485903</v>
          </cell>
          <cell r="F7">
            <v>85874520.689492509</v>
          </cell>
        </row>
        <row r="8">
          <cell r="C8" t="str">
            <v>Измайлово</v>
          </cell>
          <cell r="D8">
            <v>368</v>
          </cell>
          <cell r="E8">
            <v>271998.38160731317</v>
          </cell>
          <cell r="F8">
            <v>100095404.4314913</v>
          </cell>
        </row>
        <row r="9">
          <cell r="C9" t="str">
            <v>Косино-Ухтомский</v>
          </cell>
          <cell r="D9">
            <v>220</v>
          </cell>
          <cell r="E9">
            <v>239507.41444577629</v>
          </cell>
          <cell r="F9">
            <v>52691631.178070784</v>
          </cell>
        </row>
        <row r="10">
          <cell r="C10" t="str">
            <v>Метрогородок</v>
          </cell>
          <cell r="D10">
            <v>98</v>
          </cell>
          <cell r="E10">
            <v>253731.25699708081</v>
          </cell>
          <cell r="F10">
            <v>24865663.185713921</v>
          </cell>
        </row>
        <row r="11">
          <cell r="C11" t="str">
            <v>Новогиреево</v>
          </cell>
          <cell r="D11">
            <v>242</v>
          </cell>
          <cell r="E11">
            <v>266055.15529841988</v>
          </cell>
          <cell r="F11">
            <v>64385347.582217634</v>
          </cell>
        </row>
        <row r="12">
          <cell r="C12" t="str">
            <v>Новокосино</v>
          </cell>
          <cell r="D12">
            <v>152</v>
          </cell>
          <cell r="E12">
            <v>241140.66935161769</v>
          </cell>
          <cell r="F12">
            <v>36653381.741445892</v>
          </cell>
        </row>
        <row r="13">
          <cell r="C13" t="str">
            <v>Перово</v>
          </cell>
          <cell r="D13">
            <v>337</v>
          </cell>
          <cell r="E13">
            <v>258953.63474115389</v>
          </cell>
          <cell r="F13">
            <v>87267374.907768875</v>
          </cell>
        </row>
        <row r="14">
          <cell r="C14" t="str">
            <v>Преображенское</v>
          </cell>
          <cell r="D14">
            <v>322</v>
          </cell>
          <cell r="E14">
            <v>304981.00713399297</v>
          </cell>
          <cell r="F14">
            <v>98203884.297145754</v>
          </cell>
        </row>
        <row r="15">
          <cell r="C15" t="str">
            <v>Северное Измайлово</v>
          </cell>
          <cell r="D15">
            <v>298</v>
          </cell>
          <cell r="E15">
            <v>263868.62568968348</v>
          </cell>
          <cell r="F15">
            <v>78632850.455525696</v>
          </cell>
        </row>
        <row r="16">
          <cell r="C16" t="str">
            <v>Соколиная Гора</v>
          </cell>
          <cell r="D16">
            <v>386</v>
          </cell>
          <cell r="E16">
            <v>288514.2942457879</v>
          </cell>
          <cell r="F16">
            <v>111366517.5788741</v>
          </cell>
        </row>
        <row r="17">
          <cell r="C17" t="str">
            <v>Сокольники</v>
          </cell>
          <cell r="D17">
            <v>263</v>
          </cell>
          <cell r="E17">
            <v>329596.05194237741</v>
          </cell>
          <cell r="F17">
            <v>86683761.660845265</v>
          </cell>
        </row>
        <row r="18">
          <cell r="C18" t="str">
            <v>Внуково</v>
          </cell>
          <cell r="D18">
            <v>43</v>
          </cell>
          <cell r="E18">
            <v>210976.77121694401</v>
          </cell>
          <cell r="F18">
            <v>9072001.1623285916</v>
          </cell>
        </row>
        <row r="19">
          <cell r="C19" t="str">
            <v>Дорогомилово</v>
          </cell>
          <cell r="D19">
            <v>414</v>
          </cell>
          <cell r="E19">
            <v>469922.88708269713</v>
          </cell>
          <cell r="F19">
            <v>194548075.2522366</v>
          </cell>
        </row>
        <row r="20">
          <cell r="C20" t="str">
            <v>Крылатское</v>
          </cell>
          <cell r="D20">
            <v>213</v>
          </cell>
          <cell r="E20">
            <v>339483.04714308621</v>
          </cell>
          <cell r="F20">
            <v>72309889.041477352</v>
          </cell>
        </row>
        <row r="21">
          <cell r="C21" t="str">
            <v>Кунцево</v>
          </cell>
          <cell r="D21">
            <v>533</v>
          </cell>
          <cell r="E21">
            <v>314051.36571548542</v>
          </cell>
          <cell r="F21">
            <v>167389377.92635369</v>
          </cell>
        </row>
        <row r="22">
          <cell r="C22" t="str">
            <v>Можайский</v>
          </cell>
          <cell r="D22">
            <v>700</v>
          </cell>
          <cell r="E22">
            <v>283914.35423883842</v>
          </cell>
          <cell r="F22">
            <v>198740047.9671869</v>
          </cell>
        </row>
        <row r="23">
          <cell r="C23" t="str">
            <v>Ново-Переделкино</v>
          </cell>
          <cell r="D23">
            <v>214</v>
          </cell>
          <cell r="E23">
            <v>241007.8869121031</v>
          </cell>
          <cell r="F23">
            <v>51575687.799190059</v>
          </cell>
        </row>
        <row r="24">
          <cell r="C24" t="str">
            <v>Очаково-Матвеевское</v>
          </cell>
          <cell r="D24">
            <v>471</v>
          </cell>
          <cell r="E24">
            <v>291992.0203094125</v>
          </cell>
          <cell r="F24">
            <v>137528241.56573331</v>
          </cell>
        </row>
        <row r="25">
          <cell r="C25" t="str">
            <v>Проспект Вернадского</v>
          </cell>
          <cell r="D25">
            <v>300</v>
          </cell>
          <cell r="E25">
            <v>381123.17463928618</v>
          </cell>
          <cell r="F25">
            <v>114336952.3917859</v>
          </cell>
        </row>
        <row r="26">
          <cell r="C26" t="str">
            <v>Раменки</v>
          </cell>
          <cell r="D26">
            <v>658</v>
          </cell>
          <cell r="E26">
            <v>410410.48219845048</v>
          </cell>
          <cell r="F26">
            <v>270050097.28658038</v>
          </cell>
        </row>
        <row r="27">
          <cell r="C27" t="str">
            <v>Солнцево</v>
          </cell>
          <cell r="D27">
            <v>384</v>
          </cell>
          <cell r="E27">
            <v>254970.3167526061</v>
          </cell>
          <cell r="F27">
            <v>97908601.633000731</v>
          </cell>
        </row>
        <row r="28">
          <cell r="C28" t="str">
            <v>Тропарево-Никулино</v>
          </cell>
          <cell r="D28">
            <v>411</v>
          </cell>
          <cell r="E28">
            <v>330651.09406712302</v>
          </cell>
          <cell r="F28">
            <v>135897599.66158751</v>
          </cell>
        </row>
        <row r="29">
          <cell r="C29" t="str">
            <v>Филевский Парк</v>
          </cell>
          <cell r="D29">
            <v>290</v>
          </cell>
          <cell r="E29">
            <v>332578.35461097542</v>
          </cell>
          <cell r="F29">
            <v>96447722.83718285</v>
          </cell>
        </row>
        <row r="30">
          <cell r="C30" t="str">
            <v>Фили-Давыдково</v>
          </cell>
          <cell r="D30">
            <v>335</v>
          </cell>
          <cell r="E30">
            <v>329850.12453705311</v>
          </cell>
          <cell r="F30">
            <v>110499791.7199128</v>
          </cell>
        </row>
        <row r="31">
          <cell r="C31" t="str">
            <v>10-й</v>
          </cell>
          <cell r="D31">
            <v>1</v>
          </cell>
          <cell r="E31">
            <v>201349.8312710911</v>
          </cell>
          <cell r="F31">
            <v>201349.8312710911</v>
          </cell>
        </row>
        <row r="32">
          <cell r="C32" t="str">
            <v>14-й</v>
          </cell>
          <cell r="D32">
            <v>2</v>
          </cell>
          <cell r="E32">
            <v>215485.30204403171</v>
          </cell>
          <cell r="F32">
            <v>430970.60408806341</v>
          </cell>
        </row>
        <row r="33">
          <cell r="C33" t="str">
            <v>16-й</v>
          </cell>
          <cell r="D33">
            <v>4</v>
          </cell>
          <cell r="E33">
            <v>233803.59798501761</v>
          </cell>
          <cell r="F33">
            <v>935214.39194007043</v>
          </cell>
        </row>
        <row r="34">
          <cell r="C34" t="str">
            <v>17-й</v>
          </cell>
          <cell r="D34">
            <v>3</v>
          </cell>
          <cell r="E34">
            <v>250255.57465797561</v>
          </cell>
          <cell r="F34">
            <v>750766.72397392686</v>
          </cell>
        </row>
        <row r="35">
          <cell r="C35" t="str">
            <v>19-й</v>
          </cell>
          <cell r="D35">
            <v>23</v>
          </cell>
          <cell r="E35">
            <v>235049.50279208901</v>
          </cell>
          <cell r="F35">
            <v>5406138.5642180461</v>
          </cell>
        </row>
        <row r="36">
          <cell r="C36" t="str">
            <v>23-й</v>
          </cell>
          <cell r="D36">
            <v>540</v>
          </cell>
          <cell r="E36">
            <v>211662.09579815299</v>
          </cell>
          <cell r="F36">
            <v>114297531.7310026</v>
          </cell>
        </row>
        <row r="37">
          <cell r="C37" t="str">
            <v>Крюково</v>
          </cell>
          <cell r="D37">
            <v>6</v>
          </cell>
          <cell r="E37">
            <v>122553.33455590199</v>
          </cell>
          <cell r="F37">
            <v>735320.00733541173</v>
          </cell>
        </row>
        <row r="38">
          <cell r="C38" t="str">
            <v>Матушкино</v>
          </cell>
          <cell r="D38">
            <v>1</v>
          </cell>
          <cell r="E38">
            <v>256321.83908045979</v>
          </cell>
          <cell r="F38">
            <v>256321.83908045979</v>
          </cell>
        </row>
        <row r="39">
          <cell r="C39" t="str">
            <v>Внуковское</v>
          </cell>
          <cell r="D39">
            <v>133</v>
          </cell>
          <cell r="E39">
            <v>251393.9173951151</v>
          </cell>
          <cell r="F39">
            <v>33435391.013550311</v>
          </cell>
        </row>
        <row r="40">
          <cell r="C40" t="str">
            <v>Воскресенское</v>
          </cell>
          <cell r="D40">
            <v>73</v>
          </cell>
          <cell r="E40">
            <v>199497.38876031619</v>
          </cell>
          <cell r="F40">
            <v>14563309.379503081</v>
          </cell>
        </row>
        <row r="41">
          <cell r="C41" t="str">
            <v>Десеновское</v>
          </cell>
          <cell r="D41">
            <v>287</v>
          </cell>
          <cell r="E41">
            <v>212753.31944462229</v>
          </cell>
          <cell r="F41">
            <v>61060202.680606611</v>
          </cell>
        </row>
        <row r="42">
          <cell r="C42" t="str">
            <v>Кокошкино</v>
          </cell>
          <cell r="D42">
            <v>74</v>
          </cell>
          <cell r="E42">
            <v>190852.9851116424</v>
          </cell>
          <cell r="F42">
            <v>14123120.89826154</v>
          </cell>
        </row>
        <row r="43">
          <cell r="C43" t="str">
            <v>Марушкинское</v>
          </cell>
          <cell r="D43">
            <v>57</v>
          </cell>
          <cell r="E43">
            <v>189611.0902327091</v>
          </cell>
          <cell r="F43">
            <v>10807832.14326442</v>
          </cell>
        </row>
        <row r="44">
          <cell r="C44" t="str">
            <v>Московский</v>
          </cell>
          <cell r="D44">
            <v>226</v>
          </cell>
          <cell r="E44">
            <v>237458.64485361439</v>
          </cell>
          <cell r="F44">
            <v>53665653.736916862</v>
          </cell>
        </row>
        <row r="45">
          <cell r="C45" t="str">
            <v>Мосрентген</v>
          </cell>
          <cell r="D45">
            <v>47</v>
          </cell>
          <cell r="E45">
            <v>199806.15287037959</v>
          </cell>
          <cell r="F45">
            <v>9390889.1849078424</v>
          </cell>
        </row>
        <row r="46">
          <cell r="C46" t="str">
            <v>Рязановское</v>
          </cell>
          <cell r="D46">
            <v>189</v>
          </cell>
          <cell r="E46">
            <v>190116.58041900201</v>
          </cell>
          <cell r="F46">
            <v>35932033.699191369</v>
          </cell>
        </row>
        <row r="47">
          <cell r="C47" t="str">
            <v>Сосенское</v>
          </cell>
          <cell r="D47">
            <v>292</v>
          </cell>
          <cell r="E47">
            <v>260114.21937436011</v>
          </cell>
          <cell r="F47">
            <v>75953352.057313159</v>
          </cell>
        </row>
        <row r="48">
          <cell r="C48" t="str">
            <v>Филимонковское</v>
          </cell>
          <cell r="D48">
            <v>120</v>
          </cell>
          <cell r="E48">
            <v>190251.03955960399</v>
          </cell>
          <cell r="F48">
            <v>22830124.747152481</v>
          </cell>
        </row>
        <row r="49">
          <cell r="C49" t="str">
            <v>Щербинка</v>
          </cell>
          <cell r="D49">
            <v>215</v>
          </cell>
          <cell r="E49">
            <v>194300.07415022419</v>
          </cell>
          <cell r="F49">
            <v>41774515.942298211</v>
          </cell>
        </row>
        <row r="50">
          <cell r="C50" t="str">
            <v>Аэропорт</v>
          </cell>
          <cell r="D50">
            <v>319</v>
          </cell>
          <cell r="E50">
            <v>345398.1286186286</v>
          </cell>
          <cell r="F50">
            <v>110182003.0293425</v>
          </cell>
        </row>
        <row r="51">
          <cell r="C51" t="str">
            <v>Беговой</v>
          </cell>
          <cell r="D51">
            <v>293</v>
          </cell>
          <cell r="E51">
            <v>397411.00820992811</v>
          </cell>
          <cell r="F51">
            <v>116441425.40550891</v>
          </cell>
        </row>
        <row r="52">
          <cell r="C52" t="str">
            <v>Бескудниковский</v>
          </cell>
          <cell r="D52">
            <v>212</v>
          </cell>
          <cell r="E52">
            <v>281632.61204548727</v>
          </cell>
          <cell r="F52">
            <v>59706113.753643312</v>
          </cell>
        </row>
        <row r="53">
          <cell r="C53" t="str">
            <v>Войковский</v>
          </cell>
          <cell r="D53">
            <v>261</v>
          </cell>
          <cell r="E53">
            <v>319604.20051327557</v>
          </cell>
          <cell r="F53">
            <v>83416696.333964944</v>
          </cell>
        </row>
        <row r="54">
          <cell r="C54" t="str">
            <v>Восточное Дегунино</v>
          </cell>
          <cell r="D54">
            <v>239</v>
          </cell>
          <cell r="E54">
            <v>249754.61559203631</v>
          </cell>
          <cell r="F54">
            <v>59691353.12649668</v>
          </cell>
        </row>
        <row r="55">
          <cell r="C55" t="str">
            <v>Головинский</v>
          </cell>
          <cell r="D55">
            <v>398</v>
          </cell>
          <cell r="E55">
            <v>282084.85728719598</v>
          </cell>
          <cell r="F55">
            <v>112269773.200304</v>
          </cell>
        </row>
        <row r="56">
          <cell r="C56" t="str">
            <v>Дмитровский</v>
          </cell>
          <cell r="D56">
            <v>283</v>
          </cell>
          <cell r="E56">
            <v>246959.4278583432</v>
          </cell>
          <cell r="F56">
            <v>69889518.083911121</v>
          </cell>
        </row>
        <row r="57">
          <cell r="C57" t="str">
            <v>Западное Дегунино</v>
          </cell>
          <cell r="D57">
            <v>376</v>
          </cell>
          <cell r="E57">
            <v>274068.73395229707</v>
          </cell>
          <cell r="F57">
            <v>103049843.96606369</v>
          </cell>
        </row>
        <row r="58">
          <cell r="C58" t="str">
            <v>Коптево</v>
          </cell>
          <cell r="D58">
            <v>301</v>
          </cell>
          <cell r="E58">
            <v>273367.19971573103</v>
          </cell>
          <cell r="F58">
            <v>82283527.114435032</v>
          </cell>
        </row>
        <row r="59">
          <cell r="C59" t="str">
            <v>Левобережный</v>
          </cell>
          <cell r="D59">
            <v>195</v>
          </cell>
          <cell r="E59">
            <v>318417.8138415112</v>
          </cell>
          <cell r="F59">
            <v>62091473.699094683</v>
          </cell>
        </row>
        <row r="60">
          <cell r="C60" t="str">
            <v>Молжаниновский</v>
          </cell>
          <cell r="D60">
            <v>41</v>
          </cell>
          <cell r="E60">
            <v>185356.339250716</v>
          </cell>
          <cell r="F60">
            <v>7599609.9092793548</v>
          </cell>
        </row>
        <row r="61">
          <cell r="C61" t="str">
            <v>Савеловский</v>
          </cell>
          <cell r="D61">
            <v>277</v>
          </cell>
          <cell r="E61">
            <v>322102.65875707997</v>
          </cell>
          <cell r="F61">
            <v>89222436.475711167</v>
          </cell>
        </row>
        <row r="62">
          <cell r="C62" t="str">
            <v>Сокол</v>
          </cell>
          <cell r="D62">
            <v>251</v>
          </cell>
          <cell r="E62">
            <v>349852.43309866713</v>
          </cell>
          <cell r="F62">
            <v>87812960.70776543</v>
          </cell>
        </row>
        <row r="63">
          <cell r="C63" t="str">
            <v>Тимирязевский</v>
          </cell>
          <cell r="D63">
            <v>235</v>
          </cell>
          <cell r="E63">
            <v>300149.08868066798</v>
          </cell>
          <cell r="F63">
            <v>70535035.839956969</v>
          </cell>
        </row>
        <row r="64">
          <cell r="C64" t="str">
            <v>Ховрино</v>
          </cell>
          <cell r="D64">
            <v>364</v>
          </cell>
          <cell r="E64">
            <v>270105.65705640061</v>
          </cell>
          <cell r="F64">
            <v>98318459.168529809</v>
          </cell>
        </row>
        <row r="65">
          <cell r="C65" t="str">
            <v>Хорошевский</v>
          </cell>
          <cell r="D65">
            <v>451</v>
          </cell>
          <cell r="E65">
            <v>375646.92776188551</v>
          </cell>
          <cell r="F65">
            <v>169416764.4206104</v>
          </cell>
        </row>
        <row r="66">
          <cell r="C66" t="str">
            <v>Алексеевский</v>
          </cell>
          <cell r="D66">
            <v>287</v>
          </cell>
          <cell r="E66">
            <v>333960.5714574692</v>
          </cell>
          <cell r="F66">
            <v>95846684.008293658</v>
          </cell>
        </row>
        <row r="67">
          <cell r="C67" t="str">
            <v>Алтуфьевский</v>
          </cell>
          <cell r="D67">
            <v>137</v>
          </cell>
          <cell r="E67">
            <v>269789.1247290601</v>
          </cell>
          <cell r="F67">
            <v>36961110.087881237</v>
          </cell>
        </row>
        <row r="68">
          <cell r="C68" t="str">
            <v>Бабушкинский</v>
          </cell>
          <cell r="D68">
            <v>293</v>
          </cell>
          <cell r="E68">
            <v>286810.16609970911</v>
          </cell>
          <cell r="F68">
            <v>84035378.667214751</v>
          </cell>
        </row>
        <row r="69">
          <cell r="C69" t="str">
            <v>Бибирево</v>
          </cell>
          <cell r="D69">
            <v>306</v>
          </cell>
          <cell r="E69">
            <v>241650.7151260048</v>
          </cell>
          <cell r="F69">
            <v>73945118.828557476</v>
          </cell>
        </row>
        <row r="70">
          <cell r="C70" t="str">
            <v>Бутырский</v>
          </cell>
          <cell r="D70">
            <v>217</v>
          </cell>
          <cell r="E70">
            <v>301051.48277330009</v>
          </cell>
          <cell r="F70">
            <v>65328171.761806123</v>
          </cell>
        </row>
        <row r="71">
          <cell r="C71" t="str">
            <v>Лианозово</v>
          </cell>
          <cell r="D71">
            <v>163</v>
          </cell>
          <cell r="E71">
            <v>257396.70516851329</v>
          </cell>
          <cell r="F71">
            <v>41955662.942467667</v>
          </cell>
        </row>
        <row r="72">
          <cell r="C72" t="str">
            <v>Лосиноостровский</v>
          </cell>
          <cell r="D72">
            <v>251</v>
          </cell>
          <cell r="E72">
            <v>251976.31027066929</v>
          </cell>
          <cell r="F72">
            <v>63246053.877937987</v>
          </cell>
        </row>
        <row r="73">
          <cell r="C73" t="str">
            <v>Марфино</v>
          </cell>
          <cell r="D73">
            <v>219</v>
          </cell>
          <cell r="E73">
            <v>309551.17374288762</v>
          </cell>
          <cell r="F73">
            <v>67791707.049692377</v>
          </cell>
        </row>
        <row r="74">
          <cell r="C74" t="str">
            <v>Марьина Роща</v>
          </cell>
          <cell r="D74">
            <v>277</v>
          </cell>
          <cell r="E74">
            <v>355229.40850876208</v>
          </cell>
          <cell r="F74">
            <v>98398546.156927094</v>
          </cell>
        </row>
        <row r="75">
          <cell r="C75" t="str">
            <v>Останкинский</v>
          </cell>
          <cell r="D75">
            <v>285</v>
          </cell>
          <cell r="E75">
            <v>337208.41504701588</v>
          </cell>
          <cell r="F75">
            <v>96104398.288399547</v>
          </cell>
        </row>
        <row r="76">
          <cell r="C76" t="str">
            <v>Отрадное</v>
          </cell>
          <cell r="D76">
            <v>510</v>
          </cell>
          <cell r="E76">
            <v>260428.60454704391</v>
          </cell>
          <cell r="F76">
            <v>132818588.31899241</v>
          </cell>
        </row>
        <row r="77">
          <cell r="C77" t="str">
            <v>Ростокино</v>
          </cell>
          <cell r="D77">
            <v>138</v>
          </cell>
          <cell r="E77">
            <v>312067.94163542573</v>
          </cell>
          <cell r="F77">
            <v>43065375.945688747</v>
          </cell>
        </row>
        <row r="78">
          <cell r="C78" t="str">
            <v>Свиблово</v>
          </cell>
          <cell r="D78">
            <v>133</v>
          </cell>
          <cell r="E78">
            <v>304025.28928683582</v>
          </cell>
          <cell r="F78">
            <v>40435363.475149147</v>
          </cell>
        </row>
        <row r="79">
          <cell r="C79" t="str">
            <v>Северное Медведково</v>
          </cell>
          <cell r="D79">
            <v>277</v>
          </cell>
          <cell r="E79">
            <v>260520.7072571099</v>
          </cell>
          <cell r="F79">
            <v>72164235.910219446</v>
          </cell>
        </row>
        <row r="80">
          <cell r="C80" t="str">
            <v>Северный</v>
          </cell>
          <cell r="D80">
            <v>140</v>
          </cell>
          <cell r="E80">
            <v>256494.40772667681</v>
          </cell>
          <cell r="F80">
            <v>35909217.081734747</v>
          </cell>
        </row>
        <row r="81">
          <cell r="C81" t="str">
            <v>Южное Медведково</v>
          </cell>
          <cell r="D81">
            <v>212</v>
          </cell>
          <cell r="E81">
            <v>265596.53338772611</v>
          </cell>
          <cell r="F81">
            <v>56306465.078197926</v>
          </cell>
        </row>
        <row r="82">
          <cell r="C82" t="str">
            <v>Ярославский</v>
          </cell>
          <cell r="D82">
            <v>271</v>
          </cell>
          <cell r="E82">
            <v>243765.0171436854</v>
          </cell>
          <cell r="F82">
            <v>66060319.645938747</v>
          </cell>
        </row>
        <row r="83">
          <cell r="C83" t="str">
            <v>Куркино</v>
          </cell>
          <cell r="D83">
            <v>168</v>
          </cell>
          <cell r="E83">
            <v>288021.28055523703</v>
          </cell>
          <cell r="F83">
            <v>48387575.133279808</v>
          </cell>
        </row>
        <row r="84">
          <cell r="C84" t="str">
            <v>Митино</v>
          </cell>
          <cell r="D84">
            <v>413</v>
          </cell>
          <cell r="E84">
            <v>253667.0122850484</v>
          </cell>
          <cell r="F84">
            <v>104764476.073725</v>
          </cell>
        </row>
        <row r="85">
          <cell r="C85" t="str">
            <v>Покровское-Стрешнево</v>
          </cell>
          <cell r="D85">
            <v>321</v>
          </cell>
          <cell r="E85">
            <v>331507.34057958669</v>
          </cell>
          <cell r="F85">
            <v>106413856.3260473</v>
          </cell>
        </row>
        <row r="86">
          <cell r="C86" t="str">
            <v>Северное Тушино</v>
          </cell>
          <cell r="D86">
            <v>315</v>
          </cell>
          <cell r="E86">
            <v>276675.84093456692</v>
          </cell>
          <cell r="F86">
            <v>87152889.894388556</v>
          </cell>
        </row>
        <row r="87">
          <cell r="C87" t="str">
            <v>Строгино</v>
          </cell>
          <cell r="D87">
            <v>254</v>
          </cell>
          <cell r="E87">
            <v>291316.04511169298</v>
          </cell>
          <cell r="F87">
            <v>73994275.45837003</v>
          </cell>
        </row>
        <row r="88">
          <cell r="C88" t="str">
            <v>Хорошево-Мневники</v>
          </cell>
          <cell r="D88">
            <v>654</v>
          </cell>
          <cell r="E88">
            <v>364703.0485885836</v>
          </cell>
          <cell r="F88">
            <v>238515793.7769337</v>
          </cell>
        </row>
        <row r="89">
          <cell r="C89" t="str">
            <v>Щукино</v>
          </cell>
          <cell r="D89">
            <v>301</v>
          </cell>
          <cell r="E89">
            <v>316776.62133717717</v>
          </cell>
          <cell r="F89">
            <v>95349763.022490352</v>
          </cell>
        </row>
        <row r="90">
          <cell r="C90" t="str">
            <v>Южное Тушино</v>
          </cell>
          <cell r="D90">
            <v>263</v>
          </cell>
          <cell r="E90">
            <v>270616.25315800798</v>
          </cell>
          <cell r="F90">
            <v>71172074.580556095</v>
          </cell>
        </row>
        <row r="91">
          <cell r="C91" t="str">
            <v>Вороновское</v>
          </cell>
          <cell r="D91">
            <v>30</v>
          </cell>
          <cell r="E91">
            <v>160495.73235318091</v>
          </cell>
          <cell r="F91">
            <v>4814871.9705954269</v>
          </cell>
        </row>
        <row r="92">
          <cell r="C92" t="str">
            <v>Киевский</v>
          </cell>
          <cell r="D92">
            <v>39</v>
          </cell>
          <cell r="E92">
            <v>164974.70745197299</v>
          </cell>
          <cell r="F92">
            <v>6434013.5906269467</v>
          </cell>
        </row>
        <row r="93">
          <cell r="C93" t="str">
            <v>Кленовское</v>
          </cell>
          <cell r="D93">
            <v>38</v>
          </cell>
          <cell r="E93">
            <v>116855.52244949171</v>
          </cell>
          <cell r="F93">
            <v>4440509.8530806862</v>
          </cell>
        </row>
        <row r="94">
          <cell r="C94" t="str">
            <v>Краснопахорское</v>
          </cell>
          <cell r="D94">
            <v>33</v>
          </cell>
          <cell r="E94">
            <v>152968.22846592529</v>
          </cell>
          <cell r="F94">
            <v>5047951.5393755361</v>
          </cell>
        </row>
        <row r="95">
          <cell r="C95" t="str">
            <v>Михайлово-Ярцевское</v>
          </cell>
          <cell r="D95">
            <v>25</v>
          </cell>
          <cell r="E95">
            <v>162873.30742459089</v>
          </cell>
          <cell r="F95">
            <v>4071832.6856147721</v>
          </cell>
        </row>
        <row r="96">
          <cell r="C96" t="str">
            <v>Новофедоровское</v>
          </cell>
          <cell r="D96">
            <v>31</v>
          </cell>
          <cell r="E96">
            <v>147802.9090115123</v>
          </cell>
          <cell r="F96">
            <v>4581890.1793568814</v>
          </cell>
        </row>
        <row r="97">
          <cell r="C97" t="str">
            <v>Первомайское</v>
          </cell>
          <cell r="D97">
            <v>124</v>
          </cell>
          <cell r="E97">
            <v>162189.37044931241</v>
          </cell>
          <cell r="F97">
            <v>20111481.935714729</v>
          </cell>
        </row>
        <row r="98">
          <cell r="C98" t="str">
            <v>Роговское</v>
          </cell>
          <cell r="D98">
            <v>22</v>
          </cell>
          <cell r="E98">
            <v>113695.2307804658</v>
          </cell>
          <cell r="F98">
            <v>2501295.0771702481</v>
          </cell>
        </row>
        <row r="99">
          <cell r="C99" t="str">
            <v>Троицк</v>
          </cell>
          <cell r="D99">
            <v>215</v>
          </cell>
          <cell r="E99">
            <v>199737.2595439764</v>
          </cell>
          <cell r="F99">
            <v>42943510.801954918</v>
          </cell>
        </row>
        <row r="100">
          <cell r="C100" t="str">
            <v>Щаповское</v>
          </cell>
          <cell r="D100">
            <v>43</v>
          </cell>
          <cell r="E100">
            <v>155722.1304196027</v>
          </cell>
          <cell r="F100">
            <v>6696051.6080429163</v>
          </cell>
        </row>
        <row r="101">
          <cell r="C101" t="str">
            <v>Арбат</v>
          </cell>
          <cell r="D101">
            <v>332</v>
          </cell>
          <cell r="E101">
            <v>729477.74709530454</v>
          </cell>
          <cell r="F101">
            <v>242186612.0356411</v>
          </cell>
        </row>
        <row r="102">
          <cell r="C102" t="str">
            <v>Басманный</v>
          </cell>
          <cell r="D102">
            <v>812</v>
          </cell>
          <cell r="E102">
            <v>462405.59091190668</v>
          </cell>
          <cell r="F102">
            <v>375473339.82046819</v>
          </cell>
        </row>
        <row r="103">
          <cell r="C103" t="str">
            <v>Замоскворечье</v>
          </cell>
          <cell r="D103">
            <v>372</v>
          </cell>
          <cell r="E103">
            <v>541112.08895609272</v>
          </cell>
          <cell r="F103">
            <v>201293697.09166649</v>
          </cell>
        </row>
        <row r="104">
          <cell r="C104" t="str">
            <v>Красносельский</v>
          </cell>
          <cell r="D104">
            <v>274</v>
          </cell>
          <cell r="E104">
            <v>447312.5799041125</v>
          </cell>
          <cell r="F104">
            <v>122563646.8937268</v>
          </cell>
        </row>
        <row r="105">
          <cell r="C105" t="str">
            <v>Мещанский</v>
          </cell>
          <cell r="D105">
            <v>414</v>
          </cell>
          <cell r="E105">
            <v>459642.21026088001</v>
          </cell>
          <cell r="F105">
            <v>190291875.0480043</v>
          </cell>
        </row>
        <row r="106">
          <cell r="C106" t="str">
            <v>Пресненский</v>
          </cell>
          <cell r="D106">
            <v>1119</v>
          </cell>
          <cell r="E106">
            <v>601463.92076758062</v>
          </cell>
          <cell r="F106">
            <v>673038127.33892274</v>
          </cell>
        </row>
        <row r="107">
          <cell r="C107" t="str">
            <v>Таганский</v>
          </cell>
          <cell r="D107">
            <v>637</v>
          </cell>
          <cell r="E107">
            <v>407588.42786064232</v>
          </cell>
          <cell r="F107">
            <v>259633828.54722911</v>
          </cell>
        </row>
        <row r="108">
          <cell r="C108" t="str">
            <v>Тверской</v>
          </cell>
          <cell r="D108">
            <v>804</v>
          </cell>
          <cell r="E108">
            <v>585709.2973866422</v>
          </cell>
          <cell r="F108">
            <v>470910275.09886032</v>
          </cell>
        </row>
        <row r="109">
          <cell r="C109" t="str">
            <v>Хамовники</v>
          </cell>
          <cell r="D109">
            <v>777</v>
          </cell>
          <cell r="E109">
            <v>718147.2154589264</v>
          </cell>
          <cell r="F109">
            <v>558000386.41158581</v>
          </cell>
        </row>
        <row r="110">
          <cell r="C110" t="str">
            <v>Якиманка</v>
          </cell>
          <cell r="D110">
            <v>167</v>
          </cell>
          <cell r="E110">
            <v>719128.1847120513</v>
          </cell>
          <cell r="F110">
            <v>120094406.84691259</v>
          </cell>
        </row>
        <row r="111">
          <cell r="C111" t="str">
            <v>Выхино-Жулебино</v>
          </cell>
          <cell r="D111">
            <v>674</v>
          </cell>
          <cell r="E111">
            <v>244186.12815916919</v>
          </cell>
          <cell r="F111">
            <v>164581450.37928009</v>
          </cell>
        </row>
        <row r="112">
          <cell r="C112" t="str">
            <v>Капотня</v>
          </cell>
          <cell r="D112">
            <v>68</v>
          </cell>
          <cell r="E112">
            <v>228973.68455449611</v>
          </cell>
          <cell r="F112">
            <v>15570210.54970574</v>
          </cell>
        </row>
        <row r="113">
          <cell r="C113" t="str">
            <v>Кузьминки</v>
          </cell>
          <cell r="D113">
            <v>365</v>
          </cell>
          <cell r="E113">
            <v>258803.11176423641</v>
          </cell>
          <cell r="F113">
            <v>94463135.793946296</v>
          </cell>
        </row>
        <row r="114">
          <cell r="C114" t="str">
            <v>Лефортово</v>
          </cell>
          <cell r="D114">
            <v>309</v>
          </cell>
          <cell r="E114">
            <v>310098.88508787687</v>
          </cell>
          <cell r="F114">
            <v>95820555.492153972</v>
          </cell>
        </row>
        <row r="115">
          <cell r="C115" t="str">
            <v>Люблино</v>
          </cell>
          <cell r="D115">
            <v>673</v>
          </cell>
          <cell r="E115">
            <v>246579.0021171371</v>
          </cell>
          <cell r="F115">
            <v>165947668.4248333</v>
          </cell>
        </row>
        <row r="116">
          <cell r="C116" t="str">
            <v>Марьино</v>
          </cell>
          <cell r="D116">
            <v>703</v>
          </cell>
          <cell r="E116">
            <v>248651.72222820701</v>
          </cell>
          <cell r="F116">
            <v>174802160.72642949</v>
          </cell>
        </row>
        <row r="117">
          <cell r="C117" t="str">
            <v>Некрасовка</v>
          </cell>
          <cell r="D117">
            <v>310</v>
          </cell>
          <cell r="E117">
            <v>207484.818767597</v>
          </cell>
          <cell r="F117">
            <v>64320293.817955062</v>
          </cell>
        </row>
        <row r="118">
          <cell r="C118" t="str">
            <v>Нижегородский</v>
          </cell>
          <cell r="D118">
            <v>304</v>
          </cell>
          <cell r="E118">
            <v>292065.6272166968</v>
          </cell>
          <cell r="F118">
            <v>88787950.673875824</v>
          </cell>
        </row>
        <row r="119">
          <cell r="C119" t="str">
            <v>Печатники</v>
          </cell>
          <cell r="D119">
            <v>229</v>
          </cell>
          <cell r="E119">
            <v>257202.38109645521</v>
          </cell>
          <cell r="F119">
            <v>58899345.271088228</v>
          </cell>
        </row>
        <row r="120">
          <cell r="C120" t="str">
            <v>Рязанский</v>
          </cell>
          <cell r="D120">
            <v>374</v>
          </cell>
          <cell r="E120">
            <v>267082.06807665899</v>
          </cell>
          <cell r="F120">
            <v>99888693.460670471</v>
          </cell>
        </row>
        <row r="121">
          <cell r="C121" t="str">
            <v>Текстильщики</v>
          </cell>
          <cell r="D121">
            <v>307</v>
          </cell>
          <cell r="E121">
            <v>252931.82522152091</v>
          </cell>
          <cell r="F121">
            <v>77650070.343006909</v>
          </cell>
        </row>
        <row r="122">
          <cell r="C122" t="str">
            <v>Южнопортовый</v>
          </cell>
          <cell r="D122">
            <v>352</v>
          </cell>
          <cell r="E122">
            <v>308148.14183986711</v>
          </cell>
          <cell r="F122">
            <v>108468145.9276332</v>
          </cell>
        </row>
        <row r="123">
          <cell r="C123" t="str">
            <v>Академический</v>
          </cell>
          <cell r="D123">
            <v>413</v>
          </cell>
          <cell r="E123">
            <v>337011.21307912742</v>
          </cell>
          <cell r="F123">
            <v>139185631.0016796</v>
          </cell>
        </row>
        <row r="124">
          <cell r="C124" t="str">
            <v>Гагаринский</v>
          </cell>
          <cell r="D124">
            <v>299</v>
          </cell>
          <cell r="E124">
            <v>405233.23687189817</v>
          </cell>
          <cell r="F124">
            <v>121164737.8246976</v>
          </cell>
        </row>
        <row r="125">
          <cell r="C125" t="str">
            <v>Зюзино</v>
          </cell>
          <cell r="D125">
            <v>323</v>
          </cell>
          <cell r="E125">
            <v>303752.32963597722</v>
          </cell>
          <cell r="F125">
            <v>98112002.472420618</v>
          </cell>
        </row>
        <row r="126">
          <cell r="C126" t="str">
            <v>Коньково</v>
          </cell>
          <cell r="D126">
            <v>430</v>
          </cell>
          <cell r="E126">
            <v>294277.18925145699</v>
          </cell>
          <cell r="F126">
            <v>126539191.3781265</v>
          </cell>
        </row>
        <row r="127">
          <cell r="C127" t="str">
            <v>Котловка</v>
          </cell>
          <cell r="D127">
            <v>213</v>
          </cell>
          <cell r="E127">
            <v>303121.56574600149</v>
          </cell>
          <cell r="F127">
            <v>64564893.50389833</v>
          </cell>
        </row>
        <row r="128">
          <cell r="C128" t="str">
            <v>Ломоносовский</v>
          </cell>
          <cell r="D128">
            <v>400</v>
          </cell>
          <cell r="E128">
            <v>355492.65508444072</v>
          </cell>
          <cell r="F128">
            <v>142197062.03377631</v>
          </cell>
        </row>
        <row r="129">
          <cell r="C129" t="str">
            <v>Обручевский</v>
          </cell>
          <cell r="D129">
            <v>336</v>
          </cell>
          <cell r="E129">
            <v>339665.94294910663</v>
          </cell>
          <cell r="F129">
            <v>114127756.8308998</v>
          </cell>
        </row>
        <row r="130">
          <cell r="C130" t="str">
            <v>Северное Бутово</v>
          </cell>
          <cell r="D130">
            <v>226</v>
          </cell>
          <cell r="E130">
            <v>246895.91778057409</v>
          </cell>
          <cell r="F130">
            <v>55798477.41840975</v>
          </cell>
        </row>
        <row r="131">
          <cell r="C131" t="str">
            <v>Теплый Стан</v>
          </cell>
          <cell r="D131">
            <v>429</v>
          </cell>
          <cell r="E131">
            <v>277276.06191566901</v>
          </cell>
          <cell r="F131">
            <v>118951430.561822</v>
          </cell>
        </row>
        <row r="132">
          <cell r="C132" t="str">
            <v>Черемушки</v>
          </cell>
          <cell r="D132">
            <v>492</v>
          </cell>
          <cell r="E132">
            <v>323592.24823619972</v>
          </cell>
          <cell r="F132">
            <v>159207386.1322102</v>
          </cell>
        </row>
        <row r="133">
          <cell r="C133" t="str">
            <v>Южное Бутово</v>
          </cell>
          <cell r="D133">
            <v>668</v>
          </cell>
          <cell r="E133">
            <v>222213.3539182969</v>
          </cell>
          <cell r="F133">
            <v>148438520.41742229</v>
          </cell>
        </row>
        <row r="134">
          <cell r="C134" t="str">
            <v>Ясенево</v>
          </cell>
          <cell r="D134">
            <v>393</v>
          </cell>
          <cell r="E134">
            <v>258225.88062626121</v>
          </cell>
          <cell r="F134">
            <v>101482771.08612069</v>
          </cell>
        </row>
        <row r="135">
          <cell r="C135" t="str">
            <v>Бирюлёво Восточное</v>
          </cell>
          <cell r="D135">
            <v>305</v>
          </cell>
          <cell r="E135">
            <v>225937.04338689399</v>
          </cell>
          <cell r="F135">
            <v>68910798.233002678</v>
          </cell>
        </row>
        <row r="136">
          <cell r="C136" t="str">
            <v>Бирюлёво Западное</v>
          </cell>
          <cell r="D136">
            <v>209</v>
          </cell>
          <cell r="E136">
            <v>226544.00335798829</v>
          </cell>
          <cell r="F136">
            <v>47347696.701819547</v>
          </cell>
        </row>
        <row r="137">
          <cell r="C137" t="str">
            <v>Братеево</v>
          </cell>
          <cell r="D137">
            <v>198</v>
          </cell>
          <cell r="E137">
            <v>250044.09535652961</v>
          </cell>
          <cell r="F137">
            <v>49508730.880592868</v>
          </cell>
        </row>
        <row r="138">
          <cell r="C138" t="str">
            <v>Даниловский</v>
          </cell>
          <cell r="D138">
            <v>574</v>
          </cell>
          <cell r="E138">
            <v>369720.66422249941</v>
          </cell>
          <cell r="F138">
            <v>212219661.26371461</v>
          </cell>
        </row>
        <row r="139">
          <cell r="C139" t="str">
            <v>Донской</v>
          </cell>
          <cell r="D139">
            <v>203</v>
          </cell>
          <cell r="E139">
            <v>347858.9916940055</v>
          </cell>
          <cell r="F139">
            <v>70615375.313883111</v>
          </cell>
        </row>
        <row r="140">
          <cell r="C140" t="str">
            <v>Зябликово</v>
          </cell>
          <cell r="D140">
            <v>262</v>
          </cell>
          <cell r="E140">
            <v>246792.00572331159</v>
          </cell>
          <cell r="F140">
            <v>64659505.499507643</v>
          </cell>
        </row>
        <row r="141">
          <cell r="C141" t="str">
            <v>Москворечье-Сабурово</v>
          </cell>
          <cell r="D141">
            <v>224</v>
          </cell>
          <cell r="E141">
            <v>273449.68389473378</v>
          </cell>
          <cell r="F141">
            <v>61252729.192420363</v>
          </cell>
        </row>
        <row r="142">
          <cell r="C142" t="str">
            <v>Нагатино-Садовники</v>
          </cell>
          <cell r="D142">
            <v>336</v>
          </cell>
          <cell r="E142">
            <v>299360.82905977429</v>
          </cell>
          <cell r="F142">
            <v>100585238.5640842</v>
          </cell>
        </row>
        <row r="143">
          <cell r="C143" t="str">
            <v>Нагатинский Затон</v>
          </cell>
          <cell r="D143">
            <v>297</v>
          </cell>
          <cell r="E143">
            <v>296163.9732162148</v>
          </cell>
          <cell r="F143">
            <v>87960700.0452158</v>
          </cell>
        </row>
        <row r="144">
          <cell r="C144" t="str">
            <v>Нагорный</v>
          </cell>
          <cell r="D144">
            <v>259</v>
          </cell>
          <cell r="E144">
            <v>290670.22809641273</v>
          </cell>
          <cell r="F144">
            <v>75283589.07697089</v>
          </cell>
        </row>
        <row r="145">
          <cell r="C145" t="str">
            <v>Орехово-Борисово Северное</v>
          </cell>
          <cell r="D145">
            <v>227</v>
          </cell>
          <cell r="E145">
            <v>254375.32368629979</v>
          </cell>
          <cell r="F145">
            <v>57743198.476790048</v>
          </cell>
        </row>
        <row r="146">
          <cell r="C146" t="str">
            <v>Орехово-Борисово Южное</v>
          </cell>
          <cell r="D146">
            <v>337</v>
          </cell>
          <cell r="E146">
            <v>248689.02263412741</v>
          </cell>
          <cell r="F146">
            <v>83808200.627700925</v>
          </cell>
        </row>
        <row r="147">
          <cell r="C147" t="str">
            <v>Царицыно</v>
          </cell>
          <cell r="D147">
            <v>350</v>
          </cell>
          <cell r="E147">
            <v>264297.58815992548</v>
          </cell>
          <cell r="F147">
            <v>92504155.855973944</v>
          </cell>
        </row>
        <row r="148">
          <cell r="C148" t="str">
            <v>Чертаново Северное</v>
          </cell>
          <cell r="D148">
            <v>234</v>
          </cell>
          <cell r="E148">
            <v>270510.69424018322</v>
          </cell>
          <cell r="F148">
            <v>63299502.452202857</v>
          </cell>
        </row>
        <row r="149">
          <cell r="C149" t="str">
            <v>Чертаново Центральное</v>
          </cell>
          <cell r="D149">
            <v>275</v>
          </cell>
          <cell r="E149">
            <v>262215.96824077779</v>
          </cell>
          <cell r="F149">
            <v>72109391.266213894</v>
          </cell>
        </row>
        <row r="150">
          <cell r="C150" t="str">
            <v>Чертаново Южное</v>
          </cell>
          <cell r="D150">
            <v>342</v>
          </cell>
          <cell r="E150">
            <v>251574.2932791838</v>
          </cell>
          <cell r="F150">
            <v>86038408.30148086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осква_продажа_АО"/>
      <sheetName val="Москва_продажа_районы"/>
    </sheetNames>
    <sheetDataSet>
      <sheetData sheetId="0"/>
      <sheetData sheetId="1">
        <row r="2">
          <cell r="C2" t="str">
            <v>Богородское</v>
          </cell>
          <cell r="D2">
            <v>422</v>
          </cell>
          <cell r="E2">
            <v>312025.57047002518</v>
          </cell>
          <cell r="F2">
            <v>131674790.7383506</v>
          </cell>
        </row>
        <row r="3">
          <cell r="C3" t="str">
            <v>Вешняки</v>
          </cell>
          <cell r="D3">
            <v>395</v>
          </cell>
          <cell r="E3">
            <v>249897.6863177997</v>
          </cell>
          <cell r="F3">
            <v>98709586.095530868</v>
          </cell>
        </row>
        <row r="4">
          <cell r="C4" t="str">
            <v>Восточное Измайлово</v>
          </cell>
          <cell r="D4">
            <v>243</v>
          </cell>
          <cell r="E4">
            <v>284412.52929667331</v>
          </cell>
          <cell r="F4">
            <v>69112244.619091615</v>
          </cell>
        </row>
        <row r="5">
          <cell r="C5" t="str">
            <v>Восточный</v>
          </cell>
          <cell r="D5">
            <v>54</v>
          </cell>
          <cell r="E5">
            <v>237491.56918397921</v>
          </cell>
          <cell r="F5">
            <v>12824544.73593488</v>
          </cell>
        </row>
        <row r="6">
          <cell r="C6" t="str">
            <v>Гольяново</v>
          </cell>
          <cell r="D6">
            <v>539</v>
          </cell>
          <cell r="E6">
            <v>262165.30448389519</v>
          </cell>
          <cell r="F6">
            <v>141307099.1168195</v>
          </cell>
        </row>
        <row r="7">
          <cell r="C7" t="str">
            <v>Ивановское</v>
          </cell>
          <cell r="D7">
            <v>330</v>
          </cell>
          <cell r="E7">
            <v>250550.97326952111</v>
          </cell>
          <cell r="F7">
            <v>82681821.178941965</v>
          </cell>
        </row>
        <row r="8">
          <cell r="C8" t="str">
            <v>Измайлово</v>
          </cell>
          <cell r="D8">
            <v>316</v>
          </cell>
          <cell r="E8">
            <v>293328.27289756108</v>
          </cell>
          <cell r="F8">
            <v>92691734.235629305</v>
          </cell>
        </row>
        <row r="9">
          <cell r="C9" t="str">
            <v>Косино-Ухтомский</v>
          </cell>
          <cell r="D9">
            <v>224</v>
          </cell>
          <cell r="E9">
            <v>248782.4547715236</v>
          </cell>
          <cell r="F9">
            <v>55727269.868821278</v>
          </cell>
        </row>
        <row r="10">
          <cell r="C10" t="str">
            <v>Метрогородок</v>
          </cell>
          <cell r="D10">
            <v>149</v>
          </cell>
          <cell r="E10">
            <v>296620.51679219928</v>
          </cell>
          <cell r="F10">
            <v>44196457.002037697</v>
          </cell>
        </row>
        <row r="11">
          <cell r="C11" t="str">
            <v>Новогиреево</v>
          </cell>
          <cell r="D11">
            <v>292</v>
          </cell>
          <cell r="E11">
            <v>288070.55485380639</v>
          </cell>
          <cell r="F11">
            <v>84116602.017311469</v>
          </cell>
        </row>
        <row r="12">
          <cell r="C12" t="str">
            <v>Новокосино</v>
          </cell>
          <cell r="D12">
            <v>163</v>
          </cell>
          <cell r="E12">
            <v>257981.77700322709</v>
          </cell>
          <cell r="F12">
            <v>42051029.651526019</v>
          </cell>
        </row>
        <row r="13">
          <cell r="C13" t="str">
            <v>Перово</v>
          </cell>
          <cell r="D13">
            <v>426</v>
          </cell>
          <cell r="E13">
            <v>278479.46463547769</v>
          </cell>
          <cell r="F13">
            <v>118632251.9347135</v>
          </cell>
        </row>
        <row r="14">
          <cell r="C14" t="str">
            <v>Преображенское</v>
          </cell>
          <cell r="D14">
            <v>313</v>
          </cell>
          <cell r="E14">
            <v>324675.04966289271</v>
          </cell>
          <cell r="F14">
            <v>101623290.54448541</v>
          </cell>
        </row>
        <row r="15">
          <cell r="C15" t="str">
            <v>Северное Измайлово</v>
          </cell>
          <cell r="D15">
            <v>330</v>
          </cell>
          <cell r="E15">
            <v>287361.82554156432</v>
          </cell>
          <cell r="F15">
            <v>94829402.428716213</v>
          </cell>
        </row>
        <row r="16">
          <cell r="C16" t="str">
            <v>Соколиная Гора</v>
          </cell>
          <cell r="D16">
            <v>390</v>
          </cell>
          <cell r="E16">
            <v>304456.49752875092</v>
          </cell>
          <cell r="F16">
            <v>118738034.0362128</v>
          </cell>
        </row>
        <row r="17">
          <cell r="C17" t="str">
            <v>Сокольники</v>
          </cell>
          <cell r="D17">
            <v>234</v>
          </cell>
          <cell r="E17">
            <v>383449.14743942168</v>
          </cell>
          <cell r="F17">
            <v>89727100.50082469</v>
          </cell>
        </row>
        <row r="18">
          <cell r="C18" t="str">
            <v>Внуково</v>
          </cell>
          <cell r="D18">
            <v>76</v>
          </cell>
          <cell r="E18">
            <v>224488.93311464891</v>
          </cell>
          <cell r="F18">
            <v>17061158.91671332</v>
          </cell>
        </row>
        <row r="19">
          <cell r="C19" t="str">
            <v>Дорогомилово</v>
          </cell>
          <cell r="D19">
            <v>360</v>
          </cell>
          <cell r="E19">
            <v>515941.91165271832</v>
          </cell>
          <cell r="F19">
            <v>185739088.19497859</v>
          </cell>
        </row>
        <row r="20">
          <cell r="C20" t="str">
            <v>Крылатское</v>
          </cell>
          <cell r="D20">
            <v>211</v>
          </cell>
          <cell r="E20">
            <v>370122.77424991032</v>
          </cell>
          <cell r="F20">
            <v>78095905.366731077</v>
          </cell>
        </row>
        <row r="21">
          <cell r="C21" t="str">
            <v>Кунцево</v>
          </cell>
          <cell r="D21">
            <v>508</v>
          </cell>
          <cell r="E21">
            <v>328218.84835742868</v>
          </cell>
          <cell r="F21">
            <v>166735174.96557379</v>
          </cell>
        </row>
        <row r="22">
          <cell r="C22" t="str">
            <v>Можайский</v>
          </cell>
          <cell r="D22">
            <v>647</v>
          </cell>
          <cell r="E22">
            <v>317495.61512565182</v>
          </cell>
          <cell r="F22">
            <v>205419662.98629671</v>
          </cell>
        </row>
        <row r="23">
          <cell r="C23" t="str">
            <v>Ново-Переделкино</v>
          </cell>
          <cell r="D23">
            <v>260</v>
          </cell>
          <cell r="E23">
            <v>257809.82213082761</v>
          </cell>
          <cell r="F23">
            <v>67030553.754015163</v>
          </cell>
        </row>
        <row r="24">
          <cell r="C24" t="str">
            <v>Очаково-Матвеевское</v>
          </cell>
          <cell r="D24">
            <v>382</v>
          </cell>
          <cell r="E24">
            <v>319322.21835715149</v>
          </cell>
          <cell r="F24">
            <v>121981087.4124319</v>
          </cell>
        </row>
        <row r="25">
          <cell r="C25" t="str">
            <v>Проспект Вернадского</v>
          </cell>
          <cell r="D25">
            <v>264</v>
          </cell>
          <cell r="E25">
            <v>426538.84918919572</v>
          </cell>
          <cell r="F25">
            <v>112606256.1859477</v>
          </cell>
        </row>
        <row r="26">
          <cell r="C26" t="str">
            <v>Раменки</v>
          </cell>
          <cell r="D26">
            <v>611</v>
          </cell>
          <cell r="E26">
            <v>464325.87053057941</v>
          </cell>
          <cell r="F26">
            <v>283703106.89418399</v>
          </cell>
        </row>
        <row r="27">
          <cell r="C27" t="str">
            <v>Солнцево</v>
          </cell>
          <cell r="D27">
            <v>348</v>
          </cell>
          <cell r="E27">
            <v>270815.64362912328</v>
          </cell>
          <cell r="F27">
            <v>94243843.982934907</v>
          </cell>
        </row>
        <row r="28">
          <cell r="C28" t="str">
            <v>Тропарево-Никулино</v>
          </cell>
          <cell r="D28">
            <v>395</v>
          </cell>
          <cell r="E28">
            <v>369556.83712282788</v>
          </cell>
          <cell r="F28">
            <v>145974950.663517</v>
          </cell>
        </row>
        <row r="29">
          <cell r="C29" t="str">
            <v>Филевский Парк</v>
          </cell>
          <cell r="D29">
            <v>276</v>
          </cell>
          <cell r="E29">
            <v>381430.81518641079</v>
          </cell>
          <cell r="F29">
            <v>105274904.9914494</v>
          </cell>
        </row>
        <row r="30">
          <cell r="C30" t="str">
            <v>Фили-Давыдково</v>
          </cell>
          <cell r="D30">
            <v>335</v>
          </cell>
          <cell r="E30">
            <v>365308.66093565407</v>
          </cell>
          <cell r="F30">
            <v>122378401.4134441</v>
          </cell>
        </row>
        <row r="31">
          <cell r="C31" t="str">
            <v>10-й</v>
          </cell>
          <cell r="D31">
            <v>1</v>
          </cell>
          <cell r="E31">
            <v>206730.76923076919</v>
          </cell>
          <cell r="F31">
            <v>206730.76923076919</v>
          </cell>
        </row>
        <row r="32">
          <cell r="C32" t="str">
            <v>14-й</v>
          </cell>
          <cell r="D32">
            <v>5</v>
          </cell>
          <cell r="E32">
            <v>236166.47647796531</v>
          </cell>
          <cell r="F32">
            <v>1180832.3823898269</v>
          </cell>
        </row>
        <row r="33">
          <cell r="C33" t="str">
            <v>15-й</v>
          </cell>
          <cell r="D33">
            <v>533</v>
          </cell>
          <cell r="E33">
            <v>230440.84886443059</v>
          </cell>
          <cell r="F33">
            <v>122824972.4447415</v>
          </cell>
        </row>
        <row r="34">
          <cell r="C34" t="str">
            <v>17-й</v>
          </cell>
          <cell r="D34">
            <v>10</v>
          </cell>
          <cell r="E34">
            <v>269754.22204260738</v>
          </cell>
          <cell r="F34">
            <v>2697542.2204260742</v>
          </cell>
        </row>
        <row r="35">
          <cell r="C35" t="str">
            <v>19-й</v>
          </cell>
          <cell r="D35">
            <v>33</v>
          </cell>
          <cell r="E35">
            <v>225572.7051952093</v>
          </cell>
          <cell r="F35">
            <v>7443899.2714419067</v>
          </cell>
        </row>
        <row r="36">
          <cell r="C36" t="str">
            <v>Крюково</v>
          </cell>
          <cell r="D36">
            <v>1</v>
          </cell>
          <cell r="E36">
            <v>140540.5405405405</v>
          </cell>
          <cell r="F36">
            <v>140540.5405405405</v>
          </cell>
        </row>
        <row r="37">
          <cell r="C37" t="str">
            <v>Матушкино</v>
          </cell>
          <cell r="D37">
            <v>2</v>
          </cell>
          <cell r="E37">
            <v>333272.5971778488</v>
          </cell>
          <cell r="F37">
            <v>666545.1943556976</v>
          </cell>
        </row>
        <row r="38">
          <cell r="C38" t="str">
            <v>Внуковское</v>
          </cell>
          <cell r="D38">
            <v>359</v>
          </cell>
          <cell r="E38">
            <v>272558.19788030052</v>
          </cell>
          <cell r="F38">
            <v>97848393.039027885</v>
          </cell>
        </row>
        <row r="39">
          <cell r="C39" t="str">
            <v>Воскресенское</v>
          </cell>
          <cell r="D39">
            <v>90</v>
          </cell>
          <cell r="E39">
            <v>225156.61068866911</v>
          </cell>
          <cell r="F39">
            <v>20264094.96198022</v>
          </cell>
        </row>
        <row r="40">
          <cell r="C40" t="str">
            <v>Десеновское</v>
          </cell>
          <cell r="D40">
            <v>587</v>
          </cell>
          <cell r="E40">
            <v>221183.16616344289</v>
          </cell>
          <cell r="F40">
            <v>129834518.53794099</v>
          </cell>
        </row>
        <row r="41">
          <cell r="C41" t="str">
            <v>Кокошкино</v>
          </cell>
          <cell r="D41">
            <v>130</v>
          </cell>
          <cell r="E41">
            <v>195990.20386845811</v>
          </cell>
          <cell r="F41">
            <v>25478726.50289955</v>
          </cell>
        </row>
        <row r="42">
          <cell r="C42" t="str">
            <v>Марушкинское</v>
          </cell>
          <cell r="D42">
            <v>129</v>
          </cell>
          <cell r="E42">
            <v>198370.4705524923</v>
          </cell>
          <cell r="F42">
            <v>25589790.701271512</v>
          </cell>
        </row>
        <row r="43">
          <cell r="C43" t="str">
            <v>Московский</v>
          </cell>
          <cell r="D43">
            <v>707</v>
          </cell>
          <cell r="E43">
            <v>274466.6265370695</v>
          </cell>
          <cell r="F43">
            <v>194047904.9617081</v>
          </cell>
        </row>
        <row r="44">
          <cell r="C44" t="str">
            <v>Мосрентген</v>
          </cell>
          <cell r="D44">
            <v>61</v>
          </cell>
          <cell r="E44">
            <v>219706.24915326969</v>
          </cell>
          <cell r="F44">
            <v>13402081.19834945</v>
          </cell>
        </row>
        <row r="45">
          <cell r="C45" t="str">
            <v>Рязановское</v>
          </cell>
          <cell r="D45">
            <v>284</v>
          </cell>
          <cell r="E45">
            <v>198410.4860060754</v>
          </cell>
          <cell r="F45">
            <v>56348578.025725417</v>
          </cell>
        </row>
        <row r="46">
          <cell r="C46" t="str">
            <v>Сосенское</v>
          </cell>
          <cell r="D46">
            <v>1142</v>
          </cell>
          <cell r="E46">
            <v>275744.02936973458</v>
          </cell>
          <cell r="F46">
            <v>314899681.54023689</v>
          </cell>
        </row>
        <row r="47">
          <cell r="C47" t="str">
            <v>Филимонковское</v>
          </cell>
          <cell r="D47">
            <v>283</v>
          </cell>
          <cell r="E47">
            <v>201294.79730264549</v>
          </cell>
          <cell r="F47">
            <v>56966427.636648677</v>
          </cell>
        </row>
        <row r="48">
          <cell r="C48" t="str">
            <v>Щербинка</v>
          </cell>
          <cell r="D48">
            <v>154</v>
          </cell>
          <cell r="E48">
            <v>202745.55957594019</v>
          </cell>
          <cell r="F48">
            <v>31222816.174694791</v>
          </cell>
        </row>
        <row r="49">
          <cell r="C49" t="str">
            <v>Аэропорт</v>
          </cell>
          <cell r="D49">
            <v>343</v>
          </cell>
          <cell r="E49">
            <v>369916.0821817253</v>
          </cell>
          <cell r="F49">
            <v>126881216.1883318</v>
          </cell>
        </row>
        <row r="50">
          <cell r="C50" t="str">
            <v>Беговой</v>
          </cell>
          <cell r="D50">
            <v>274</v>
          </cell>
          <cell r="E50">
            <v>409050.8249194604</v>
          </cell>
          <cell r="F50">
            <v>112079926.0279322</v>
          </cell>
        </row>
        <row r="51">
          <cell r="C51" t="str">
            <v>Бескудниковский</v>
          </cell>
          <cell r="D51">
            <v>223</v>
          </cell>
          <cell r="E51">
            <v>302859.98143408512</v>
          </cell>
          <cell r="F51">
            <v>67537775.859800979</v>
          </cell>
        </row>
        <row r="52">
          <cell r="C52" t="str">
            <v>Войковский</v>
          </cell>
          <cell r="D52">
            <v>238</v>
          </cell>
          <cell r="E52">
            <v>340230.6454990799</v>
          </cell>
          <cell r="F52">
            <v>80974893.628781021</v>
          </cell>
        </row>
        <row r="53">
          <cell r="C53" t="str">
            <v>Восточное Дегунино</v>
          </cell>
          <cell r="D53">
            <v>240</v>
          </cell>
          <cell r="E53">
            <v>265031.17637437233</v>
          </cell>
          <cell r="F53">
            <v>63607482.329849347</v>
          </cell>
        </row>
        <row r="54">
          <cell r="C54" t="str">
            <v>Головинский</v>
          </cell>
          <cell r="D54">
            <v>357</v>
          </cell>
          <cell r="E54">
            <v>305178.56579207222</v>
          </cell>
          <cell r="F54">
            <v>108948747.9877698</v>
          </cell>
        </row>
        <row r="55">
          <cell r="C55" t="str">
            <v>Дмитровский</v>
          </cell>
          <cell r="D55">
            <v>262</v>
          </cell>
          <cell r="E55">
            <v>278748.94155691698</v>
          </cell>
          <cell r="F55">
            <v>73032222.687912256</v>
          </cell>
        </row>
        <row r="56">
          <cell r="C56" t="str">
            <v>Западное Дегунино</v>
          </cell>
          <cell r="D56">
            <v>254</v>
          </cell>
          <cell r="E56">
            <v>281235.69765328121</v>
          </cell>
          <cell r="F56">
            <v>71433867.203933418</v>
          </cell>
        </row>
        <row r="57">
          <cell r="C57" t="str">
            <v>Коптево</v>
          </cell>
          <cell r="D57">
            <v>340</v>
          </cell>
          <cell r="E57">
            <v>306328.13793345768</v>
          </cell>
          <cell r="F57">
            <v>104151566.8973756</v>
          </cell>
        </row>
        <row r="58">
          <cell r="C58" t="str">
            <v>Левобережный</v>
          </cell>
          <cell r="D58">
            <v>170</v>
          </cell>
          <cell r="E58">
            <v>337301.40092281648</v>
          </cell>
          <cell r="F58">
            <v>57341238.156878807</v>
          </cell>
        </row>
        <row r="59">
          <cell r="C59" t="str">
            <v>Молжаниновский</v>
          </cell>
          <cell r="D59">
            <v>52</v>
          </cell>
          <cell r="E59">
            <v>192808.88942273191</v>
          </cell>
          <cell r="F59">
            <v>10026062.249982061</v>
          </cell>
        </row>
        <row r="60">
          <cell r="C60" t="str">
            <v>Савеловский</v>
          </cell>
          <cell r="D60">
            <v>268</v>
          </cell>
          <cell r="E60">
            <v>372997.97917825449</v>
          </cell>
          <cell r="F60">
            <v>99963458.419772208</v>
          </cell>
        </row>
        <row r="61">
          <cell r="C61" t="str">
            <v>Сокол</v>
          </cell>
          <cell r="D61">
            <v>256</v>
          </cell>
          <cell r="E61">
            <v>398978.53483789013</v>
          </cell>
          <cell r="F61">
            <v>102138504.9184999</v>
          </cell>
        </row>
        <row r="62">
          <cell r="C62" t="str">
            <v>Тимирязевский</v>
          </cell>
          <cell r="D62">
            <v>255</v>
          </cell>
          <cell r="E62">
            <v>324370.25611179689</v>
          </cell>
          <cell r="F62">
            <v>82714415.308508202</v>
          </cell>
        </row>
        <row r="63">
          <cell r="C63" t="str">
            <v>Ховрино</v>
          </cell>
          <cell r="D63">
            <v>365</v>
          </cell>
          <cell r="E63">
            <v>294573.94247989479</v>
          </cell>
          <cell r="F63">
            <v>107519489.0051616</v>
          </cell>
        </row>
        <row r="64">
          <cell r="C64" t="str">
            <v>Хорошевский</v>
          </cell>
          <cell r="D64">
            <v>316</v>
          </cell>
          <cell r="E64">
            <v>400984.01297391538</v>
          </cell>
          <cell r="F64">
            <v>126710948.0997573</v>
          </cell>
        </row>
        <row r="65">
          <cell r="C65" t="str">
            <v>Алексеевский</v>
          </cell>
          <cell r="D65">
            <v>240</v>
          </cell>
          <cell r="E65">
            <v>361362.03351000982</v>
          </cell>
          <cell r="F65">
            <v>86726888.042402342</v>
          </cell>
        </row>
        <row r="66">
          <cell r="C66" t="str">
            <v>Алтуфьевский</v>
          </cell>
          <cell r="D66">
            <v>102</v>
          </cell>
          <cell r="E66">
            <v>268438.64862840518</v>
          </cell>
          <cell r="F66">
            <v>27380742.160097331</v>
          </cell>
        </row>
        <row r="67">
          <cell r="C67" t="str">
            <v>Бабушкинский</v>
          </cell>
          <cell r="D67">
            <v>232</v>
          </cell>
          <cell r="E67">
            <v>303958.25314345281</v>
          </cell>
          <cell r="F67">
            <v>70518314.729281053</v>
          </cell>
        </row>
        <row r="68">
          <cell r="C68" t="str">
            <v>Бибирево</v>
          </cell>
          <cell r="D68">
            <v>356</v>
          </cell>
          <cell r="E68">
            <v>262209.28775701212</v>
          </cell>
          <cell r="F68">
            <v>93346506.441496298</v>
          </cell>
        </row>
        <row r="69">
          <cell r="C69" t="str">
            <v>Бутырский</v>
          </cell>
          <cell r="D69">
            <v>188</v>
          </cell>
          <cell r="E69">
            <v>337286.2161858012</v>
          </cell>
          <cell r="F69">
            <v>63409808.642930627</v>
          </cell>
        </row>
        <row r="70">
          <cell r="C70" t="str">
            <v>Лианозово</v>
          </cell>
          <cell r="D70">
            <v>192</v>
          </cell>
          <cell r="E70">
            <v>277938.12896408222</v>
          </cell>
          <cell r="F70">
            <v>53364120.761103779</v>
          </cell>
        </row>
        <row r="71">
          <cell r="C71" t="str">
            <v>Лосиноостровский</v>
          </cell>
          <cell r="D71">
            <v>283</v>
          </cell>
          <cell r="E71">
            <v>270408.18818910368</v>
          </cell>
          <cell r="F71">
            <v>76525517.257516354</v>
          </cell>
        </row>
        <row r="72">
          <cell r="C72" t="str">
            <v>Марфино</v>
          </cell>
          <cell r="D72">
            <v>215</v>
          </cell>
          <cell r="E72">
            <v>332724.5496932785</v>
          </cell>
          <cell r="F72">
            <v>71535778.184054881</v>
          </cell>
        </row>
        <row r="73">
          <cell r="C73" t="str">
            <v>Марьина Роща</v>
          </cell>
          <cell r="D73">
            <v>300</v>
          </cell>
          <cell r="E73">
            <v>385741.10768426501</v>
          </cell>
          <cell r="F73">
            <v>115722332.30527949</v>
          </cell>
        </row>
        <row r="74">
          <cell r="C74" t="str">
            <v>Останкинский</v>
          </cell>
          <cell r="D74">
            <v>230</v>
          </cell>
          <cell r="E74">
            <v>364601.42555877328</v>
          </cell>
          <cell r="F74">
            <v>83858327.878517851</v>
          </cell>
        </row>
        <row r="75">
          <cell r="C75" t="str">
            <v>Отрадное</v>
          </cell>
          <cell r="D75">
            <v>472</v>
          </cell>
          <cell r="E75">
            <v>284660.63015289069</v>
          </cell>
          <cell r="F75">
            <v>134359817.4321644</v>
          </cell>
        </row>
        <row r="76">
          <cell r="C76" t="str">
            <v>Ростокино</v>
          </cell>
          <cell r="D76">
            <v>166</v>
          </cell>
          <cell r="E76">
            <v>331477.89803390292</v>
          </cell>
          <cell r="F76">
            <v>55025331.073627867</v>
          </cell>
        </row>
        <row r="77">
          <cell r="C77" t="str">
            <v>Свиблово</v>
          </cell>
          <cell r="D77">
            <v>129</v>
          </cell>
          <cell r="E77">
            <v>328171.05142318079</v>
          </cell>
          <cell r="F77">
            <v>42334065.633590333</v>
          </cell>
        </row>
        <row r="78">
          <cell r="C78" t="str">
            <v>Северное Медведково</v>
          </cell>
          <cell r="D78">
            <v>352</v>
          </cell>
          <cell r="E78">
            <v>285382.62397850922</v>
          </cell>
          <cell r="F78">
            <v>100454683.6404352</v>
          </cell>
        </row>
        <row r="79">
          <cell r="C79" t="str">
            <v>Северный</v>
          </cell>
          <cell r="D79">
            <v>172</v>
          </cell>
          <cell r="E79">
            <v>278908.85039152863</v>
          </cell>
          <cell r="F79">
            <v>47972322.26734291</v>
          </cell>
        </row>
        <row r="80">
          <cell r="C80" t="str">
            <v>Южное Медведково</v>
          </cell>
          <cell r="D80">
            <v>241</v>
          </cell>
          <cell r="E80">
            <v>280366.89108433528</v>
          </cell>
          <cell r="F80">
            <v>67568420.751324803</v>
          </cell>
        </row>
        <row r="81">
          <cell r="C81" t="str">
            <v>Ярославский</v>
          </cell>
          <cell r="D81">
            <v>259</v>
          </cell>
          <cell r="E81">
            <v>257313.48157150051</v>
          </cell>
          <cell r="F81">
            <v>66644191.727018632</v>
          </cell>
        </row>
        <row r="82">
          <cell r="C82" t="str">
            <v>Куркино</v>
          </cell>
          <cell r="D82">
            <v>155</v>
          </cell>
          <cell r="E82">
            <v>316401.56087095581</v>
          </cell>
          <cell r="F82">
            <v>49042241.93499814</v>
          </cell>
        </row>
        <row r="83">
          <cell r="C83" t="str">
            <v>Митино</v>
          </cell>
          <cell r="D83">
            <v>430</v>
          </cell>
          <cell r="E83">
            <v>286004.46639948402</v>
          </cell>
          <cell r="F83">
            <v>122981920.55177809</v>
          </cell>
        </row>
        <row r="84">
          <cell r="C84" t="str">
            <v>Покровское-Стрешнево</v>
          </cell>
          <cell r="D84">
            <v>262</v>
          </cell>
          <cell r="E84">
            <v>371452.84525654971</v>
          </cell>
          <cell r="F84">
            <v>97320645.457216024</v>
          </cell>
        </row>
        <row r="85">
          <cell r="C85" t="str">
            <v>Северное Тушино</v>
          </cell>
          <cell r="D85">
            <v>418</v>
          </cell>
          <cell r="E85">
            <v>296080.76237499568</v>
          </cell>
          <cell r="F85">
            <v>123761758.67274819</v>
          </cell>
        </row>
        <row r="86">
          <cell r="C86" t="str">
            <v>Строгино</v>
          </cell>
          <cell r="D86">
            <v>296</v>
          </cell>
          <cell r="E86">
            <v>314206.68660897069</v>
          </cell>
          <cell r="F86">
            <v>93005179.236255318</v>
          </cell>
        </row>
        <row r="87">
          <cell r="C87" t="str">
            <v>Хорошево-Мневники</v>
          </cell>
          <cell r="D87">
            <v>632</v>
          </cell>
          <cell r="E87">
            <v>401939.05103736109</v>
          </cell>
          <cell r="F87">
            <v>254025480.25561219</v>
          </cell>
        </row>
        <row r="88">
          <cell r="C88" t="str">
            <v>Щукино</v>
          </cell>
          <cell r="D88">
            <v>275</v>
          </cell>
          <cell r="E88">
            <v>340294.65149563277</v>
          </cell>
          <cell r="F88">
            <v>93581029.16129902</v>
          </cell>
        </row>
        <row r="89">
          <cell r="C89" t="str">
            <v>Южное Тушино</v>
          </cell>
          <cell r="D89">
            <v>309</v>
          </cell>
          <cell r="E89">
            <v>290830.25291511492</v>
          </cell>
          <cell r="F89">
            <v>89866548.150770485</v>
          </cell>
        </row>
        <row r="90">
          <cell r="C90" t="str">
            <v>Вороновское</v>
          </cell>
          <cell r="D90">
            <v>28</v>
          </cell>
          <cell r="E90">
            <v>170295.4129402304</v>
          </cell>
          <cell r="F90">
            <v>4768271.5623264518</v>
          </cell>
        </row>
        <row r="91">
          <cell r="C91" t="str">
            <v>Киевский</v>
          </cell>
          <cell r="D91">
            <v>50</v>
          </cell>
          <cell r="E91">
            <v>171394.00744121219</v>
          </cell>
          <cell r="F91">
            <v>8569700.3720606118</v>
          </cell>
        </row>
        <row r="92">
          <cell r="C92" t="str">
            <v>Кленовское</v>
          </cell>
          <cell r="D92">
            <v>12</v>
          </cell>
          <cell r="E92">
            <v>153430.45285306301</v>
          </cell>
          <cell r="F92">
            <v>1841165.4342367561</v>
          </cell>
        </row>
        <row r="93">
          <cell r="C93" t="str">
            <v>Краснопахорское</v>
          </cell>
          <cell r="D93">
            <v>49</v>
          </cell>
          <cell r="E93">
            <v>156064.97232978779</v>
          </cell>
          <cell r="F93">
            <v>7647183.6441596001</v>
          </cell>
        </row>
        <row r="94">
          <cell r="C94" t="str">
            <v>Михайлово-Ярцевское</v>
          </cell>
          <cell r="D94">
            <v>13</v>
          </cell>
          <cell r="E94">
            <v>153979.3915294511</v>
          </cell>
          <cell r="F94">
            <v>2001732.0898828639</v>
          </cell>
        </row>
        <row r="95">
          <cell r="C95" t="str">
            <v>Новофедоровское</v>
          </cell>
          <cell r="D95">
            <v>125</v>
          </cell>
          <cell r="E95">
            <v>155711.9633204214</v>
          </cell>
          <cell r="F95">
            <v>19463995.415052671</v>
          </cell>
        </row>
        <row r="96">
          <cell r="C96" t="str">
            <v>Первомайское</v>
          </cell>
          <cell r="D96">
            <v>198</v>
          </cell>
          <cell r="E96">
            <v>172491.20944992179</v>
          </cell>
          <cell r="F96">
            <v>34153259.47108452</v>
          </cell>
        </row>
        <row r="97">
          <cell r="C97" t="str">
            <v>Роговское</v>
          </cell>
          <cell r="D97">
            <v>18</v>
          </cell>
          <cell r="E97">
            <v>128464.8091900685</v>
          </cell>
          <cell r="F97">
            <v>2312366.565421233</v>
          </cell>
        </row>
        <row r="98">
          <cell r="C98" t="str">
            <v>Троицк</v>
          </cell>
          <cell r="D98">
            <v>268</v>
          </cell>
          <cell r="E98">
            <v>201602.15178348109</v>
          </cell>
          <cell r="F98">
            <v>54029376.677972928</v>
          </cell>
        </row>
        <row r="99">
          <cell r="C99" t="str">
            <v>Щаповское</v>
          </cell>
          <cell r="D99">
            <v>41</v>
          </cell>
          <cell r="E99">
            <v>164077.5287503041</v>
          </cell>
          <cell r="F99">
            <v>6727178.6787624666</v>
          </cell>
        </row>
        <row r="100">
          <cell r="C100" t="str">
            <v>Арбат</v>
          </cell>
          <cell r="D100">
            <v>272</v>
          </cell>
          <cell r="E100">
            <v>840243.48897287901</v>
          </cell>
          <cell r="F100">
            <v>228546229.00062311</v>
          </cell>
        </row>
        <row r="101">
          <cell r="C101" t="str">
            <v>Басманный</v>
          </cell>
          <cell r="D101">
            <v>698</v>
          </cell>
          <cell r="E101">
            <v>484903.58708054008</v>
          </cell>
          <cell r="F101">
            <v>338462703.78221703</v>
          </cell>
        </row>
        <row r="102">
          <cell r="C102" t="str">
            <v>Замоскворечье</v>
          </cell>
          <cell r="D102">
            <v>361</v>
          </cell>
          <cell r="E102">
            <v>593345.29663509759</v>
          </cell>
          <cell r="F102">
            <v>214197652.0852702</v>
          </cell>
        </row>
        <row r="103">
          <cell r="C103" t="str">
            <v>Красносельский</v>
          </cell>
          <cell r="D103">
            <v>281</v>
          </cell>
          <cell r="E103">
            <v>500897.96020191308</v>
          </cell>
          <cell r="F103">
            <v>140752326.81673759</v>
          </cell>
        </row>
        <row r="104">
          <cell r="C104" t="str">
            <v>Мещанский</v>
          </cell>
          <cell r="D104">
            <v>361</v>
          </cell>
          <cell r="E104">
            <v>528815.5964009444</v>
          </cell>
          <cell r="F104">
            <v>190902430.3007409</v>
          </cell>
        </row>
        <row r="105">
          <cell r="C105" t="str">
            <v>Пресненский</v>
          </cell>
          <cell r="D105">
            <v>1022</v>
          </cell>
          <cell r="E105">
            <v>668003.74052141909</v>
          </cell>
          <cell r="F105">
            <v>682699822.81289029</v>
          </cell>
        </row>
        <row r="106">
          <cell r="C106" t="str">
            <v>Таганский</v>
          </cell>
          <cell r="D106">
            <v>600</v>
          </cell>
          <cell r="E106">
            <v>452655.35250688839</v>
          </cell>
          <cell r="F106">
            <v>271593211.50413299</v>
          </cell>
        </row>
        <row r="107">
          <cell r="C107" t="str">
            <v>Тверской</v>
          </cell>
          <cell r="D107">
            <v>714</v>
          </cell>
          <cell r="E107">
            <v>655318.61083883059</v>
          </cell>
          <cell r="F107">
            <v>467897488.13892502</v>
          </cell>
        </row>
        <row r="108">
          <cell r="C108" t="str">
            <v>Хамовники</v>
          </cell>
          <cell r="D108">
            <v>645</v>
          </cell>
          <cell r="E108">
            <v>785626.79102429841</v>
          </cell>
          <cell r="F108">
            <v>506729280.2106725</v>
          </cell>
        </row>
        <row r="109">
          <cell r="C109" t="str">
            <v>Якиманка</v>
          </cell>
          <cell r="D109">
            <v>163</v>
          </cell>
          <cell r="E109">
            <v>772455.5102888617</v>
          </cell>
          <cell r="F109">
            <v>125910248.17708451</v>
          </cell>
        </row>
        <row r="110">
          <cell r="C110" t="str">
            <v>Выхино-Жулебино</v>
          </cell>
          <cell r="D110">
            <v>553</v>
          </cell>
          <cell r="E110">
            <v>260201.31332494799</v>
          </cell>
          <cell r="F110">
            <v>143891326.26869619</v>
          </cell>
        </row>
        <row r="111">
          <cell r="C111" t="str">
            <v>Капотня</v>
          </cell>
          <cell r="D111">
            <v>31</v>
          </cell>
          <cell r="E111">
            <v>233501.58080723311</v>
          </cell>
          <cell r="F111">
            <v>7238549.0050242255</v>
          </cell>
        </row>
        <row r="112">
          <cell r="C112" t="str">
            <v>Кузьминки</v>
          </cell>
          <cell r="D112">
            <v>334</v>
          </cell>
          <cell r="E112">
            <v>292909.12781580788</v>
          </cell>
          <cell r="F112">
            <v>97831648.69047983</v>
          </cell>
        </row>
        <row r="113">
          <cell r="C113" t="str">
            <v>Лефортово</v>
          </cell>
          <cell r="D113">
            <v>317</v>
          </cell>
          <cell r="E113">
            <v>326219.81135890138</v>
          </cell>
          <cell r="F113">
            <v>103411680.2007717</v>
          </cell>
        </row>
        <row r="114">
          <cell r="C114" t="str">
            <v>Люблино</v>
          </cell>
          <cell r="D114">
            <v>626</v>
          </cell>
          <cell r="E114">
            <v>270062.11709299329</v>
          </cell>
          <cell r="F114">
            <v>169058885.30021381</v>
          </cell>
        </row>
        <row r="115">
          <cell r="C115" t="str">
            <v>Марьино</v>
          </cell>
          <cell r="D115">
            <v>689</v>
          </cell>
          <cell r="E115">
            <v>272809.43876341177</v>
          </cell>
          <cell r="F115">
            <v>187965703.3079907</v>
          </cell>
        </row>
        <row r="116">
          <cell r="C116" t="str">
            <v>Некрасовка</v>
          </cell>
          <cell r="D116">
            <v>272</v>
          </cell>
          <cell r="E116">
            <v>221047.94079732869</v>
          </cell>
          <cell r="F116">
            <v>60125039.896873392</v>
          </cell>
        </row>
        <row r="117">
          <cell r="C117" t="str">
            <v>Нижегородский</v>
          </cell>
          <cell r="D117">
            <v>288</v>
          </cell>
          <cell r="E117">
            <v>308395.59598007641</v>
          </cell>
          <cell r="F117">
            <v>88817931.642261982</v>
          </cell>
        </row>
        <row r="118">
          <cell r="C118" t="str">
            <v>Печатники</v>
          </cell>
          <cell r="D118">
            <v>243</v>
          </cell>
          <cell r="E118">
            <v>273458.57727543672</v>
          </cell>
          <cell r="F118">
            <v>66450434.277931117</v>
          </cell>
        </row>
        <row r="119">
          <cell r="C119" t="str">
            <v>Рязанский</v>
          </cell>
          <cell r="D119">
            <v>306</v>
          </cell>
          <cell r="E119">
            <v>279295.11178836762</v>
          </cell>
          <cell r="F119">
            <v>85464304.207240492</v>
          </cell>
        </row>
        <row r="120">
          <cell r="C120" t="str">
            <v>Текстильщики</v>
          </cell>
          <cell r="D120">
            <v>301</v>
          </cell>
          <cell r="E120">
            <v>274446.83718519891</v>
          </cell>
          <cell r="F120">
            <v>82608497.992744878</v>
          </cell>
        </row>
        <row r="121">
          <cell r="C121" t="str">
            <v>Южнопортовый</v>
          </cell>
          <cell r="D121">
            <v>381</v>
          </cell>
          <cell r="E121">
            <v>348948.95085696859</v>
          </cell>
          <cell r="F121">
            <v>132949550.27650499</v>
          </cell>
        </row>
        <row r="122">
          <cell r="C122" t="str">
            <v>Академический</v>
          </cell>
          <cell r="D122">
            <v>384</v>
          </cell>
          <cell r="E122">
            <v>368795.25846799259</v>
          </cell>
          <cell r="F122">
            <v>141617379.25170919</v>
          </cell>
        </row>
        <row r="123">
          <cell r="C123" t="str">
            <v>Гагаринский</v>
          </cell>
          <cell r="D123">
            <v>299</v>
          </cell>
          <cell r="E123">
            <v>449227.30321410211</v>
          </cell>
          <cell r="F123">
            <v>134318963.66101649</v>
          </cell>
        </row>
        <row r="124">
          <cell r="C124" t="str">
            <v>Зюзино</v>
          </cell>
          <cell r="D124">
            <v>367</v>
          </cell>
          <cell r="E124">
            <v>329217.02828077832</v>
          </cell>
          <cell r="F124">
            <v>120822649.3790457</v>
          </cell>
        </row>
        <row r="125">
          <cell r="C125" t="str">
            <v>Коньково</v>
          </cell>
          <cell r="D125">
            <v>522</v>
          </cell>
          <cell r="E125">
            <v>316139.51463996532</v>
          </cell>
          <cell r="F125">
            <v>165024826.64206189</v>
          </cell>
        </row>
        <row r="126">
          <cell r="C126" t="str">
            <v>Котловка</v>
          </cell>
          <cell r="D126">
            <v>235</v>
          </cell>
          <cell r="E126">
            <v>326315.46100946702</v>
          </cell>
          <cell r="F126">
            <v>76684133.337224737</v>
          </cell>
        </row>
        <row r="127">
          <cell r="C127" t="str">
            <v>Ломоносовский</v>
          </cell>
          <cell r="D127">
            <v>405</v>
          </cell>
          <cell r="E127">
            <v>394111.7571669009</v>
          </cell>
          <cell r="F127">
            <v>159615261.65259489</v>
          </cell>
        </row>
        <row r="128">
          <cell r="C128" t="str">
            <v>Обручевский</v>
          </cell>
          <cell r="D128">
            <v>351</v>
          </cell>
          <cell r="E128">
            <v>389652.2077491922</v>
          </cell>
          <cell r="F128">
            <v>136767924.91996649</v>
          </cell>
        </row>
        <row r="129">
          <cell r="C129" t="str">
            <v>Северное Бутово</v>
          </cell>
          <cell r="D129">
            <v>243</v>
          </cell>
          <cell r="E129">
            <v>269397.13081710489</v>
          </cell>
          <cell r="F129">
            <v>65463502.788556486</v>
          </cell>
        </row>
        <row r="130">
          <cell r="C130" t="str">
            <v>Теплый Стан</v>
          </cell>
          <cell r="D130">
            <v>406</v>
          </cell>
          <cell r="E130">
            <v>300719.69506318768</v>
          </cell>
          <cell r="F130">
            <v>122092196.1956542</v>
          </cell>
        </row>
        <row r="131">
          <cell r="C131" t="str">
            <v>Черемушки</v>
          </cell>
          <cell r="D131">
            <v>462</v>
          </cell>
          <cell r="E131">
            <v>354442.25554166333</v>
          </cell>
          <cell r="F131">
            <v>163752322.0602484</v>
          </cell>
        </row>
        <row r="132">
          <cell r="C132" t="str">
            <v>Южное Бутово</v>
          </cell>
          <cell r="D132">
            <v>708</v>
          </cell>
          <cell r="E132">
            <v>234670.06171905959</v>
          </cell>
          <cell r="F132">
            <v>166146403.6970942</v>
          </cell>
        </row>
        <row r="133">
          <cell r="C133" t="str">
            <v>Ясенево</v>
          </cell>
          <cell r="D133">
            <v>377</v>
          </cell>
          <cell r="E133">
            <v>275489.80607964349</v>
          </cell>
          <cell r="F133">
            <v>103859656.8920256</v>
          </cell>
        </row>
        <row r="134">
          <cell r="C134" t="str">
            <v>Бирюлёво Восточное</v>
          </cell>
          <cell r="D134">
            <v>293</v>
          </cell>
          <cell r="E134">
            <v>240658.39593170639</v>
          </cell>
          <cell r="F134">
            <v>70512910.007989973</v>
          </cell>
        </row>
        <row r="135">
          <cell r="C135" t="str">
            <v>Бирюлёво Западное</v>
          </cell>
          <cell r="D135">
            <v>218</v>
          </cell>
          <cell r="E135">
            <v>226348.4853878259</v>
          </cell>
          <cell r="F135">
            <v>49343969.814546064</v>
          </cell>
        </row>
        <row r="136">
          <cell r="C136" t="str">
            <v>Братеево</v>
          </cell>
          <cell r="D136">
            <v>201</v>
          </cell>
          <cell r="E136">
            <v>271347.92345200467</v>
          </cell>
          <cell r="F136">
            <v>54540932.61385294</v>
          </cell>
        </row>
        <row r="137">
          <cell r="C137" t="str">
            <v>Даниловский</v>
          </cell>
          <cell r="D137">
            <v>576</v>
          </cell>
          <cell r="E137">
            <v>406246.68579912209</v>
          </cell>
          <cell r="F137">
            <v>233998091.02029431</v>
          </cell>
        </row>
        <row r="138">
          <cell r="C138" t="str">
            <v>Донской</v>
          </cell>
          <cell r="D138">
            <v>206</v>
          </cell>
          <cell r="E138">
            <v>405808.36485275353</v>
          </cell>
          <cell r="F138">
            <v>83596523.159667209</v>
          </cell>
        </row>
        <row r="139">
          <cell r="C139" t="str">
            <v>Зябликово</v>
          </cell>
          <cell r="D139">
            <v>269</v>
          </cell>
          <cell r="E139">
            <v>267738.02686491219</v>
          </cell>
          <cell r="F139">
            <v>72021529.226661399</v>
          </cell>
        </row>
        <row r="140">
          <cell r="C140" t="str">
            <v>Москворечье-Сабурово</v>
          </cell>
          <cell r="D140">
            <v>187</v>
          </cell>
          <cell r="E140">
            <v>288970.1913711722</v>
          </cell>
          <cell r="F140">
            <v>54037425.786409199</v>
          </cell>
        </row>
        <row r="141">
          <cell r="C141" t="str">
            <v>Нагатино-Садовники</v>
          </cell>
          <cell r="D141">
            <v>258</v>
          </cell>
          <cell r="E141">
            <v>322479.59292155987</v>
          </cell>
          <cell r="F141">
            <v>83199734.973762468</v>
          </cell>
        </row>
        <row r="142">
          <cell r="C142" t="str">
            <v>Нагатинский Затон</v>
          </cell>
          <cell r="D142">
            <v>256</v>
          </cell>
          <cell r="E142">
            <v>348462.07013341779</v>
          </cell>
          <cell r="F142">
            <v>89206289.954154953</v>
          </cell>
        </row>
        <row r="143">
          <cell r="C143" t="str">
            <v>Нагорный</v>
          </cell>
          <cell r="D143">
            <v>274</v>
          </cell>
          <cell r="E143">
            <v>318571.79339426907</v>
          </cell>
          <cell r="F143">
            <v>87288671.390029743</v>
          </cell>
        </row>
        <row r="144">
          <cell r="C144" t="str">
            <v>Орехово-Борисово Северное</v>
          </cell>
          <cell r="D144">
            <v>265</v>
          </cell>
          <cell r="E144">
            <v>281124.87784670008</v>
          </cell>
          <cell r="F144">
            <v>74498092.629375532</v>
          </cell>
        </row>
        <row r="145">
          <cell r="C145" t="str">
            <v>Орехово-Борисово Южное</v>
          </cell>
          <cell r="D145">
            <v>326</v>
          </cell>
          <cell r="E145">
            <v>269682.93169002928</v>
          </cell>
          <cell r="F145">
            <v>87916635.730949566</v>
          </cell>
        </row>
        <row r="146">
          <cell r="C146" t="str">
            <v>Царицыно</v>
          </cell>
          <cell r="D146">
            <v>330</v>
          </cell>
          <cell r="E146">
            <v>289911.7291144628</v>
          </cell>
          <cell r="F146">
            <v>95670870.607772723</v>
          </cell>
        </row>
        <row r="147">
          <cell r="C147" t="str">
            <v>Чертаново Северное</v>
          </cell>
          <cell r="D147">
            <v>252</v>
          </cell>
          <cell r="E147">
            <v>293799.87325982098</v>
          </cell>
          <cell r="F147">
            <v>74037568.06147489</v>
          </cell>
        </row>
        <row r="148">
          <cell r="C148" t="str">
            <v>Чертаново Центральное</v>
          </cell>
          <cell r="D148">
            <v>318</v>
          </cell>
          <cell r="E148">
            <v>271854.0976960386</v>
          </cell>
          <cell r="F148">
            <v>86449603.06734027</v>
          </cell>
        </row>
        <row r="149">
          <cell r="C149" t="str">
            <v>Чертаново Южное</v>
          </cell>
          <cell r="D149">
            <v>400</v>
          </cell>
          <cell r="E149">
            <v>270851.59620707209</v>
          </cell>
          <cell r="F149">
            <v>108340638.4828288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Москва_продажа_АО"/>
      <sheetName val="Москва_продажа_районы"/>
    </sheetNames>
    <sheetDataSet>
      <sheetData sheetId="0"/>
      <sheetData sheetId="1">
        <row r="4">
          <cell r="C4" t="str">
            <v>Богородское</v>
          </cell>
          <cell r="D4">
            <v>334</v>
          </cell>
          <cell r="E4">
            <v>316318.139729099</v>
          </cell>
          <cell r="F4">
            <v>105650258.6695191</v>
          </cell>
        </row>
        <row r="5">
          <cell r="C5" t="str">
            <v>Вешняки</v>
          </cell>
          <cell r="D5">
            <v>320</v>
          </cell>
          <cell r="E5">
            <v>261063.12588656289</v>
          </cell>
          <cell r="F5">
            <v>83540200.283700123</v>
          </cell>
        </row>
        <row r="6">
          <cell r="C6" t="str">
            <v>Восточное Измайлово</v>
          </cell>
          <cell r="D6">
            <v>216</v>
          </cell>
          <cell r="E6">
            <v>294801.3783448044</v>
          </cell>
          <cell r="F6">
            <v>63677097.722477749</v>
          </cell>
        </row>
        <row r="7">
          <cell r="C7" t="str">
            <v>Восточный</v>
          </cell>
          <cell r="D7">
            <v>30</v>
          </cell>
          <cell r="E7">
            <v>234307.2768114155</v>
          </cell>
          <cell r="F7">
            <v>7029218.3043424645</v>
          </cell>
        </row>
        <row r="8">
          <cell r="C8" t="str">
            <v>Гольяново</v>
          </cell>
          <cell r="D8">
            <v>393</v>
          </cell>
          <cell r="E8">
            <v>267773.60790771613</v>
          </cell>
          <cell r="F8">
            <v>105235027.9077324</v>
          </cell>
        </row>
        <row r="9">
          <cell r="C9" t="str">
            <v>Ивановское</v>
          </cell>
          <cell r="D9">
            <v>315</v>
          </cell>
          <cell r="E9">
            <v>258265.35032785649</v>
          </cell>
          <cell r="F9">
            <v>81353585.353274792</v>
          </cell>
        </row>
        <row r="10">
          <cell r="C10" t="str">
            <v>Измайлово</v>
          </cell>
          <cell r="D10">
            <v>261</v>
          </cell>
          <cell r="E10">
            <v>300032.06317950023</v>
          </cell>
          <cell r="F10">
            <v>78308368.489849553</v>
          </cell>
        </row>
        <row r="11">
          <cell r="C11" t="str">
            <v>Косино-Ухтомский</v>
          </cell>
          <cell r="D11">
            <v>164</v>
          </cell>
          <cell r="E11">
            <v>259604.52599479549</v>
          </cell>
          <cell r="F11">
            <v>42575142.26314646</v>
          </cell>
        </row>
        <row r="12">
          <cell r="C12" t="str">
            <v>Метрогородок</v>
          </cell>
          <cell r="D12">
            <v>108</v>
          </cell>
          <cell r="E12">
            <v>285417.69540015649</v>
          </cell>
          <cell r="F12">
            <v>30825111.103216901</v>
          </cell>
        </row>
        <row r="13">
          <cell r="C13" t="str">
            <v>Новогиреево</v>
          </cell>
          <cell r="D13">
            <v>208</v>
          </cell>
          <cell r="E13">
            <v>300466.75983139442</v>
          </cell>
          <cell r="F13">
            <v>62497086.044930041</v>
          </cell>
        </row>
        <row r="14">
          <cell r="C14" t="str">
            <v>Новокосино</v>
          </cell>
          <cell r="D14">
            <v>127</v>
          </cell>
          <cell r="E14">
            <v>260753.70455179401</v>
          </cell>
          <cell r="F14">
            <v>33115720.47807784</v>
          </cell>
        </row>
        <row r="15">
          <cell r="C15" t="str">
            <v>Перово</v>
          </cell>
          <cell r="D15">
            <v>404</v>
          </cell>
          <cell r="E15">
            <v>294642.45266745362</v>
          </cell>
          <cell r="F15">
            <v>119035550.8776512</v>
          </cell>
        </row>
        <row r="16">
          <cell r="C16" t="str">
            <v>Преображенское</v>
          </cell>
          <cell r="D16">
            <v>253</v>
          </cell>
          <cell r="E16">
            <v>331046.13490150881</v>
          </cell>
          <cell r="F16">
            <v>83754672.130081728</v>
          </cell>
        </row>
        <row r="17">
          <cell r="C17" t="str">
            <v>Северное Измайлово</v>
          </cell>
          <cell r="D17">
            <v>271</v>
          </cell>
          <cell r="E17">
            <v>298023.32787249278</v>
          </cell>
          <cell r="F17">
            <v>80764321.85344556</v>
          </cell>
        </row>
        <row r="18">
          <cell r="C18" t="str">
            <v>Соколиная Гора</v>
          </cell>
          <cell r="D18">
            <v>411</v>
          </cell>
          <cell r="E18">
            <v>328151.55921170302</v>
          </cell>
          <cell r="F18">
            <v>134870290.83600989</v>
          </cell>
        </row>
        <row r="19">
          <cell r="C19" t="str">
            <v>Сокольники</v>
          </cell>
          <cell r="D19">
            <v>216</v>
          </cell>
          <cell r="E19">
            <v>388017.29873859067</v>
          </cell>
          <cell r="F19">
            <v>83811736.527535602</v>
          </cell>
        </row>
        <row r="20">
          <cell r="C20" t="str">
            <v>Внуково</v>
          </cell>
          <cell r="D20">
            <v>77</v>
          </cell>
          <cell r="E20">
            <v>211604.78817011791</v>
          </cell>
          <cell r="F20">
            <v>16293568.689099081</v>
          </cell>
        </row>
        <row r="21">
          <cell r="C21" t="str">
            <v>Дорогомилово</v>
          </cell>
          <cell r="D21">
            <v>323</v>
          </cell>
          <cell r="E21">
            <v>553821.97665336996</v>
          </cell>
          <cell r="F21">
            <v>178884498.4590385</v>
          </cell>
        </row>
        <row r="22">
          <cell r="C22" t="str">
            <v>Крылатское</v>
          </cell>
          <cell r="D22">
            <v>201</v>
          </cell>
          <cell r="E22">
            <v>372798.77329507523</v>
          </cell>
          <cell r="F22">
            <v>74932553.432310104</v>
          </cell>
        </row>
        <row r="23">
          <cell r="C23" t="str">
            <v>Кунцево</v>
          </cell>
          <cell r="D23">
            <v>420</v>
          </cell>
          <cell r="E23">
            <v>335456.55836490338</v>
          </cell>
          <cell r="F23">
            <v>140891754.51325941</v>
          </cell>
        </row>
        <row r="24">
          <cell r="C24" t="str">
            <v>Можайский</v>
          </cell>
          <cell r="D24">
            <v>596</v>
          </cell>
          <cell r="E24">
            <v>318230.70012967498</v>
          </cell>
          <cell r="F24">
            <v>189665497.27728629</v>
          </cell>
        </row>
        <row r="25">
          <cell r="C25" t="str">
            <v>Ново-Переделкино</v>
          </cell>
          <cell r="D25">
            <v>224</v>
          </cell>
          <cell r="E25">
            <v>261610.3502355075</v>
          </cell>
          <cell r="F25">
            <v>58600718.452753693</v>
          </cell>
        </row>
        <row r="26">
          <cell r="C26" t="str">
            <v>Очаково-Матвеевское</v>
          </cell>
          <cell r="D26">
            <v>365</v>
          </cell>
          <cell r="E26">
            <v>334528.62114434491</v>
          </cell>
          <cell r="F26">
            <v>122102946.71768589</v>
          </cell>
        </row>
        <row r="27">
          <cell r="C27" t="str">
            <v>Проспект Вернадского</v>
          </cell>
          <cell r="D27">
            <v>214</v>
          </cell>
          <cell r="E27">
            <v>454439.11148861662</v>
          </cell>
          <cell r="F27">
            <v>97249969.858563945</v>
          </cell>
        </row>
        <row r="28">
          <cell r="C28" t="str">
            <v>Раменки</v>
          </cell>
          <cell r="D28">
            <v>450</v>
          </cell>
          <cell r="E28">
            <v>462368.32074968098</v>
          </cell>
          <cell r="F28">
            <v>208065744.33735651</v>
          </cell>
        </row>
        <row r="29">
          <cell r="C29" t="str">
            <v>Солнцево</v>
          </cell>
          <cell r="D29">
            <v>316</v>
          </cell>
          <cell r="E29">
            <v>276550.7310082874</v>
          </cell>
          <cell r="F29">
            <v>87390030.998618826</v>
          </cell>
        </row>
        <row r="30">
          <cell r="C30" t="str">
            <v>Тропарево-Никулино</v>
          </cell>
          <cell r="D30">
            <v>348</v>
          </cell>
          <cell r="E30">
            <v>382447.56427158997</v>
          </cell>
          <cell r="F30">
            <v>133091752.3665133</v>
          </cell>
        </row>
        <row r="31">
          <cell r="C31" t="str">
            <v>Филевский Парк</v>
          </cell>
          <cell r="D31">
            <v>228</v>
          </cell>
          <cell r="E31">
            <v>392731.79949053231</v>
          </cell>
          <cell r="F31">
            <v>89542850.283841372</v>
          </cell>
        </row>
        <row r="32">
          <cell r="C32" t="str">
            <v>Фили-Давыдково</v>
          </cell>
          <cell r="D32">
            <v>298</v>
          </cell>
          <cell r="E32">
            <v>380467.15846568189</v>
          </cell>
          <cell r="F32">
            <v>113379213.22277319</v>
          </cell>
        </row>
        <row r="33">
          <cell r="C33" t="str">
            <v>1-й</v>
          </cell>
          <cell r="D33">
            <v>538</v>
          </cell>
          <cell r="E33">
            <v>244135.01175428851</v>
          </cell>
          <cell r="F33">
            <v>131344636.32380719</v>
          </cell>
        </row>
        <row r="34">
          <cell r="C34" t="str">
            <v>10-й</v>
          </cell>
          <cell r="D34">
            <v>1</v>
          </cell>
          <cell r="E34">
            <v>208098.9876265467</v>
          </cell>
          <cell r="F34">
            <v>208098.9876265467</v>
          </cell>
        </row>
        <row r="35">
          <cell r="C35" t="str">
            <v>14-й</v>
          </cell>
          <cell r="D35">
            <v>4</v>
          </cell>
          <cell r="E35">
            <v>237673.23338024909</v>
          </cell>
          <cell r="F35">
            <v>950692.93352099624</v>
          </cell>
        </row>
        <row r="36">
          <cell r="C36" t="str">
            <v>17-й</v>
          </cell>
          <cell r="D36">
            <v>4</v>
          </cell>
          <cell r="E36">
            <v>275859.87422637158</v>
          </cell>
          <cell r="F36">
            <v>1103439.4969054861</v>
          </cell>
        </row>
        <row r="37">
          <cell r="C37" t="str">
            <v>19-й</v>
          </cell>
          <cell r="D37">
            <v>42</v>
          </cell>
          <cell r="E37">
            <v>254091.30301329269</v>
          </cell>
          <cell r="F37">
            <v>10671834.72655829</v>
          </cell>
        </row>
        <row r="38">
          <cell r="C38" t="str">
            <v>Крюково</v>
          </cell>
          <cell r="D38">
            <v>1</v>
          </cell>
          <cell r="E38">
            <v>42016.806722689071</v>
          </cell>
          <cell r="F38">
            <v>42016.806722689071</v>
          </cell>
        </row>
        <row r="39">
          <cell r="C39" t="str">
            <v>Матушкино</v>
          </cell>
          <cell r="D39">
            <v>3</v>
          </cell>
          <cell r="E39">
            <v>310505.16224188788</v>
          </cell>
          <cell r="F39">
            <v>931515.48672566377</v>
          </cell>
        </row>
        <row r="40">
          <cell r="C40" t="str">
            <v>Внуковское</v>
          </cell>
          <cell r="D40">
            <v>86</v>
          </cell>
          <cell r="E40">
            <v>266496.79123227479</v>
          </cell>
          <cell r="F40">
            <v>22918724.045975629</v>
          </cell>
        </row>
        <row r="41">
          <cell r="C41" t="str">
            <v>Воскресенское</v>
          </cell>
          <cell r="D41">
            <v>76</v>
          </cell>
          <cell r="E41">
            <v>225740.5121662415</v>
          </cell>
          <cell r="F41">
            <v>17156278.92463436</v>
          </cell>
        </row>
        <row r="42">
          <cell r="C42" t="str">
            <v>Десеновское</v>
          </cell>
          <cell r="D42">
            <v>158</v>
          </cell>
          <cell r="E42">
            <v>214277.28879145739</v>
          </cell>
          <cell r="F42">
            <v>33855811.62905027</v>
          </cell>
        </row>
        <row r="43">
          <cell r="C43" t="str">
            <v>Кокошкино</v>
          </cell>
          <cell r="D43">
            <v>75</v>
          </cell>
          <cell r="E43">
            <v>184972.30546036031</v>
          </cell>
          <cell r="F43">
            <v>13872922.90952703</v>
          </cell>
        </row>
        <row r="44">
          <cell r="C44" t="str">
            <v>Марушкинское</v>
          </cell>
          <cell r="D44">
            <v>35</v>
          </cell>
          <cell r="E44">
            <v>200844.76183130301</v>
          </cell>
          <cell r="F44">
            <v>7029566.6640956057</v>
          </cell>
        </row>
        <row r="45">
          <cell r="C45" t="str">
            <v>Московский</v>
          </cell>
          <cell r="D45">
            <v>342</v>
          </cell>
          <cell r="E45">
            <v>275318.65507760178</v>
          </cell>
          <cell r="F45">
            <v>94158980.036539823</v>
          </cell>
        </row>
        <row r="46">
          <cell r="C46" t="str">
            <v>Мосрентген</v>
          </cell>
          <cell r="D46">
            <v>81</v>
          </cell>
          <cell r="E46">
            <v>221514.32865583789</v>
          </cell>
          <cell r="F46">
            <v>17942660.621122871</v>
          </cell>
        </row>
        <row r="47">
          <cell r="C47" t="str">
            <v>Рязановское</v>
          </cell>
          <cell r="D47">
            <v>154</v>
          </cell>
          <cell r="E47">
            <v>198379.55298102621</v>
          </cell>
          <cell r="F47">
            <v>30550451.159078039</v>
          </cell>
        </row>
        <row r="48">
          <cell r="C48" t="str">
            <v>Сосенское</v>
          </cell>
          <cell r="D48">
            <v>632</v>
          </cell>
          <cell r="E48">
            <v>275706.59333326138</v>
          </cell>
          <cell r="F48">
            <v>174246566.9866212</v>
          </cell>
        </row>
        <row r="49">
          <cell r="C49" t="str">
            <v>Филимонковское</v>
          </cell>
          <cell r="D49">
            <v>205</v>
          </cell>
          <cell r="E49">
            <v>187866.55314706801</v>
          </cell>
          <cell r="F49">
            <v>38512643.395148948</v>
          </cell>
        </row>
        <row r="50">
          <cell r="C50" t="str">
            <v>Щербинка</v>
          </cell>
          <cell r="D50">
            <v>135</v>
          </cell>
          <cell r="E50">
            <v>198706.84483651689</v>
          </cell>
          <cell r="F50">
            <v>26825424.052929781</v>
          </cell>
        </row>
        <row r="51">
          <cell r="C51" t="str">
            <v>Аэропорт</v>
          </cell>
          <cell r="D51">
            <v>270</v>
          </cell>
          <cell r="E51">
            <v>390675.72391631542</v>
          </cell>
          <cell r="F51">
            <v>105482445.45740519</v>
          </cell>
        </row>
        <row r="52">
          <cell r="C52" t="str">
            <v>Беговой</v>
          </cell>
          <cell r="D52">
            <v>246</v>
          </cell>
          <cell r="E52">
            <v>430155.49991469632</v>
          </cell>
          <cell r="F52">
            <v>105818252.97901531</v>
          </cell>
        </row>
        <row r="53">
          <cell r="C53" t="str">
            <v>Бескудниковский</v>
          </cell>
          <cell r="D53">
            <v>213</v>
          </cell>
          <cell r="E53">
            <v>319965.3505969728</v>
          </cell>
          <cell r="F53">
            <v>68152619.677155212</v>
          </cell>
        </row>
        <row r="54">
          <cell r="C54" t="str">
            <v>Войковский</v>
          </cell>
          <cell r="D54">
            <v>202</v>
          </cell>
          <cell r="E54">
            <v>346359.56679020298</v>
          </cell>
          <cell r="F54">
            <v>69964632.491621017</v>
          </cell>
        </row>
        <row r="55">
          <cell r="C55" t="str">
            <v>Восточное Дегунино</v>
          </cell>
          <cell r="D55">
            <v>202</v>
          </cell>
          <cell r="E55">
            <v>268120.5274107639</v>
          </cell>
          <cell r="F55">
            <v>54160346.536974311</v>
          </cell>
        </row>
        <row r="56">
          <cell r="C56" t="str">
            <v>Головинский</v>
          </cell>
          <cell r="D56">
            <v>316</v>
          </cell>
          <cell r="E56">
            <v>319164.25190975348</v>
          </cell>
          <cell r="F56">
            <v>100855903.6034821</v>
          </cell>
        </row>
        <row r="57">
          <cell r="C57" t="str">
            <v>Дмитровский</v>
          </cell>
          <cell r="D57">
            <v>232</v>
          </cell>
          <cell r="E57">
            <v>277273.67536617868</v>
          </cell>
          <cell r="F57">
            <v>64327492.684953474</v>
          </cell>
        </row>
        <row r="58">
          <cell r="C58" t="str">
            <v>Западное Дегунино</v>
          </cell>
          <cell r="D58">
            <v>229</v>
          </cell>
          <cell r="E58">
            <v>283803.22259311029</v>
          </cell>
          <cell r="F58">
            <v>64990937.973822273</v>
          </cell>
        </row>
        <row r="59">
          <cell r="C59" t="str">
            <v>Коптево</v>
          </cell>
          <cell r="D59">
            <v>300</v>
          </cell>
          <cell r="E59">
            <v>313227.80676823482</v>
          </cell>
          <cell r="F59">
            <v>93968342.030470446</v>
          </cell>
        </row>
        <row r="60">
          <cell r="C60" t="str">
            <v>Левобережный</v>
          </cell>
          <cell r="D60">
            <v>161</v>
          </cell>
          <cell r="E60">
            <v>359351.07027303497</v>
          </cell>
          <cell r="F60">
            <v>57855522.31395863</v>
          </cell>
        </row>
        <row r="61">
          <cell r="C61" t="str">
            <v>Молжаниновский</v>
          </cell>
          <cell r="D61">
            <v>41</v>
          </cell>
          <cell r="E61">
            <v>195384.2838787947</v>
          </cell>
          <cell r="F61">
            <v>8010755.6390305841</v>
          </cell>
        </row>
        <row r="62">
          <cell r="C62" t="str">
            <v>Савеловский</v>
          </cell>
          <cell r="D62">
            <v>242</v>
          </cell>
          <cell r="E62">
            <v>381026.82168962521</v>
          </cell>
          <cell r="F62">
            <v>92208490.848889291</v>
          </cell>
        </row>
        <row r="63">
          <cell r="C63" t="str">
            <v>Сокол</v>
          </cell>
          <cell r="D63">
            <v>253</v>
          </cell>
          <cell r="E63">
            <v>401023.21697108808</v>
          </cell>
          <cell r="F63">
            <v>101458873.8936853</v>
          </cell>
        </row>
        <row r="64">
          <cell r="C64" t="str">
            <v>Тимирязевский</v>
          </cell>
          <cell r="D64">
            <v>204</v>
          </cell>
          <cell r="E64">
            <v>343467.51802995458</v>
          </cell>
          <cell r="F64">
            <v>70067373.678110734</v>
          </cell>
        </row>
        <row r="65">
          <cell r="C65" t="str">
            <v>Ховрино</v>
          </cell>
          <cell r="D65">
            <v>337</v>
          </cell>
          <cell r="E65">
            <v>309499.84044679941</v>
          </cell>
          <cell r="F65">
            <v>104301446.2305714</v>
          </cell>
        </row>
        <row r="66">
          <cell r="C66" t="str">
            <v>Хорошевский</v>
          </cell>
          <cell r="D66">
            <v>228</v>
          </cell>
          <cell r="E66">
            <v>414716.26685078337</v>
          </cell>
          <cell r="F66">
            <v>94555308.841978624</v>
          </cell>
        </row>
        <row r="67">
          <cell r="C67" t="str">
            <v>Алексеевский</v>
          </cell>
          <cell r="D67">
            <v>245</v>
          </cell>
          <cell r="E67">
            <v>378400.49279878632</v>
          </cell>
          <cell r="F67">
            <v>92708120.735702634</v>
          </cell>
        </row>
        <row r="68">
          <cell r="C68" t="str">
            <v>Алтуфьевский</v>
          </cell>
          <cell r="D68">
            <v>104</v>
          </cell>
          <cell r="E68">
            <v>275242.68520785542</v>
          </cell>
          <cell r="F68">
            <v>28625239.26161696</v>
          </cell>
        </row>
        <row r="69">
          <cell r="C69" t="str">
            <v>Бабушкинский</v>
          </cell>
          <cell r="D69">
            <v>233</v>
          </cell>
          <cell r="E69">
            <v>305488.98642763088</v>
          </cell>
          <cell r="F69">
            <v>71178933.837637991</v>
          </cell>
        </row>
        <row r="70">
          <cell r="C70" t="str">
            <v>Бибирево</v>
          </cell>
          <cell r="D70">
            <v>301</v>
          </cell>
          <cell r="E70">
            <v>270771.11684526782</v>
          </cell>
          <cell r="F70">
            <v>81502106.170425609</v>
          </cell>
        </row>
        <row r="71">
          <cell r="C71" t="str">
            <v>Бутырский</v>
          </cell>
          <cell r="D71">
            <v>135</v>
          </cell>
          <cell r="E71">
            <v>347186.46338148788</v>
          </cell>
          <cell r="F71">
            <v>46870172.556500867</v>
          </cell>
        </row>
        <row r="72">
          <cell r="C72" t="str">
            <v>Лианозово</v>
          </cell>
          <cell r="D72">
            <v>146</v>
          </cell>
          <cell r="E72">
            <v>288179.4881365319</v>
          </cell>
          <cell r="F72">
            <v>42074205.267933659</v>
          </cell>
        </row>
        <row r="73">
          <cell r="C73" t="str">
            <v>Лосиноостровский</v>
          </cell>
          <cell r="D73">
            <v>230</v>
          </cell>
          <cell r="E73">
            <v>279483.66722263809</v>
          </cell>
          <cell r="F73">
            <v>64281243.461206771</v>
          </cell>
        </row>
        <row r="74">
          <cell r="C74" t="str">
            <v>Марфино</v>
          </cell>
          <cell r="D74">
            <v>139</v>
          </cell>
          <cell r="E74">
            <v>356956.67262796842</v>
          </cell>
          <cell r="F74">
            <v>49616977.495287597</v>
          </cell>
        </row>
        <row r="75">
          <cell r="C75" t="str">
            <v>Марьина Роща</v>
          </cell>
          <cell r="D75">
            <v>275</v>
          </cell>
          <cell r="E75">
            <v>400839.50991113961</v>
          </cell>
          <cell r="F75">
            <v>110230865.22556341</v>
          </cell>
        </row>
        <row r="76">
          <cell r="C76" t="str">
            <v>Останкинский</v>
          </cell>
          <cell r="D76">
            <v>205</v>
          </cell>
          <cell r="E76">
            <v>373813.39183685329</v>
          </cell>
          <cell r="F76">
            <v>76631745.326554924</v>
          </cell>
        </row>
        <row r="77">
          <cell r="C77" t="str">
            <v>Отрадное</v>
          </cell>
          <cell r="D77">
            <v>354</v>
          </cell>
          <cell r="E77">
            <v>287914.91673071001</v>
          </cell>
          <cell r="F77">
            <v>101921880.5226713</v>
          </cell>
        </row>
        <row r="78">
          <cell r="C78" t="str">
            <v>Ростокино</v>
          </cell>
          <cell r="D78">
            <v>162</v>
          </cell>
          <cell r="E78">
            <v>344040.50662848429</v>
          </cell>
          <cell r="F78">
            <v>55734562.073814467</v>
          </cell>
        </row>
        <row r="79">
          <cell r="C79" t="str">
            <v>Свиблово</v>
          </cell>
          <cell r="D79">
            <v>126</v>
          </cell>
          <cell r="E79">
            <v>352436.93371995201</v>
          </cell>
          <cell r="F79">
            <v>44407053.648713946</v>
          </cell>
        </row>
        <row r="80">
          <cell r="C80" t="str">
            <v>Северное Медведково</v>
          </cell>
          <cell r="D80">
            <v>263</v>
          </cell>
          <cell r="E80">
            <v>289889.48423714261</v>
          </cell>
          <cell r="F80">
            <v>76240934.354368508</v>
          </cell>
        </row>
        <row r="81">
          <cell r="C81" t="str">
            <v>Северный</v>
          </cell>
          <cell r="D81">
            <v>141</v>
          </cell>
          <cell r="E81">
            <v>281099.69244420441</v>
          </cell>
          <cell r="F81">
            <v>39635056.634632818</v>
          </cell>
        </row>
        <row r="82">
          <cell r="C82" t="str">
            <v>Южное Медведково</v>
          </cell>
          <cell r="D82">
            <v>179</v>
          </cell>
          <cell r="E82">
            <v>300345.54335606541</v>
          </cell>
          <cell r="F82">
            <v>53761852.260735713</v>
          </cell>
        </row>
        <row r="83">
          <cell r="C83" t="str">
            <v>Ярославский</v>
          </cell>
          <cell r="D83">
            <v>229</v>
          </cell>
          <cell r="E83">
            <v>267620.0197000099</v>
          </cell>
          <cell r="F83">
            <v>61284984.51130227</v>
          </cell>
        </row>
        <row r="84">
          <cell r="C84" t="str">
            <v>Куркино</v>
          </cell>
          <cell r="D84">
            <v>159</v>
          </cell>
          <cell r="E84">
            <v>325222.80800760398</v>
          </cell>
          <cell r="F84">
            <v>51710426.473209038</v>
          </cell>
        </row>
        <row r="85">
          <cell r="C85" t="str">
            <v>Митино</v>
          </cell>
          <cell r="D85">
            <v>428</v>
          </cell>
          <cell r="E85">
            <v>293729.61041273858</v>
          </cell>
          <cell r="F85">
            <v>125716273.2566521</v>
          </cell>
        </row>
        <row r="86">
          <cell r="C86" t="str">
            <v>Покровское-Стрешнево</v>
          </cell>
          <cell r="D86">
            <v>232</v>
          </cell>
          <cell r="E86">
            <v>391522.07303963799</v>
          </cell>
          <cell r="F86">
            <v>90833120.945196018</v>
          </cell>
        </row>
        <row r="87">
          <cell r="C87" t="str">
            <v>Северное Тушино</v>
          </cell>
          <cell r="D87">
            <v>331</v>
          </cell>
          <cell r="E87">
            <v>303425.84970347799</v>
          </cell>
          <cell r="F87">
            <v>100433956.2518512</v>
          </cell>
        </row>
        <row r="88">
          <cell r="C88" t="str">
            <v>Строгино</v>
          </cell>
          <cell r="D88">
            <v>268</v>
          </cell>
          <cell r="E88">
            <v>325330.1864808356</v>
          </cell>
          <cell r="F88">
            <v>87188489.976863936</v>
          </cell>
        </row>
        <row r="89">
          <cell r="C89" t="str">
            <v>Хорошево-Мневники</v>
          </cell>
          <cell r="D89">
            <v>484</v>
          </cell>
          <cell r="E89">
            <v>393529.91829732852</v>
          </cell>
          <cell r="F89">
            <v>190468480.45590699</v>
          </cell>
        </row>
        <row r="90">
          <cell r="C90" t="str">
            <v>Щукино</v>
          </cell>
          <cell r="D90">
            <v>293</v>
          </cell>
          <cell r="E90">
            <v>350842.23448938911</v>
          </cell>
          <cell r="F90">
            <v>102796774.705391</v>
          </cell>
        </row>
        <row r="91">
          <cell r="C91" t="str">
            <v>Южное Тушино</v>
          </cell>
          <cell r="D91">
            <v>272</v>
          </cell>
          <cell r="E91">
            <v>298667.60168461472</v>
          </cell>
          <cell r="F91">
            <v>81237587.658215195</v>
          </cell>
        </row>
        <row r="92">
          <cell r="C92" t="str">
            <v>Вороновское</v>
          </cell>
          <cell r="D92">
            <v>27</v>
          </cell>
          <cell r="E92">
            <v>167574.4290387033</v>
          </cell>
          <cell r="F92">
            <v>4524509.5840449901</v>
          </cell>
        </row>
        <row r="93">
          <cell r="C93" t="str">
            <v>Киевский</v>
          </cell>
          <cell r="D93">
            <v>38</v>
          </cell>
          <cell r="E93">
            <v>168448.54466018439</v>
          </cell>
          <cell r="F93">
            <v>6401044.6970870094</v>
          </cell>
        </row>
        <row r="94">
          <cell r="C94" t="str">
            <v>Кленовское</v>
          </cell>
          <cell r="D94">
            <v>8</v>
          </cell>
          <cell r="E94">
            <v>168484.00873155799</v>
          </cell>
          <cell r="F94">
            <v>1347872.0698524639</v>
          </cell>
        </row>
        <row r="95">
          <cell r="C95" t="str">
            <v>Краснопахорское</v>
          </cell>
          <cell r="D95">
            <v>22</v>
          </cell>
          <cell r="E95">
            <v>165395.4690174486</v>
          </cell>
          <cell r="F95">
            <v>3638700.3183838702</v>
          </cell>
        </row>
        <row r="96">
          <cell r="C96" t="str">
            <v>Михайлово-Ярцевское</v>
          </cell>
          <cell r="D96">
            <v>16</v>
          </cell>
          <cell r="E96">
            <v>167700.79045133459</v>
          </cell>
          <cell r="F96">
            <v>2683212.6472213529</v>
          </cell>
        </row>
        <row r="97">
          <cell r="C97" t="str">
            <v>Новофедоровское</v>
          </cell>
          <cell r="D97">
            <v>69</v>
          </cell>
          <cell r="E97">
            <v>160644.11758026871</v>
          </cell>
          <cell r="F97">
            <v>11084444.11303854</v>
          </cell>
        </row>
        <row r="98">
          <cell r="C98" t="str">
            <v>Первомайское</v>
          </cell>
          <cell r="D98">
            <v>172</v>
          </cell>
          <cell r="E98">
            <v>176992.3384844274</v>
          </cell>
          <cell r="F98">
            <v>30442682.219321512</v>
          </cell>
        </row>
        <row r="99">
          <cell r="C99" t="str">
            <v>Роговское</v>
          </cell>
          <cell r="D99">
            <v>16</v>
          </cell>
          <cell r="E99">
            <v>119382.1453908855</v>
          </cell>
          <cell r="F99">
            <v>1910114.326254169</v>
          </cell>
        </row>
        <row r="100">
          <cell r="C100" t="str">
            <v>Троицк</v>
          </cell>
          <cell r="D100">
            <v>190</v>
          </cell>
          <cell r="E100">
            <v>207761.67883618831</v>
          </cell>
          <cell r="F100">
            <v>39474718.978875794</v>
          </cell>
        </row>
        <row r="101">
          <cell r="C101" t="str">
            <v>Щаповское</v>
          </cell>
          <cell r="D101">
            <v>29</v>
          </cell>
          <cell r="E101">
            <v>167007.35177187159</v>
          </cell>
          <cell r="F101">
            <v>4843213.2013842762</v>
          </cell>
        </row>
        <row r="102">
          <cell r="C102" t="str">
            <v>Арбат</v>
          </cell>
          <cell r="D102">
            <v>286</v>
          </cell>
          <cell r="E102">
            <v>932033.81790774514</v>
          </cell>
          <cell r="F102">
            <v>266561671.92161509</v>
          </cell>
        </row>
        <row r="103">
          <cell r="C103" t="str">
            <v>Басманный</v>
          </cell>
          <cell r="D103">
            <v>601</v>
          </cell>
          <cell r="E103">
            <v>512552.32953864842</v>
          </cell>
          <cell r="F103">
            <v>308043950.0527277</v>
          </cell>
        </row>
        <row r="104">
          <cell r="C104" t="str">
            <v>Замоскворечье</v>
          </cell>
          <cell r="D104">
            <v>284</v>
          </cell>
          <cell r="E104">
            <v>589423.82382960711</v>
          </cell>
          <cell r="F104">
            <v>167396365.96760839</v>
          </cell>
        </row>
        <row r="105">
          <cell r="C105" t="str">
            <v>Красносельский</v>
          </cell>
          <cell r="D105">
            <v>273</v>
          </cell>
          <cell r="E105">
            <v>538391.45818640129</v>
          </cell>
          <cell r="F105">
            <v>146980868.08488759</v>
          </cell>
        </row>
        <row r="106">
          <cell r="C106" t="str">
            <v>Мещанский</v>
          </cell>
          <cell r="D106">
            <v>344</v>
          </cell>
          <cell r="E106">
            <v>573172.50822652678</v>
          </cell>
          <cell r="F106">
            <v>197171342.82992521</v>
          </cell>
        </row>
        <row r="107">
          <cell r="C107" t="str">
            <v>Пресненский</v>
          </cell>
          <cell r="D107">
            <v>919</v>
          </cell>
          <cell r="E107">
            <v>755398.13513455749</v>
          </cell>
          <cell r="F107">
            <v>694210886.18865836</v>
          </cell>
        </row>
        <row r="108">
          <cell r="C108" t="str">
            <v>Таганский</v>
          </cell>
          <cell r="D108">
            <v>519</v>
          </cell>
          <cell r="E108">
            <v>480405.09102581523</v>
          </cell>
          <cell r="F108">
            <v>249330242.24239811</v>
          </cell>
        </row>
        <row r="109">
          <cell r="C109" t="str">
            <v>Тверской</v>
          </cell>
          <cell r="D109">
            <v>700</v>
          </cell>
          <cell r="E109">
            <v>721878.99635980977</v>
          </cell>
          <cell r="F109">
            <v>505315297.45186692</v>
          </cell>
        </row>
        <row r="110">
          <cell r="C110" t="str">
            <v>Хамовники</v>
          </cell>
          <cell r="D110">
            <v>680</v>
          </cell>
          <cell r="E110">
            <v>807172.24219542567</v>
          </cell>
          <cell r="F110">
            <v>548877124.69288945</v>
          </cell>
        </row>
        <row r="111">
          <cell r="C111" t="str">
            <v>Якиманка</v>
          </cell>
          <cell r="D111">
            <v>177</v>
          </cell>
          <cell r="E111">
            <v>832462.12927202822</v>
          </cell>
          <cell r="F111">
            <v>147345796.88114899</v>
          </cell>
        </row>
        <row r="112">
          <cell r="C112" t="str">
            <v>Выхино-Жулебино</v>
          </cell>
          <cell r="D112">
            <v>430</v>
          </cell>
          <cell r="E112">
            <v>264689.27893592312</v>
          </cell>
          <cell r="F112">
            <v>113816389.9424469</v>
          </cell>
        </row>
        <row r="113">
          <cell r="C113" t="str">
            <v>Капотня</v>
          </cell>
          <cell r="D113">
            <v>118</v>
          </cell>
          <cell r="E113">
            <v>230921.8633752155</v>
          </cell>
          <cell r="F113">
            <v>27248779.878275421</v>
          </cell>
        </row>
        <row r="114">
          <cell r="C114" t="str">
            <v>Кузьминки</v>
          </cell>
          <cell r="D114">
            <v>313</v>
          </cell>
          <cell r="E114">
            <v>302336.6085798752</v>
          </cell>
          <cell r="F114">
            <v>94631358.485500932</v>
          </cell>
        </row>
        <row r="115">
          <cell r="C115" t="str">
            <v>Лефортово</v>
          </cell>
          <cell r="D115">
            <v>252</v>
          </cell>
          <cell r="E115">
            <v>346392.27006497863</v>
          </cell>
          <cell r="F115">
            <v>87290852.056374609</v>
          </cell>
        </row>
        <row r="116">
          <cell r="C116" t="str">
            <v>Люблино</v>
          </cell>
          <cell r="D116">
            <v>583</v>
          </cell>
          <cell r="E116">
            <v>271688.6264252385</v>
          </cell>
          <cell r="F116">
            <v>158394469.20591411</v>
          </cell>
        </row>
        <row r="117">
          <cell r="C117" t="str">
            <v>Марьино</v>
          </cell>
          <cell r="D117">
            <v>576</v>
          </cell>
          <cell r="E117">
            <v>280752.71571029478</v>
          </cell>
          <cell r="F117">
            <v>161713564.2491298</v>
          </cell>
        </row>
        <row r="118">
          <cell r="C118" t="str">
            <v>Некрасовка</v>
          </cell>
          <cell r="D118">
            <v>250</v>
          </cell>
          <cell r="E118">
            <v>227561.7341597226</v>
          </cell>
          <cell r="F118">
            <v>56890433.539930642</v>
          </cell>
        </row>
        <row r="119">
          <cell r="C119" t="str">
            <v>Нижегородский</v>
          </cell>
          <cell r="D119">
            <v>179</v>
          </cell>
          <cell r="E119">
            <v>310741.90533950098</v>
          </cell>
          <cell r="F119">
            <v>55622801.055770673</v>
          </cell>
        </row>
        <row r="120">
          <cell r="C120" t="str">
            <v>Печатники</v>
          </cell>
          <cell r="D120">
            <v>192</v>
          </cell>
          <cell r="E120">
            <v>279904.82751076779</v>
          </cell>
          <cell r="F120">
            <v>53741726.882067412</v>
          </cell>
        </row>
        <row r="121">
          <cell r="C121" t="str">
            <v>Рязанский</v>
          </cell>
          <cell r="D121">
            <v>292</v>
          </cell>
          <cell r="E121">
            <v>293339.62953639048</v>
          </cell>
          <cell r="F121">
            <v>85655171.824626014</v>
          </cell>
        </row>
        <row r="122">
          <cell r="C122" t="str">
            <v>Текстильщики</v>
          </cell>
          <cell r="D122">
            <v>296</v>
          </cell>
          <cell r="E122">
            <v>284136.85971415468</v>
          </cell>
          <cell r="F122">
            <v>84104510.475389779</v>
          </cell>
        </row>
        <row r="123">
          <cell r="C123" t="str">
            <v>Южнопортовый</v>
          </cell>
          <cell r="D123">
            <v>276</v>
          </cell>
          <cell r="E123">
            <v>344848.51343856828</v>
          </cell>
          <cell r="F123">
            <v>95178189.709044844</v>
          </cell>
        </row>
        <row r="124">
          <cell r="C124" t="str">
            <v>Академический</v>
          </cell>
          <cell r="D124">
            <v>383</v>
          </cell>
          <cell r="E124">
            <v>378335.06414573628</v>
          </cell>
          <cell r="F124">
            <v>144902329.567817</v>
          </cell>
        </row>
        <row r="125">
          <cell r="C125" t="str">
            <v>Гагаринский</v>
          </cell>
          <cell r="D125">
            <v>242</v>
          </cell>
          <cell r="E125">
            <v>472613.24372392142</v>
          </cell>
          <cell r="F125">
            <v>114372404.981189</v>
          </cell>
        </row>
        <row r="126">
          <cell r="C126" t="str">
            <v>Зюзино</v>
          </cell>
          <cell r="D126">
            <v>287</v>
          </cell>
          <cell r="E126">
            <v>338725.74970672588</v>
          </cell>
          <cell r="F126">
            <v>97214290.165830329</v>
          </cell>
        </row>
        <row r="127">
          <cell r="C127" t="str">
            <v>Коньково</v>
          </cell>
          <cell r="D127">
            <v>377</v>
          </cell>
          <cell r="E127">
            <v>327300.06281112542</v>
          </cell>
          <cell r="F127">
            <v>123392123.6797943</v>
          </cell>
        </row>
        <row r="128">
          <cell r="C128" t="str">
            <v>Котловка</v>
          </cell>
          <cell r="D128">
            <v>247</v>
          </cell>
          <cell r="E128">
            <v>354734.48453233752</v>
          </cell>
          <cell r="F128">
            <v>87619417.679487348</v>
          </cell>
        </row>
        <row r="129">
          <cell r="C129" t="str">
            <v>Ломоносовский</v>
          </cell>
          <cell r="D129">
            <v>385</v>
          </cell>
          <cell r="E129">
            <v>408360.38102650212</v>
          </cell>
          <cell r="F129">
            <v>157218746.6952033</v>
          </cell>
        </row>
        <row r="130">
          <cell r="C130" t="str">
            <v>Обручевский</v>
          </cell>
          <cell r="D130">
            <v>253</v>
          </cell>
          <cell r="E130">
            <v>383731.57135009841</v>
          </cell>
          <cell r="F130">
            <v>97084087.551574901</v>
          </cell>
        </row>
        <row r="131">
          <cell r="C131" t="str">
            <v>Северное Бутово</v>
          </cell>
          <cell r="D131">
            <v>209</v>
          </cell>
          <cell r="E131">
            <v>270602.54128156631</v>
          </cell>
          <cell r="F131">
            <v>56555931.127847351</v>
          </cell>
        </row>
        <row r="132">
          <cell r="C132" t="str">
            <v>Теплый Стан</v>
          </cell>
          <cell r="D132">
            <v>356</v>
          </cell>
          <cell r="E132">
            <v>302402.32398653321</v>
          </cell>
          <cell r="F132">
            <v>107655227.3392058</v>
          </cell>
        </row>
        <row r="133">
          <cell r="C133" t="str">
            <v>Черемушки</v>
          </cell>
          <cell r="D133">
            <v>349</v>
          </cell>
          <cell r="E133">
            <v>365927.26598785562</v>
          </cell>
          <cell r="F133">
            <v>127708615.82976159</v>
          </cell>
        </row>
        <row r="134">
          <cell r="C134" t="str">
            <v>Южное Бутово</v>
          </cell>
          <cell r="D134">
            <v>616</v>
          </cell>
          <cell r="E134">
            <v>239696.4706421037</v>
          </cell>
          <cell r="F134">
            <v>147653025.9155359</v>
          </cell>
        </row>
        <row r="135">
          <cell r="C135" t="str">
            <v>Ясенево</v>
          </cell>
          <cell r="D135">
            <v>337</v>
          </cell>
          <cell r="E135">
            <v>279433.25968528062</v>
          </cell>
          <cell r="F135">
            <v>94169008.513939545</v>
          </cell>
        </row>
        <row r="136">
          <cell r="C136" t="str">
            <v>Бирюлёво Восточное</v>
          </cell>
          <cell r="D136">
            <v>249</v>
          </cell>
          <cell r="E136">
            <v>245037.1970089259</v>
          </cell>
          <cell r="F136">
            <v>61014262.055222549</v>
          </cell>
        </row>
        <row r="137">
          <cell r="C137" t="str">
            <v>Бирюлёво Западное</v>
          </cell>
          <cell r="D137">
            <v>157</v>
          </cell>
          <cell r="E137">
            <v>229002.89556224929</v>
          </cell>
          <cell r="F137">
            <v>35953454.603273138</v>
          </cell>
        </row>
        <row r="138">
          <cell r="C138" t="str">
            <v>Братеево</v>
          </cell>
          <cell r="D138">
            <v>195</v>
          </cell>
          <cell r="E138">
            <v>271859.57698113477</v>
          </cell>
          <cell r="F138">
            <v>53012617.511321276</v>
          </cell>
        </row>
        <row r="139">
          <cell r="C139" t="str">
            <v>Даниловский</v>
          </cell>
          <cell r="D139">
            <v>436</v>
          </cell>
          <cell r="E139">
            <v>415363.19670073461</v>
          </cell>
          <cell r="F139">
            <v>181098353.7615203</v>
          </cell>
        </row>
        <row r="140">
          <cell r="C140" t="str">
            <v>Донской</v>
          </cell>
          <cell r="D140">
            <v>205</v>
          </cell>
          <cell r="E140">
            <v>405694.12886078958</v>
          </cell>
          <cell r="F140">
            <v>83167296.41646187</v>
          </cell>
        </row>
        <row r="141">
          <cell r="C141" t="str">
            <v>Зябликово</v>
          </cell>
          <cell r="D141">
            <v>215</v>
          </cell>
          <cell r="E141">
            <v>276498.32560118352</v>
          </cell>
          <cell r="F141">
            <v>59447140.004254453</v>
          </cell>
        </row>
        <row r="142">
          <cell r="C142" t="str">
            <v>Москворечье-Сабурово</v>
          </cell>
          <cell r="D142">
            <v>174</v>
          </cell>
          <cell r="E142">
            <v>299846.24539179908</v>
          </cell>
          <cell r="F142">
            <v>52173246.698173039</v>
          </cell>
        </row>
        <row r="143">
          <cell r="C143" t="str">
            <v>Нагатино-Садовники</v>
          </cell>
          <cell r="D143">
            <v>282</v>
          </cell>
          <cell r="E143">
            <v>337605.68310621107</v>
          </cell>
          <cell r="F143">
            <v>95204802.635951534</v>
          </cell>
        </row>
        <row r="144">
          <cell r="C144" t="str">
            <v>Нагатинский Затон</v>
          </cell>
          <cell r="D144">
            <v>261</v>
          </cell>
          <cell r="E144">
            <v>352518.68566646788</v>
          </cell>
          <cell r="F144">
            <v>92007376.958948135</v>
          </cell>
        </row>
        <row r="145">
          <cell r="C145" t="str">
            <v>Нагорный</v>
          </cell>
          <cell r="D145">
            <v>300</v>
          </cell>
          <cell r="E145">
            <v>324188.72613922862</v>
          </cell>
          <cell r="F145">
            <v>97256617.841768578</v>
          </cell>
        </row>
        <row r="146">
          <cell r="C146" t="str">
            <v>Орехово-Борисово Северное</v>
          </cell>
          <cell r="D146">
            <v>218</v>
          </cell>
          <cell r="E146">
            <v>292427.91283692821</v>
          </cell>
          <cell r="F146">
            <v>63749284.998450346</v>
          </cell>
        </row>
        <row r="147">
          <cell r="C147" t="str">
            <v>Орехово-Борисово Южное</v>
          </cell>
          <cell r="D147">
            <v>255</v>
          </cell>
          <cell r="E147">
            <v>271380.72985784872</v>
          </cell>
          <cell r="F147">
            <v>69202086.113751411</v>
          </cell>
        </row>
        <row r="148">
          <cell r="C148" t="str">
            <v>Царицыно</v>
          </cell>
          <cell r="D148">
            <v>241</v>
          </cell>
          <cell r="E148">
            <v>293402.55816193821</v>
          </cell>
          <cell r="F148">
            <v>70710016.517027095</v>
          </cell>
        </row>
        <row r="149">
          <cell r="C149" t="str">
            <v>Чертаново Северное</v>
          </cell>
          <cell r="D149">
            <v>206</v>
          </cell>
          <cell r="E149">
            <v>308257.22031297989</v>
          </cell>
          <cell r="F149">
            <v>63500987.38447386</v>
          </cell>
        </row>
        <row r="150">
          <cell r="C150" t="str">
            <v>Чертаново Центральное</v>
          </cell>
          <cell r="D150">
            <v>251</v>
          </cell>
          <cell r="E150">
            <v>270139.81498914189</v>
          </cell>
          <cell r="F150">
            <v>67805093.56227462</v>
          </cell>
        </row>
        <row r="151">
          <cell r="C151" t="str">
            <v>Чертаново Южное</v>
          </cell>
          <cell r="D151">
            <v>351</v>
          </cell>
          <cell r="E151">
            <v>277690.88123425661</v>
          </cell>
          <cell r="F151">
            <v>97469499.313224062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5908.389811689813" createdVersion="7" refreshedVersion="8" minRefreshableVersion="3" recordCount="804" xr:uid="{BFA6C9D3-CDAC-4EE9-84C2-7B0ED3CC8144}">
  <cacheSource type="worksheet">
    <worksheetSource name="DT_data"/>
  </cacheSource>
  <cacheFields count="7">
    <cacheField name="Период" numFmtId="14">
      <sharedItems containsSemiMixedTypes="0" containsNonDate="0" containsDate="1" containsString="0" minDate="2020-02-01T00:00:00" maxDate="2025-08-02T00:00:00" count="67">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sharedItems>
      <fieldGroup par="6" base="0">
        <rangePr groupBy="months" startDate="2020-02-01T00:00:00" endDate="2025-08-02T00:00:00"/>
        <groupItems count="14">
          <s v="&lt;01.02.2020"/>
          <s v="янв"/>
          <s v="фев"/>
          <s v="мар"/>
          <s v="апр"/>
          <s v="май"/>
          <s v="июн"/>
          <s v="июл"/>
          <s v="авг"/>
          <s v="сен"/>
          <s v="окт"/>
          <s v="ноя"/>
          <s v="дек"/>
          <s v="&gt;02.08.2025"/>
        </groupItems>
      </fieldGroup>
    </cacheField>
    <cacheField name="Округ" numFmtId="0">
      <sharedItems/>
    </cacheField>
    <cacheField name="Объем предложения" numFmtId="0">
      <sharedItems containsMixedTypes="1" containsNumber="1" minValue="0" maxValue="8180"/>
    </cacheField>
    <cacheField name="Средневзвешенная цена" numFmtId="0">
      <sharedItems containsSemiMixedTypes="0" containsString="0" containsNumber="1" minValue="0" maxValue="700027.13102242816"/>
    </cacheField>
    <cacheField name="Изменение объема к предыдущему месяцу" numFmtId="9">
      <sharedItems containsMixedTypes="1" containsNumber="1" minValue="-1" maxValue="1.4975124378109452"/>
    </cacheField>
    <cacheField name="Изменение цены к предыдущему месяцу" numFmtId="9">
      <sharedItems containsMixedTypes="1" containsNumber="1" minValue="-1" maxValue="0.1146492648540498"/>
    </cacheField>
    <cacheField name="Годы" numFmtId="0" databaseField="0">
      <fieldGroup base="0">
        <rangePr groupBy="years" startDate="2020-02-01T00:00:00" endDate="2025-08-02T00:00:00"/>
        <groupItems count="8">
          <s v="&lt;01.02.2020"/>
          <s v="2020"/>
          <s v="2021"/>
          <s v="2022"/>
          <s v="2023"/>
          <s v="2024"/>
          <s v="2025"/>
          <s v="&gt;02.08.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5908.390121759257" createdVersion="7" refreshedVersion="8" minRefreshableVersion="3" recordCount="804" xr:uid="{515BDCBB-69D0-496F-BFAB-ABB4B6C4EFEB}">
  <cacheSource type="worksheet">
    <worksheetSource ref="A1:F805" sheet="Данные"/>
  </cacheSource>
  <cacheFields count="8">
    <cacheField name="Период" numFmtId="14">
      <sharedItems containsSemiMixedTypes="0" containsNonDate="0" containsDate="1" containsString="0" minDate="2020-02-01T00:00:00" maxDate="2025-08-02T00:00:00" count="67">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sharedItems>
      <fieldGroup par="7" base="0">
        <rangePr groupBy="months" startDate="2020-02-01T00:00:00" endDate="2025-08-02T00:00:00"/>
        <groupItems count="14">
          <s v="&lt;01.02.2020"/>
          <s v="янв"/>
          <s v="фев"/>
          <s v="мар"/>
          <s v="апр"/>
          <s v="май"/>
          <s v="июн"/>
          <s v="июл"/>
          <s v="авг"/>
          <s v="сен"/>
          <s v="окт"/>
          <s v="ноя"/>
          <s v="дек"/>
          <s v="&gt;02.08.2025"/>
        </groupItems>
      </fieldGroup>
    </cacheField>
    <cacheField name="Округ" numFmtId="0">
      <sharedItems count="12">
        <s v="Восточный АО"/>
        <s v="Западный АО"/>
        <s v="Новомосковский"/>
        <s v="Северный АО"/>
        <s v="Северо-Восточный АО"/>
        <s v="Северо-Западный АО"/>
        <s v="Троицкий"/>
        <s v="Центральный АО"/>
        <s v="Юго-Восточный АО"/>
        <s v="Юго-Западный АО"/>
        <s v="Южный АО"/>
        <s v="Зеленоградский АО"/>
      </sharedItems>
    </cacheField>
    <cacheField name="Объем предложения" numFmtId="0">
      <sharedItems containsMixedTypes="1" containsNumber="1" minValue="0" maxValue="8180"/>
    </cacheField>
    <cacheField name="Средневзвешенная цена" numFmtId="0">
      <sharedItems containsSemiMixedTypes="0" containsString="0" containsNumber="1" minValue="0" maxValue="700027.13102242816"/>
    </cacheField>
    <cacheField name="Изменение объема к предыдущему месяцу" numFmtId="9">
      <sharedItems containsMixedTypes="1" containsNumber="1" minValue="-1" maxValue="1.4975124378109452"/>
    </cacheField>
    <cacheField name="Изменение цены к предыдущему месяцу" numFmtId="9">
      <sharedItems containsMixedTypes="1" containsNumber="1" minValue="-1" maxValue="0.1146492648540498"/>
    </cacheField>
    <cacheField name="Кварталы" numFmtId="0" databaseField="0">
      <fieldGroup base="0">
        <rangePr groupBy="quarters" startDate="2020-02-01T00:00:00" endDate="2025-08-02T00:00:00"/>
        <groupItems count="6">
          <s v="&lt;01.02.2020"/>
          <s v="Кв-л1"/>
          <s v="Кв-л2"/>
          <s v="Кв-л3"/>
          <s v="Кв-л4"/>
          <s v="&gt;02.08.2025"/>
        </groupItems>
      </fieldGroup>
    </cacheField>
    <cacheField name="Годы" numFmtId="0" databaseField="0">
      <fieldGroup base="0">
        <rangePr groupBy="years" startDate="2020-02-01T00:00:00" endDate="2025-08-02T00:00:00"/>
        <groupItems count="8">
          <s v="&lt;01.02.2020"/>
          <s v="2020"/>
          <s v="2021"/>
          <s v="2022"/>
          <s v="2023"/>
          <s v="2024"/>
          <s v="2025"/>
          <s v="&gt;02.08.2025"/>
        </groupItems>
      </fieldGroup>
    </cacheField>
  </cacheFields>
  <extLst>
    <ext xmlns:x14="http://schemas.microsoft.com/office/spreadsheetml/2009/9/main" uri="{725AE2AE-9491-48be-B2B4-4EB974FC3084}">
      <x14:pivotCacheDefinition pivotCacheId="1698484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s v="Восточный АО"/>
    <n v="4978"/>
    <n v="186881.59883597228"/>
    <s v=""/>
    <s v=""/>
  </r>
  <r>
    <x v="0"/>
    <s v="Западный АО"/>
    <n v="6871"/>
    <n v="250628.75470015861"/>
    <s v=""/>
    <s v=""/>
  </r>
  <r>
    <x v="0"/>
    <s v="Новомосковский"/>
    <n v="904"/>
    <n v="149719.01674303104"/>
    <s v=""/>
    <s v=""/>
  </r>
  <r>
    <x v="0"/>
    <s v="Северный АО"/>
    <n v="5244"/>
    <n v="219881.54225453085"/>
    <s v=""/>
    <s v=""/>
  </r>
  <r>
    <x v="0"/>
    <s v="Северо-Восточный АО"/>
    <n v="5331"/>
    <n v="195689.13369485462"/>
    <s v=""/>
    <s v=""/>
  </r>
  <r>
    <x v="0"/>
    <s v="Северо-Западный АО"/>
    <n v="3139"/>
    <n v="211922.92506207706"/>
    <s v=""/>
    <s v=""/>
  </r>
  <r>
    <x v="0"/>
    <s v="Троицкий"/>
    <n v="183"/>
    <n v="107661.93485617486"/>
    <s v=""/>
    <s v=""/>
  </r>
  <r>
    <x v="0"/>
    <s v="Центральный АО"/>
    <n v="8180"/>
    <n v="435844.15611544129"/>
    <s v=""/>
    <s v=""/>
  </r>
  <r>
    <x v="0"/>
    <s v="Юго-Восточный АО"/>
    <n v="5183"/>
    <n v="177566.66483721207"/>
    <s v=""/>
    <s v=""/>
  </r>
  <r>
    <x v="0"/>
    <s v="Юго-Западный АО"/>
    <n v="5809"/>
    <n v="219292.47650745051"/>
    <s v=""/>
    <s v=""/>
  </r>
  <r>
    <x v="0"/>
    <s v="Южный АО"/>
    <n v="5316"/>
    <n v="194781.37282670615"/>
    <s v=""/>
    <s v=""/>
  </r>
  <r>
    <x v="0"/>
    <s v="Зеленоградский АО"/>
    <n v="0"/>
    <n v="0"/>
    <s v=""/>
    <s v=""/>
  </r>
  <r>
    <x v="1"/>
    <s v="Восточный АО"/>
    <n v="4751"/>
    <n v="189676.16829017893"/>
    <n v="-4.5600642828445115E-2"/>
    <n v="1.495368977798317E-2"/>
  </r>
  <r>
    <x v="1"/>
    <s v="Западный АО"/>
    <n v="6539"/>
    <n v="253823.23408582856"/>
    <n v="-4.8319021976422682E-2"/>
    <n v="1.274586146147394E-2"/>
  </r>
  <r>
    <x v="1"/>
    <s v="Новомосковский"/>
    <n v="820"/>
    <n v="149130.44940832927"/>
    <n v="-9.2920353982300918E-2"/>
    <n v="-3.931146139651398E-3"/>
  </r>
  <r>
    <x v="1"/>
    <s v="Северный АО"/>
    <n v="5076"/>
    <n v="221727.08693223004"/>
    <n v="-3.2036613272311221E-2"/>
    <n v="8.3933588002709225E-3"/>
  </r>
  <r>
    <x v="1"/>
    <s v="Северо-Восточный АО"/>
    <n v="5014"/>
    <n v="199279.43185268046"/>
    <n v="-5.9463515287938473E-2"/>
    <n v="1.8346946966530719E-2"/>
  </r>
  <r>
    <x v="1"/>
    <s v="Северо-Западный АО"/>
    <n v="3084"/>
    <n v="214557.84009216924"/>
    <n v="-1.7521503663587179E-2"/>
    <n v="1.2433364768442923E-2"/>
  </r>
  <r>
    <x v="1"/>
    <s v="Троицкий"/>
    <n v="152"/>
    <n v="109808.94645375002"/>
    <n v="-0.1693989071038251"/>
    <n v="1.9942160620123994E-2"/>
  </r>
  <r>
    <x v="1"/>
    <s v="Центральный АО"/>
    <n v="8128"/>
    <n v="454712.7449541252"/>
    <n v="-6.3569682151589646E-3"/>
    <n v="4.3292054221523601E-2"/>
  </r>
  <r>
    <x v="1"/>
    <s v="Юго-Восточный АО"/>
    <n v="5066"/>
    <n v="178792.0863051303"/>
    <n v="-2.2573798958132385E-2"/>
    <n v="6.9011909923615278E-3"/>
  </r>
  <r>
    <x v="1"/>
    <s v="Юго-Западный АО"/>
    <n v="5714"/>
    <n v="220515.75756987921"/>
    <n v="-1.6353933551385813E-2"/>
    <n v="5.5783083939366929E-3"/>
  </r>
  <r>
    <x v="1"/>
    <s v="Южный АО"/>
    <n v="5279"/>
    <n v="196955.88015947907"/>
    <n v="-6.9601203912715848E-3"/>
    <n v="1.1163836157513707E-2"/>
  </r>
  <r>
    <x v="1"/>
    <s v="Зеленоградский АО"/>
    <n v="0"/>
    <n v="0"/>
    <s v=""/>
    <s v=""/>
  </r>
  <r>
    <x v="2"/>
    <s v="Восточный АО"/>
    <n v="3184"/>
    <n v="193065.69226812199"/>
    <n v="-0.32982529993685539"/>
    <n v="1.7870057205908729E-2"/>
  </r>
  <r>
    <x v="2"/>
    <s v="Западный АО"/>
    <n v="4784"/>
    <n v="271405.14032733499"/>
    <n v="-0.26838966202783299"/>
    <n v="6.9268309123983629E-2"/>
  </r>
  <r>
    <x v="2"/>
    <s v="Новомосковский"/>
    <n v="619"/>
    <n v="149242.48659631106"/>
    <n v="-0.24512195121951219"/>
    <n v="7.5126969995942261E-4"/>
  </r>
  <r>
    <x v="2"/>
    <s v="Северный АО"/>
    <n v="3608"/>
    <n v="231120.57598146616"/>
    <n v="-0.28920409771473599"/>
    <n v="4.2365094762225386E-2"/>
  </r>
  <r>
    <x v="2"/>
    <s v="Северо-Восточный АО"/>
    <n v="3381"/>
    <n v="203485.70774147296"/>
    <n v="-0.32568807339449546"/>
    <n v="2.1107426138699648E-2"/>
  </r>
  <r>
    <x v="2"/>
    <s v="Северо-Западный АО"/>
    <n v="2134"/>
    <n v="223078.79281268976"/>
    <n v="-0.30804150453955903"/>
    <n v="3.9714012393395226E-2"/>
  </r>
  <r>
    <x v="2"/>
    <s v="Троицкий"/>
    <n v="101"/>
    <n v="110007.16171009434"/>
    <n v="-0.33552631578947367"/>
    <n v="1.8050920507448609E-3"/>
  </r>
  <r>
    <x v="2"/>
    <s v="Центральный АО"/>
    <n v="7125"/>
    <n v="506845.22688288271"/>
    <n v="-0.12340059055118113"/>
    <n v="0.1146492648540498"/>
  </r>
  <r>
    <x v="2"/>
    <s v="Юго-Восточный АО"/>
    <n v="3358"/>
    <n v="179632.39860105398"/>
    <n v="-0.33714962495065137"/>
    <n v="4.6999412182571199E-3"/>
  </r>
  <r>
    <x v="2"/>
    <s v="Юго-Западный АО"/>
    <n v="3932"/>
    <n v="225259.64081914292"/>
    <n v="-0.31186559327966401"/>
    <n v="2.151267238923027E-2"/>
  </r>
  <r>
    <x v="2"/>
    <s v="Южный АО"/>
    <n v="3709"/>
    <n v="198242.42804237796"/>
    <n v="-0.29740481151733278"/>
    <n v="6.5321628471164406E-3"/>
  </r>
  <r>
    <x v="2"/>
    <s v="Зеленоградский АО"/>
    <n v="0"/>
    <n v="0"/>
    <s v=""/>
    <s v=""/>
  </r>
  <r>
    <x v="3"/>
    <s v="Восточный АО"/>
    <n v="3693"/>
    <n v="193645.07519025946"/>
    <n v="0.15986180904522618"/>
    <n v="3.0009626015421453E-3"/>
  </r>
  <r>
    <x v="3"/>
    <s v="Западный АО"/>
    <n v="5340"/>
    <n v="262902.16734731762"/>
    <n v="0.11622073578595327"/>
    <n v="-3.1329447075918115E-2"/>
  </r>
  <r>
    <x v="3"/>
    <s v="Новомосковский"/>
    <n v="725"/>
    <n v="149825.17636999988"/>
    <n v="0.17124394184168024"/>
    <n v="3.9043156340925478E-3"/>
  </r>
  <r>
    <x v="3"/>
    <s v="Северный АО"/>
    <n v="4110"/>
    <n v="226815.92159930311"/>
    <n v="0.13913525498891355"/>
    <n v="-1.8625145614504901E-2"/>
  </r>
  <r>
    <x v="3"/>
    <s v="Северо-Восточный АО"/>
    <n v="3845"/>
    <n v="204127.9181143186"/>
    <n v="0.13723750369713095"/>
    <n v="3.1560465841737884E-3"/>
  </r>
  <r>
    <x v="3"/>
    <s v="Северо-Западный АО"/>
    <n v="2384"/>
    <n v="219803.99452767361"/>
    <n v="0.11715089034676662"/>
    <n v="-1.4680007201607337E-2"/>
  </r>
  <r>
    <x v="3"/>
    <s v="Троицкий"/>
    <n v="108"/>
    <n v="114759.13339828324"/>
    <n v="6.9306930693069368E-2"/>
    <n v="4.3196930220888108E-2"/>
  </r>
  <r>
    <x v="3"/>
    <s v="Центральный АО"/>
    <n v="7471"/>
    <n v="476637.9608552499"/>
    <n v="4.8561403508772027E-2"/>
    <n v="-5.9598600175064576E-2"/>
  </r>
  <r>
    <x v="3"/>
    <s v="Юго-Восточный АО"/>
    <n v="3793"/>
    <n v="180106.2554264222"/>
    <n v="0.12954139368671824"/>
    <n v="2.6379251686139416E-3"/>
  </r>
  <r>
    <x v="3"/>
    <s v="Юго-Западный АО"/>
    <n v="4502"/>
    <n v="224658.71785201639"/>
    <n v="0.14496439471007116"/>
    <n v="-2.6676903369876603E-3"/>
  </r>
  <r>
    <x v="3"/>
    <s v="Южный АО"/>
    <n v="4080"/>
    <n v="198537.20508864647"/>
    <n v="0.10002696144513346"/>
    <n v="1.4869523601954704E-3"/>
  </r>
  <r>
    <x v="3"/>
    <s v="Зеленоградский АО"/>
    <n v="0"/>
    <n v="0"/>
    <s v=""/>
    <s v=""/>
  </r>
  <r>
    <x v="4"/>
    <s v="Восточный АО"/>
    <n v="4359"/>
    <n v="193154.90732988881"/>
    <n v="0.18034118602761984"/>
    <n v="-2.5312694365661192E-3"/>
  </r>
  <r>
    <x v="4"/>
    <s v="Западный АО"/>
    <n v="5910"/>
    <n v="258806.72312859545"/>
    <n v="0.10674157303370779"/>
    <n v="-1.5577826002901363E-2"/>
  </r>
  <r>
    <x v="4"/>
    <s v="Новомосковский"/>
    <n v="835"/>
    <n v="150412.72032249469"/>
    <n v="0.15172413793103456"/>
    <n v="3.9215301909194533E-3"/>
  </r>
  <r>
    <x v="4"/>
    <s v="Северный АО"/>
    <n v="4639"/>
    <n v="226938.57650398079"/>
    <n v="0.1287104622871047"/>
    <n v="5.4076849549544725E-4"/>
  </r>
  <r>
    <x v="4"/>
    <s v="Северо-Восточный АО"/>
    <n v="4374"/>
    <n v="204628.71519037255"/>
    <n v="0.1375812743823146"/>
    <n v="2.4533492560947501E-3"/>
  </r>
  <r>
    <x v="4"/>
    <s v="Северо-Западный АО"/>
    <n v="2802"/>
    <n v="216294.95157286353"/>
    <n v="0.17533557046979875"/>
    <n v="-1.5964418491804411E-2"/>
  </r>
  <r>
    <x v="4"/>
    <s v="Троицкий"/>
    <n v="133"/>
    <n v="119193.28772187616"/>
    <n v="0.2314814814814814"/>
    <n v="3.8638792332142513E-2"/>
  </r>
  <r>
    <x v="4"/>
    <s v="Центральный АО"/>
    <n v="7449"/>
    <n v="473423.35592662328"/>
    <n v="-2.9447195823851802E-3"/>
    <n v="-6.7443325807674537E-3"/>
  </r>
  <r>
    <x v="4"/>
    <s v="Юго-Восточный АО"/>
    <n v="4640"/>
    <n v="180518.92279830819"/>
    <n v="0.22330609016609548"/>
    <n v="2.2912439710045529E-3"/>
  </r>
  <r>
    <x v="4"/>
    <s v="Юго-Западный АО"/>
    <n v="5189"/>
    <n v="223714.34624876463"/>
    <n v="0.15259884495779663"/>
    <n v="-4.2035831606312968E-3"/>
  </r>
  <r>
    <x v="4"/>
    <s v="Южный АО"/>
    <n v="4808"/>
    <n v="197965.84965900352"/>
    <n v="0.17843137254901964"/>
    <n v="-2.877825490632091E-3"/>
  </r>
  <r>
    <x v="4"/>
    <s v="Зеленоградский АО"/>
    <n v="0"/>
    <n v="0"/>
    <s v=""/>
    <s v=""/>
  </r>
  <r>
    <x v="5"/>
    <s v="Восточный АО"/>
    <n v="4398"/>
    <n v="193771.53174194237"/>
    <n v="8.9470061940812862E-3"/>
    <n v="3.1923828422355527E-3"/>
  </r>
  <r>
    <x v="5"/>
    <s v="Западный АО"/>
    <n v="5846"/>
    <n v="259270.84422783839"/>
    <n v="-1.0829103214890057E-2"/>
    <n v="1.7933116019259732E-3"/>
  </r>
  <r>
    <x v="5"/>
    <s v="Новомосковский"/>
    <n v="734"/>
    <n v="152758.76944807201"/>
    <n v="-0.12095808383233531"/>
    <n v="1.559741171190332E-2"/>
  </r>
  <r>
    <x v="5"/>
    <s v="Северный АО"/>
    <n v="4557"/>
    <n v="225564.80501194787"/>
    <n v="-1.7676223323992213E-2"/>
    <n v="-6.053494796680492E-3"/>
  </r>
  <r>
    <x v="5"/>
    <s v="Северо-Восточный АО"/>
    <n v="4320"/>
    <n v="205183.89669872029"/>
    <n v="-1.2345679012345734E-2"/>
    <n v="2.7131163279368042E-3"/>
  </r>
  <r>
    <x v="5"/>
    <s v="Северо-Западный АО"/>
    <n v="2834"/>
    <n v="216240.63454763751"/>
    <n v="1.142041399000715E-2"/>
    <n v="-2.5112479431921297E-4"/>
  </r>
  <r>
    <x v="5"/>
    <s v="Троицкий"/>
    <n v="153"/>
    <n v="118866.70313547953"/>
    <n v="0.15037593984962405"/>
    <n v="-2.7399578670794789E-3"/>
  </r>
  <r>
    <x v="5"/>
    <s v="Центральный АО"/>
    <n v="7266"/>
    <n v="470411.8491181531"/>
    <n v="-2.4567055980668551E-2"/>
    <n v="-6.3611285137713525E-3"/>
  </r>
  <r>
    <x v="5"/>
    <s v="Юго-Восточный АО"/>
    <n v="4622"/>
    <n v="181588.45967409431"/>
    <n v="-3.8793103448275801E-3"/>
    <n v="5.9247909261075371E-3"/>
  </r>
  <r>
    <x v="5"/>
    <s v="Юго-Западный АО"/>
    <n v="5336"/>
    <n v="224034.02776806464"/>
    <n v="2.8329157833879348E-2"/>
    <n v="1.4289719218298913E-3"/>
  </r>
  <r>
    <x v="5"/>
    <s v="Южный АО"/>
    <n v="4750"/>
    <n v="198828.68868675246"/>
    <n v="-1.2063227953410971E-2"/>
    <n v="4.3585246103565733E-3"/>
  </r>
  <r>
    <x v="5"/>
    <s v="Зеленоградский АО"/>
    <n v="0"/>
    <n v="0"/>
    <s v=""/>
    <s v=""/>
  </r>
  <r>
    <x v="6"/>
    <s v="Восточный АО"/>
    <n v="4406"/>
    <n v="196359.50406855665"/>
    <n v="1.8190086402909422E-3"/>
    <n v="1.3355792274279299E-2"/>
  </r>
  <r>
    <x v="6"/>
    <s v="Западный АО"/>
    <n v="5723"/>
    <n v="261062.05807217854"/>
    <n v="-2.1040027369141345E-2"/>
    <n v="6.9086589727231917E-3"/>
  </r>
  <r>
    <x v="6"/>
    <s v="Новомосковский"/>
    <n v="686"/>
    <n v="154507.01946795025"/>
    <n v="-6.5395095367847378E-2"/>
    <n v="1.1444514944672468E-2"/>
  </r>
  <r>
    <x v="6"/>
    <s v="Северный АО"/>
    <n v="4338"/>
    <n v="228416.83481290759"/>
    <n v="-4.8057932850559593E-2"/>
    <n v="1.2643948601860355E-2"/>
  </r>
  <r>
    <x v="6"/>
    <s v="Северо-Восточный АО"/>
    <n v="4320"/>
    <n v="208545.5849842903"/>
    <n v="0"/>
    <n v="1.6383782254150825E-2"/>
  </r>
  <r>
    <x v="6"/>
    <s v="Северо-Западный АО"/>
    <n v="2681"/>
    <n v="218489.12762679125"/>
    <n v="-5.3987297106563137E-2"/>
    <n v="1.0398106183222344E-2"/>
  </r>
  <r>
    <x v="6"/>
    <s v="Троицкий"/>
    <n v="155"/>
    <n v="122283.18840027084"/>
    <n v="1.3071895424836555E-2"/>
    <n v="2.8742155495785404E-2"/>
  </r>
  <r>
    <x v="6"/>
    <s v="Центральный АО"/>
    <n v="7104"/>
    <n v="473782.59513865499"/>
    <n v="-2.2295623451692781E-2"/>
    <n v="7.165521078647874E-3"/>
  </r>
  <r>
    <x v="6"/>
    <s v="Юго-Восточный АО"/>
    <n v="4602"/>
    <n v="183216.8568633195"/>
    <n v="-4.3271311120727241E-3"/>
    <n v="8.9675147426644397E-3"/>
  </r>
  <r>
    <x v="6"/>
    <s v="Юго-Западный АО"/>
    <n v="5215"/>
    <n v="225873.2696417782"/>
    <n v="-2.2676161919040427E-2"/>
    <n v="8.2096540960181486E-3"/>
  </r>
  <r>
    <x v="6"/>
    <s v="Южный АО"/>
    <n v="4644"/>
    <n v="201862.54458243187"/>
    <n v="-2.2315789473684178E-2"/>
    <n v="1.5258642581801318E-2"/>
  </r>
  <r>
    <x v="6"/>
    <s v="Зеленоградский АО"/>
    <n v="0"/>
    <n v="0"/>
    <s v=""/>
    <s v=""/>
  </r>
  <r>
    <x v="7"/>
    <s v="Восточный АО"/>
    <n v="4412"/>
    <n v="201082.52304088447"/>
    <n v="1.3617793917386489E-3"/>
    <n v="2.4052917605041468E-2"/>
  </r>
  <r>
    <x v="7"/>
    <s v="Западный АО"/>
    <n v="5422"/>
    <n v="267512.7984425716"/>
    <n v="-5.25947929407653E-2"/>
    <n v="2.4709605133847345E-2"/>
  </r>
  <r>
    <x v="7"/>
    <s v="Новомосковский"/>
    <n v="690"/>
    <n v="159503.01647369939"/>
    <n v="5.8309037900874383E-3"/>
    <n v="3.2335081104748697E-2"/>
  </r>
  <r>
    <x v="7"/>
    <s v="Северный АО"/>
    <n v="4169"/>
    <n v="233369.73369604201"/>
    <n v="-3.8958045182111545E-2"/>
    <n v="2.1683598265387349E-2"/>
  </r>
  <r>
    <x v="7"/>
    <s v="Северо-Восточный АО"/>
    <n v="4126"/>
    <n v="212295.60668226599"/>
    <n v="-4.4907407407407396E-2"/>
    <n v="1.7981784166076542E-2"/>
  </r>
  <r>
    <x v="7"/>
    <s v="Северо-Западный АО"/>
    <n v="2541"/>
    <n v="223895.59241500843"/>
    <n v="-5.2219321148825104E-2"/>
    <n v="2.4744777220458092E-2"/>
  </r>
  <r>
    <x v="7"/>
    <s v="Троицкий"/>
    <n v="152"/>
    <n v="124611.10201898518"/>
    <n v="-1.9354838709677469E-2"/>
    <n v="1.9037070010755386E-2"/>
  </r>
  <r>
    <x v="7"/>
    <s v="Центральный АО"/>
    <n v="7049"/>
    <n v="480526.8372177697"/>
    <n v="-7.7421171171171421E-3"/>
    <n v="1.4234887790973039E-2"/>
  </r>
  <r>
    <x v="7"/>
    <s v="Юго-Восточный АО"/>
    <n v="4600"/>
    <n v="187103.08992856898"/>
    <n v="-4.3459365493259128E-4"/>
    <n v="2.121111087583305E-2"/>
  </r>
  <r>
    <x v="7"/>
    <s v="Юго-Западный АО"/>
    <n v="4872"/>
    <n v="231188.57252377388"/>
    <n v="-6.5771812080536951E-2"/>
    <n v="2.3532235091055398E-2"/>
  </r>
  <r>
    <x v="7"/>
    <s v="Южный АО"/>
    <n v="4584"/>
    <n v="206029.49940472984"/>
    <n v="-1.2919896640826822E-2"/>
    <n v="2.0642535894499936E-2"/>
  </r>
  <r>
    <x v="7"/>
    <s v="Зеленоградский АО"/>
    <n v="0"/>
    <n v="0"/>
    <s v=""/>
    <s v=""/>
  </r>
  <r>
    <x v="8"/>
    <s v="Восточный АО"/>
    <n v="4141"/>
    <n v="207111.72337321992"/>
    <n v="-6.1423390752493146E-2"/>
    <n v="2.998371136963307E-2"/>
  </r>
  <r>
    <x v="8"/>
    <s v="Западный АО"/>
    <n v="5134"/>
    <n v="274968.23374355608"/>
    <n v="-5.3116931021763181E-2"/>
    <n v="2.786945276782693E-2"/>
  </r>
  <r>
    <x v="8"/>
    <s v="Новомосковский"/>
    <n v="667"/>
    <n v="163550.63416633816"/>
    <n v="-3.3333333333333326E-2"/>
    <n v="2.5376433512818153E-2"/>
  </r>
  <r>
    <x v="8"/>
    <s v="Северный АО"/>
    <n v="3988"/>
    <n v="240481.15474768801"/>
    <n v="-4.3415687215159537E-2"/>
    <n v="3.0472764994060597E-2"/>
  </r>
  <r>
    <x v="8"/>
    <s v="Северо-Восточный АО"/>
    <n v="3863"/>
    <n v="218383.82581986193"/>
    <n v="-6.3742123121667493E-2"/>
    <n v="2.8678026986719063E-2"/>
  </r>
  <r>
    <x v="8"/>
    <s v="Северо-Западный АО"/>
    <n v="2408"/>
    <n v="232284.88158100072"/>
    <n v="-5.2341597796143224E-2"/>
    <n v="3.7469648578173365E-2"/>
  </r>
  <r>
    <x v="8"/>
    <s v="Троицкий"/>
    <n v="143"/>
    <n v="129934.95857910582"/>
    <n v="-5.9210526315789491E-2"/>
    <n v="4.2723773996553804E-2"/>
  </r>
  <r>
    <x v="8"/>
    <s v="Центральный АО"/>
    <n v="6784"/>
    <n v="485369.39769288228"/>
    <n v="-3.7593984962406068E-2"/>
    <n v="1.0077606701741848E-2"/>
  </r>
  <r>
    <x v="8"/>
    <s v="Юго-Восточный АО"/>
    <n v="4215"/>
    <n v="193257.30812112009"/>
    <n v="-8.369565217391306E-2"/>
    <n v="3.2892124843585613E-2"/>
  </r>
  <r>
    <x v="8"/>
    <s v="Юго-Западный АО"/>
    <n v="4439"/>
    <n v="238795.99123354859"/>
    <n v="-8.8875205254515643E-2"/>
    <n v="3.2905686586184535E-2"/>
  </r>
  <r>
    <x v="8"/>
    <s v="Южный АО"/>
    <n v="4262"/>
    <n v="213104.89335435766"/>
    <n v="-7.024432809773129E-2"/>
    <n v="3.4341654811909761E-2"/>
  </r>
  <r>
    <x v="8"/>
    <s v="Зеленоградский АО"/>
    <n v="0"/>
    <n v="0"/>
    <s v=""/>
    <s v=""/>
  </r>
  <r>
    <x v="9"/>
    <s v="Восточный АО"/>
    <n v="3694"/>
    <n v="213064"/>
    <n v="-0.10794494083554695"/>
    <n v="2.873944810962703E-2"/>
  </r>
  <r>
    <x v="9"/>
    <s v="Западный АО"/>
    <n v="4691"/>
    <n v="284145.07223511301"/>
    <n v="-8.628749513050249E-2"/>
    <n v="3.3374176960803137E-2"/>
  </r>
  <r>
    <x v="9"/>
    <s v="Новомосковский"/>
    <n v="555"/>
    <n v="166987.00442482485"/>
    <n v="-0.16791604197901044"/>
    <n v="2.101104820536337E-2"/>
  </r>
  <r>
    <x v="9"/>
    <s v="Северный АО"/>
    <n v="3591"/>
    <n v="248660.81808217699"/>
    <n v="-9.9548645937813429E-2"/>
    <n v="3.4013739426156153E-2"/>
  </r>
  <r>
    <x v="9"/>
    <s v="Северо-Восточный АО"/>
    <n v="3504"/>
    <n v="224126.573099884"/>
    <n v="-9.2932953662956286E-2"/>
    <n v="2.6296577864512116E-2"/>
  </r>
  <r>
    <x v="9"/>
    <s v="Северо-Западный АО"/>
    <n v="2275"/>
    <n v="240315.44433147885"/>
    <n v="-5.5232558139534871E-2"/>
    <n v="3.4572042294873873E-2"/>
  </r>
  <r>
    <x v="9"/>
    <s v="Троицкий"/>
    <n v="128"/>
    <n v="129043"/>
    <n v="-0.1048951048951049"/>
    <n v="-6.8646543536841076E-3"/>
  </r>
  <r>
    <x v="9"/>
    <s v="Центральный АО"/>
    <n v="6356"/>
    <n v="492923.83831749501"/>
    <n v="-6.3089622641509413E-2"/>
    <n v="1.5564311760324134E-2"/>
  </r>
  <r>
    <x v="9"/>
    <s v="Юго-Восточный АО"/>
    <n v="3865"/>
    <n v="198357.59282107299"/>
    <n v="-8.3036773428232458E-2"/>
    <n v="2.639116082873505E-2"/>
  </r>
  <r>
    <x v="9"/>
    <s v="Юго-Западный АО"/>
    <n v="4055"/>
    <n v="242855.65252428901"/>
    <n v="-8.6505969813020944E-2"/>
    <n v="1.7000542051687884E-2"/>
  </r>
  <r>
    <x v="9"/>
    <s v="Южный АО"/>
    <n v="3817"/>
    <n v="220071.7056246"/>
    <n v="-0.10441107461285781"/>
    <n v="3.269193945095239E-2"/>
  </r>
  <r>
    <x v="9"/>
    <s v="Зеленоградский АО"/>
    <n v="0"/>
    <n v="0"/>
    <s v=""/>
    <s v=""/>
  </r>
  <r>
    <x v="10"/>
    <s v="Восточный АО"/>
    <n v="3285"/>
    <n v="217457.92610578501"/>
    <n v="-0.11072008662696264"/>
    <n v="2.0622564608685723E-2"/>
  </r>
  <r>
    <x v="10"/>
    <s v="Западный АО"/>
    <n v="4250"/>
    <n v="285015.17727373273"/>
    <n v="-9.4009806011511432E-2"/>
    <n v="3.0621859171280352E-3"/>
  </r>
  <r>
    <x v="10"/>
    <s v="Новомосковский"/>
    <n v="402"/>
    <n v="168456"/>
    <n v="-0.27567567567567564"/>
    <n v="8.797065258072001E-3"/>
  </r>
  <r>
    <x v="10"/>
    <s v="Северный АО"/>
    <n v="3271"/>
    <n v="249103.2130907815"/>
    <n v="-8.9111668059036475E-2"/>
    <n v="1.7791102434896455E-3"/>
  </r>
  <r>
    <x v="10"/>
    <s v="Северо-Восточный АО"/>
    <n v="3212"/>
    <n v="227430.00151716819"/>
    <n v="-8.333333333333337E-2"/>
    <n v="1.4739119826777447E-2"/>
  </r>
  <r>
    <x v="10"/>
    <s v="Северо-Западный АО"/>
    <n v="2059"/>
    <n v="248499.86160222249"/>
    <n v="-9.4945054945054896E-2"/>
    <n v="3.4056975794924282E-2"/>
  </r>
  <r>
    <x v="10"/>
    <s v="Троицкий"/>
    <s v="-"/>
    <n v="129358"/>
    <s v=""/>
    <n v="2.4410467828552829E-3"/>
  </r>
  <r>
    <x v="10"/>
    <s v="Центральный АО"/>
    <n v="6021"/>
    <n v="492266.94837677892"/>
    <n v="-5.2706104468218995E-2"/>
    <n v="-1.3326398312532017E-3"/>
  </r>
  <r>
    <x v="10"/>
    <s v="Юго-Восточный АО"/>
    <n v="3549"/>
    <n v="204423.53773625591"/>
    <n v="-8.1759379042690816E-2"/>
    <n v="3.0580855660285566E-2"/>
  </r>
  <r>
    <x v="10"/>
    <s v="Юго-Западный АО"/>
    <n v="3613"/>
    <n v="251075.408196409"/>
    <n v="-0.1090012330456227"/>
    <n v="3.3846260470704603E-2"/>
  </r>
  <r>
    <x v="10"/>
    <s v="Южный АО"/>
    <n v="3383"/>
    <n v="224172.18010997921"/>
    <n v="-0.11370186009955463"/>
    <n v="1.8632447427720855E-2"/>
  </r>
  <r>
    <x v="10"/>
    <s v="Зеленоградский АО"/>
    <n v="0"/>
    <n v="0"/>
    <s v=""/>
    <s v=""/>
  </r>
  <r>
    <x v="11"/>
    <s v="Восточный АО"/>
    <n v="3195"/>
    <n v="222408.36348782439"/>
    <n v="-2.7397260273972601E-2"/>
    <n v="2.2765035382666055E-2"/>
  </r>
  <r>
    <x v="11"/>
    <s v="Западный АО"/>
    <n v="4300"/>
    <n v="288669.41646255122"/>
    <n v="1.1764705882352899E-2"/>
    <n v="1.2821209115151389E-2"/>
  </r>
  <r>
    <x v="11"/>
    <s v="Новомосковский"/>
    <n v="1004"/>
    <n v="169893.75244082001"/>
    <n v="1.4975124378109452"/>
    <n v="8.5348841289121236E-3"/>
  </r>
  <r>
    <x v="11"/>
    <s v="Северный АО"/>
    <n v="3263"/>
    <n v="254214.55851797509"/>
    <n v="-2.4457352491592532E-3"/>
    <n v="2.0518986342142664E-2"/>
  </r>
  <r>
    <x v="11"/>
    <s v="Северо-Восточный АО"/>
    <n v="3218"/>
    <n v="226980.94736958799"/>
    <n v="1.8679950186799577E-3"/>
    <n v="-1.9744719016162593E-3"/>
  </r>
  <r>
    <x v="11"/>
    <s v="Северо-Западный АО"/>
    <n v="2011"/>
    <n v="252079.08210971011"/>
    <n v="-2.3312287518212682E-2"/>
    <n v="1.4403309862670799E-2"/>
  </r>
  <r>
    <x v="11"/>
    <s v="Троицкий"/>
    <n v="366"/>
    <n v="129570.29291170731"/>
    <s v=""/>
    <n v="1.6411270405178868E-3"/>
  </r>
  <r>
    <x v="11"/>
    <s v="Центральный АО"/>
    <n v="5911"/>
    <n v="496551.37231304799"/>
    <n v="-1.8269390466699842E-2"/>
    <n v="8.703456428258427E-3"/>
  </r>
  <r>
    <x v="11"/>
    <s v="Юго-Восточный АО"/>
    <n v="3518"/>
    <n v="207722.82884056869"/>
    <n v="-8.7348548887010713E-3"/>
    <n v="1.6139487364559058E-2"/>
  </r>
  <r>
    <x v="11"/>
    <s v="Юго-Западный АО"/>
    <n v="3637"/>
    <n v="252676.76757866339"/>
    <n v="6.642679213949565E-3"/>
    <n v="6.3780017077645912E-3"/>
  </r>
  <r>
    <x v="11"/>
    <s v="Южный АО"/>
    <n v="3273"/>
    <n v="229702.2527081068"/>
    <n v="-3.2515518770322216E-2"/>
    <n v="2.4668862101508537E-2"/>
  </r>
  <r>
    <x v="11"/>
    <s v="Зеленоградский АО"/>
    <n v="0"/>
    <n v="0"/>
    <s v=""/>
    <s v=""/>
  </r>
  <r>
    <x v="12"/>
    <s v="Восточный АО"/>
    <n v="3591"/>
    <n v="224060"/>
    <n v="0.12394366197183104"/>
    <n v="7.4261439015805841E-3"/>
  </r>
  <r>
    <x v="12"/>
    <s v="Западный АО"/>
    <n v="4594"/>
    <n v="290704"/>
    <n v="6.8372093023255864E-2"/>
    <n v="7.0481437291876059E-3"/>
  </r>
  <r>
    <x v="12"/>
    <s v="Новомосковский"/>
    <n v="1045"/>
    <n v="166469"/>
    <n v="4.0836653386454147E-2"/>
    <n v="-2.0158201179369284E-2"/>
  </r>
  <r>
    <x v="12"/>
    <s v="Северный АО"/>
    <n v="3674"/>
    <n v="250175"/>
    <n v="0.12595770763101433"/>
    <n v="-1.5890350818320464E-2"/>
  </r>
  <r>
    <x v="12"/>
    <s v="Северо-Восточный АО"/>
    <n v="3538"/>
    <n v="227817"/>
    <n v="9.9440646364201468E-2"/>
    <n v="3.6833603881769594E-3"/>
  </r>
  <r>
    <x v="12"/>
    <s v="Северо-Западный АО"/>
    <n v="2316"/>
    <n v="249379"/>
    <n v="0.15166583789159627"/>
    <n v="-1.0711250164482045E-2"/>
  </r>
  <r>
    <x v="12"/>
    <s v="Троицкий"/>
    <n v="395"/>
    <n v="130229"/>
    <n v="7.9234972677595605E-2"/>
    <n v="5.0837817333757584E-3"/>
  </r>
  <r>
    <x v="12"/>
    <s v="Центральный АО"/>
    <n v="6167"/>
    <n v="485358"/>
    <n v="4.3309084757232386E-2"/>
    <n v="-2.2542224102426234E-2"/>
  </r>
  <r>
    <x v="12"/>
    <s v="Юго-Восточный АО"/>
    <n v="3842"/>
    <n v="208923"/>
    <n v="9.2097782831153996E-2"/>
    <n v="5.7777528167231029E-3"/>
  </r>
  <r>
    <x v="12"/>
    <s v="Юго-Западный АО"/>
    <n v="4153"/>
    <n v="251521"/>
    <n v="0.14187517184492715"/>
    <n v="-4.5740951561903387E-3"/>
  </r>
  <r>
    <x v="12"/>
    <s v="Южный АО"/>
    <n v="3613"/>
    <n v="227762"/>
    <n v="0.10388023220287201"/>
    <n v="-8.4468161945819853E-3"/>
  </r>
  <r>
    <x v="12"/>
    <s v="Зеленоградский АО"/>
    <n v="0"/>
    <n v="0"/>
    <s v=""/>
    <s v=""/>
  </r>
  <r>
    <x v="13"/>
    <s v="Восточный АО"/>
    <n v="3899.49"/>
    <n v="229760.2050391048"/>
    <n v="8.5906432748537931E-2"/>
    <n v="2.5440529497031239E-2"/>
  </r>
  <r>
    <x v="13"/>
    <s v="Западный АО"/>
    <n v="4920.16"/>
    <n v="294686.30042326043"/>
    <n v="7.0996952546800163E-2"/>
    <n v="1.3698815369793449E-2"/>
  </r>
  <r>
    <x v="13"/>
    <s v="Новомосковский"/>
    <n v="1120.05"/>
    <n v="170101.71363001299"/>
    <n v="7.1818181818181781E-2"/>
    <n v="2.1822162865236194E-2"/>
  </r>
  <r>
    <x v="13"/>
    <s v="Северный АО"/>
    <n v="3931.1"/>
    <n v="255178.5"/>
    <n v="6.99782253674468E-2"/>
    <n v="2.0000000000000018E-2"/>
  </r>
  <r>
    <x v="13"/>
    <s v="Северо-Восточный АО"/>
    <n v="3772.45"/>
    <n v="230654"/>
    <n v="6.6266252119841607E-2"/>
    <n v="1.2452977609221483E-2"/>
  </r>
  <r>
    <x v="13"/>
    <s v="Северо-Западный АО"/>
    <n v="2399.6999999999998"/>
    <n v="256057.22500537531"/>
    <n v="3.6139896373056812E-2"/>
    <n v="2.6779420101032292E-2"/>
  </r>
  <r>
    <x v="13"/>
    <s v="Троицкий"/>
    <n v="413.25"/>
    <n v="132518.89463728989"/>
    <n v="4.6202531645569644E-2"/>
    <n v="1.7583599945403039E-2"/>
  </r>
  <r>
    <x v="13"/>
    <s v="Центральный АО"/>
    <n v="6806.7"/>
    <n v="506384.34900950472"/>
    <n v="0.10372952813361436"/>
    <n v="4.3321319540431391E-2"/>
  </r>
  <r>
    <x v="13"/>
    <s v="Юго-Восточный АО"/>
    <n v="4237.5200000000004"/>
    <n v="214923.24614204169"/>
    <n v="0.10294638209266016"/>
    <n v="2.8719892697509186E-2"/>
  </r>
  <r>
    <x v="13"/>
    <s v="Юго-Западный АО"/>
    <n v="4542.12"/>
    <n v="257717.3994652222"/>
    <n v="9.3696123284372712E-2"/>
    <n v="2.4635714175843093E-2"/>
  </r>
  <r>
    <x v="13"/>
    <s v="Южный АО"/>
    <n v="4056.3"/>
    <n v="235586.81450968509"/>
    <n v="0.12269582064766138"/>
    <n v="3.4355223916566757E-2"/>
  </r>
  <r>
    <x v="13"/>
    <s v="Зеленоградский АО"/>
    <n v="0"/>
    <n v="0"/>
    <s v=""/>
    <s v=""/>
  </r>
  <r>
    <x v="14"/>
    <s v="Восточный АО"/>
    <n v="3817"/>
    <n v="231824.103198336"/>
    <n v="-2.1154048349912413E-2"/>
    <n v="8.9828356432739564E-3"/>
  </r>
  <r>
    <x v="14"/>
    <s v="Западный АО"/>
    <n v="4885"/>
    <n v="299003.19790890749"/>
    <n v="-7.1461090696237628E-3"/>
    <n v="1.4649128512070897E-2"/>
  </r>
  <r>
    <x v="14"/>
    <s v="Новомосковский"/>
    <n v="1150"/>
    <n v="171331.37824459199"/>
    <n v="2.6739877684031965E-2"/>
    <n v="7.2289960420601762E-3"/>
  </r>
  <r>
    <x v="14"/>
    <s v="Северный АО"/>
    <n v="3958"/>
    <n v="262834"/>
    <n v="6.8428684083334801E-3"/>
    <n v="3.0000568229690217E-2"/>
  </r>
  <r>
    <x v="14"/>
    <s v="Северо-Восточный АО"/>
    <n v="3777"/>
    <n v="232671"/>
    <n v="1.2061127384062065E-3"/>
    <n v="8.7446998534601583E-3"/>
  </r>
  <r>
    <x v="14"/>
    <s v="Северо-Западный АО"/>
    <n v="2340"/>
    <n v="259971.7770430946"/>
    <n v="-2.4878109763720402E-2"/>
    <n v="1.5287801535915024E-2"/>
  </r>
  <r>
    <x v="14"/>
    <s v="Троицкий"/>
    <n v="422"/>
    <n v="139459.01967022661"/>
    <n v="2.1173623714458634E-2"/>
    <n v="5.2370834000178945E-2"/>
  </r>
  <r>
    <x v="14"/>
    <s v="Центральный АО"/>
    <n v="6750"/>
    <n v="506551.61429924797"/>
    <n v="-8.3300277667591738E-3"/>
    <n v="3.3031291364049586E-4"/>
  </r>
  <r>
    <x v="14"/>
    <s v="Юго-Восточный АО"/>
    <n v="4121"/>
    <n v="214656"/>
    <n v="-2.7497215352376037E-2"/>
    <n v="-1.2434492165871447E-3"/>
  </r>
  <r>
    <x v="14"/>
    <s v="Юго-Западный АО"/>
    <n v="4442"/>
    <n v="263055.17312146898"/>
    <n v="-2.2042570429667174E-2"/>
    <n v="2.0711731793518595E-2"/>
  </r>
  <r>
    <x v="14"/>
    <s v="Южный АО"/>
    <n v="4012"/>
    <n v="240115.281335354"/>
    <n v="-1.092128294258321E-2"/>
    <n v="1.9222072487773856E-2"/>
  </r>
  <r>
    <x v="14"/>
    <s v="Зеленоградский АО"/>
    <n v="0"/>
    <n v="0"/>
    <s v=""/>
    <s v=""/>
  </r>
  <r>
    <x v="15"/>
    <s v="Восточный АО"/>
    <n v="3810"/>
    <n v="236146.7532297835"/>
    <n v="-1.8339009693476571E-3"/>
    <n v="1.8646249340817045E-2"/>
  </r>
  <r>
    <x v="15"/>
    <s v="Западный АО"/>
    <n v="4742"/>
    <n v="303562.77174101147"/>
    <n v="-2.9273285568065521E-2"/>
    <n v="1.5249247713708725E-2"/>
  </r>
  <r>
    <x v="15"/>
    <s v="Новомосковский"/>
    <n v="998"/>
    <n v="185143.76767959961"/>
    <n v="-0.13217391304347825"/>
    <n v="8.0617978892862929E-2"/>
  </r>
  <r>
    <x v="15"/>
    <s v="Северный АО"/>
    <n v="3991"/>
    <n v="270519.52216606628"/>
    <n v="8.3375442142497036E-3"/>
    <n v="2.9240974021877975E-2"/>
  </r>
  <r>
    <x v="15"/>
    <s v="Северо-Восточный АО"/>
    <n v="3734"/>
    <n v="242760"/>
    <n v="-1.1384696849351283E-2"/>
    <n v="4.3361656588057906E-2"/>
  </r>
  <r>
    <x v="15"/>
    <s v="Северо-Западный АО"/>
    <n v="2330"/>
    <n v="264259.30843595619"/>
    <n v="-4.2735042735042583E-3"/>
    <n v="1.6492295593113049E-2"/>
  </r>
  <r>
    <x v="15"/>
    <s v="Троицкий"/>
    <n v="473"/>
    <n v="142362.58756016791"/>
    <n v="0.12085308056872046"/>
    <n v="2.0820223007498972E-2"/>
  </r>
  <r>
    <x v="15"/>
    <s v="Центральный АО"/>
    <n v="6427"/>
    <n v="517047.08268324181"/>
    <n v="-4.7851851851851812E-2"/>
    <n v="2.0719445141859971E-2"/>
  </r>
  <r>
    <x v="15"/>
    <s v="Юго-Восточный АО"/>
    <n v="4149"/>
    <n v="223160.25658915259"/>
    <n v="6.7944673622906127E-3"/>
    <n v="3.961807072316903E-2"/>
  </r>
  <r>
    <x v="15"/>
    <s v="Юго-Западный АО"/>
    <n v="4379"/>
    <n v="267496.63666675298"/>
    <n v="-1.4182800540297191E-2"/>
    <n v="1.6884152068102898E-2"/>
  </r>
  <r>
    <x v="15"/>
    <s v="Южный АО"/>
    <n v="4106"/>
    <n v="243481.25289579309"/>
    <n v="2.3429710867397757E-2"/>
    <n v="1.4018148040057632E-2"/>
  </r>
  <r>
    <x v="15"/>
    <s v="Зеленоградский АО"/>
    <n v="0"/>
    <n v="180670.98838977399"/>
    <s v=""/>
    <s v=""/>
  </r>
  <r>
    <x v="16"/>
    <s v="Восточный АО"/>
    <n v="4015"/>
    <n v="230983.15311796564"/>
    <n v="5.3805774278215202E-2"/>
    <n v="-2.1866064390872242E-2"/>
  </r>
  <r>
    <x v="16"/>
    <s v="Западный АО"/>
    <n v="4716"/>
    <n v="307644.74547330698"/>
    <n v="-5.4829185997469221E-3"/>
    <n v="1.3446885166070732E-2"/>
  </r>
  <r>
    <x v="16"/>
    <s v="Новомосковский"/>
    <n v="1045"/>
    <n v="185631.433362765"/>
    <n v="4.7094188376753499E-2"/>
    <n v="2.6339837915005937E-3"/>
  </r>
  <r>
    <x v="16"/>
    <s v="Северный АО"/>
    <n v="3984"/>
    <n v="271639.90676165489"/>
    <n v="-1.7539463793535548E-3"/>
    <n v="4.1416034843533289E-3"/>
  </r>
  <r>
    <x v="16"/>
    <s v="Северо-Восточный АО"/>
    <n v="3643"/>
    <n v="250087.87851045234"/>
    <n v="-2.4370648098553827E-2"/>
    <n v="3.0185691672649284E-2"/>
  </r>
  <r>
    <x v="16"/>
    <s v="Северо-Западный АО"/>
    <n v="2457"/>
    <n v="263638.9330597294"/>
    <n v="5.4506437768240268E-2"/>
    <n v="-2.3476008466779552E-3"/>
  </r>
  <r>
    <x v="16"/>
    <s v="Троицкий"/>
    <n v="490"/>
    <n v="143498.26577306702"/>
    <n v="3.5940803382663811E-2"/>
    <n v="7.9773642244254095E-3"/>
  </r>
  <r>
    <x v="16"/>
    <s v="Центральный АО"/>
    <n v="6281"/>
    <n v="523622.43571524927"/>
    <n v="-2.2716664073440196E-2"/>
    <n v="1.27171262583754E-2"/>
  </r>
  <r>
    <x v="16"/>
    <s v="Юго-Восточный АО"/>
    <n v="4061"/>
    <n v="221907.45513157058"/>
    <n v="-2.1209930103639474E-2"/>
    <n v="-5.6139093794307371E-3"/>
  </r>
  <r>
    <x v="16"/>
    <s v="Юго-Западный АО"/>
    <n v="4293"/>
    <n v="267714.09157880186"/>
    <n v="-1.9639187029002025E-2"/>
    <n v="8.1292578014657835E-4"/>
  </r>
  <r>
    <x v="16"/>
    <s v="Южный АО"/>
    <n v="4265"/>
    <n v="238147.17446186498"/>
    <n v="3.8723818801753573E-2"/>
    <n v="-2.1907552924458784E-2"/>
  </r>
  <r>
    <x v="16"/>
    <s v="Зеленоградский АО"/>
    <n v="0"/>
    <n v="181631.4333627655"/>
    <s v=""/>
    <n v="5.3159889230220969E-3"/>
  </r>
  <r>
    <x v="17"/>
    <s v="Восточный АО"/>
    <n v="3909"/>
    <n v="239462"/>
    <n v="-2.6400996264009935E-2"/>
    <n v="3.6707641953887871E-2"/>
  </r>
  <r>
    <x v="17"/>
    <s v="Западный АО"/>
    <n v="4686"/>
    <n v="307365.87509837101"/>
    <n v="-6.3613231552163141E-3"/>
    <n v="-9.0646883796741129E-4"/>
  </r>
  <r>
    <x v="17"/>
    <s v="Новомосковский"/>
    <n v="1083"/>
    <n v="189270"/>
    <n v="3.6363636363636376E-2"/>
    <n v="1.9601026460450921E-2"/>
  </r>
  <r>
    <x v="17"/>
    <s v="Северный АО"/>
    <n v="3998"/>
    <n v="279829.87249036401"/>
    <n v="3.5140562248996421E-3"/>
    <n v="3.0150082976929005E-2"/>
  </r>
  <r>
    <x v="17"/>
    <s v="Северо-Восточный АО"/>
    <n v="3669"/>
    <n v="258704"/>
    <n v="7.1369750205874105E-3"/>
    <n v="3.4452375464441243E-2"/>
  </r>
  <r>
    <x v="17"/>
    <s v="Северо-Западный АО"/>
    <n v="2411"/>
    <n v="270586.86449560802"/>
    <n v="-1.872201872201873E-2"/>
    <n v="2.635396583972871E-2"/>
  </r>
  <r>
    <x v="17"/>
    <s v="Троицкий"/>
    <n v="480"/>
    <n v="147506.88143227229"/>
    <n v="-2.0408163265306145E-2"/>
    <n v="2.7934941496398524E-2"/>
  </r>
  <r>
    <x v="17"/>
    <s v="Центральный АО"/>
    <n v="6230"/>
    <n v="537692.18327814108"/>
    <n v="-8.1197261582550695E-3"/>
    <n v="2.6870024283189853E-2"/>
  </r>
  <r>
    <x v="17"/>
    <s v="Юго-Восточный АО"/>
    <n v="4012"/>
    <n v="231525.01908459191"/>
    <n v="-1.2065993597636049E-2"/>
    <n v="4.3340427419705341E-2"/>
  </r>
  <r>
    <x v="17"/>
    <s v="Юго-Западный АО"/>
    <n v="4190"/>
    <n v="274500.01690092351"/>
    <n v="-2.3992546005124571E-2"/>
    <n v="2.5347658324979205E-2"/>
  </r>
  <r>
    <x v="17"/>
    <s v="Южный АО"/>
    <n v="4278"/>
    <n v="251078.98626123049"/>
    <n v="3.04806565064486E-3"/>
    <n v="5.4301764564652855E-2"/>
  </r>
  <r>
    <x v="17"/>
    <s v="Зеленоградский АО"/>
    <n v="0"/>
    <n v="0"/>
    <s v=""/>
    <n v="-1"/>
  </r>
  <r>
    <x v="18"/>
    <s v="Восточный АО"/>
    <n v="3911"/>
    <n v="243817.904226457"/>
    <n v="5.1163980557689115E-4"/>
    <n v="1.8190377706930549E-2"/>
  </r>
  <r>
    <x v="18"/>
    <s v="Западный АО"/>
    <n v="4497"/>
    <n v="313986.35700671421"/>
    <n v="-4.0332906530089585E-2"/>
    <n v="2.1539417497874025E-2"/>
  </r>
  <r>
    <x v="18"/>
    <s v="Новомосковский"/>
    <n v="1029"/>
    <n v="190978.5946016557"/>
    <n v="-4.9861495844875314E-2"/>
    <n v="9.0272869533243316E-3"/>
  </r>
  <r>
    <x v="18"/>
    <s v="Северный АО"/>
    <n v="3932"/>
    <n v="285267.26389235689"/>
    <n v="-1.6508254127063582E-2"/>
    <n v="1.94310612859252E-2"/>
  </r>
  <r>
    <x v="18"/>
    <s v="Северо-Восточный АО"/>
    <n v="3694"/>
    <n v="262066.97207549991"/>
    <n v="6.8138457345325865E-3"/>
    <n v="1.2999304515971533E-2"/>
  </r>
  <r>
    <x v="18"/>
    <s v="Северо-Западный АО"/>
    <n v="2442"/>
    <n v="273464.63700159639"/>
    <n v="1.2857735379510515E-2"/>
    <n v="1.0635300096154765E-2"/>
  </r>
  <r>
    <x v="18"/>
    <s v="Троицкий"/>
    <n v="477"/>
    <n v="151436.4457790372"/>
    <n v="-6.2499999999999778E-3"/>
    <n v="2.6639871364707579E-2"/>
  </r>
  <r>
    <x v="18"/>
    <s v="Центральный АО"/>
    <n v="5895"/>
    <n v="542877.9800446697"/>
    <n v="-5.3772070626003199E-2"/>
    <n v="9.6445455742213415E-3"/>
  </r>
  <r>
    <x v="18"/>
    <s v="Юго-Восточный АО"/>
    <n v="3774"/>
    <n v="236217.4435711597"/>
    <n v="-5.9322033898305038E-2"/>
    <n v="2.0267461828189504E-2"/>
  </r>
  <r>
    <x v="18"/>
    <s v="Юго-Западный АО"/>
    <n v="3973"/>
    <n v="279971.03003293643"/>
    <n v="-5.178997613365155E-2"/>
    <n v="1.9930829854876153E-2"/>
  </r>
  <r>
    <x v="18"/>
    <s v="Южный АО"/>
    <n v="4053"/>
    <n v="255337.31070487079"/>
    <n v="-5.2594670406732158E-2"/>
    <n v="1.6960098919667432E-2"/>
  </r>
  <r>
    <x v="18"/>
    <s v="Зеленоградский АО"/>
    <n v="0"/>
    <n v="0"/>
    <s v=""/>
    <s v=""/>
  </r>
  <r>
    <x v="19"/>
    <s v="Восточный АО"/>
    <n v="4049"/>
    <n v="249485.8436743115"/>
    <n v="3.5285093326514971E-2"/>
    <n v="2.3246608840465477E-2"/>
  </r>
  <r>
    <x v="19"/>
    <s v="Западный АО"/>
    <n v="4608"/>
    <n v="318405.32816914219"/>
    <n v="2.4683122081387676E-2"/>
    <n v="1.407376805971694E-2"/>
  </r>
  <r>
    <x v="19"/>
    <s v="Новомосковский"/>
    <n v="1036"/>
    <n v="191949.76357757431"/>
    <n v="6.8027210884353817E-3"/>
    <n v="5.0852242260148728E-3"/>
  </r>
  <r>
    <x v="19"/>
    <s v="Северный АО"/>
    <n v="4049.96"/>
    <n v="288234.28745723149"/>
    <n v="3.0000000000000027E-2"/>
    <n v="1.0400855409733234E-2"/>
  </r>
  <r>
    <x v="19"/>
    <s v="Северо-Восточный АО"/>
    <n v="3908"/>
    <n v="267543.33263386798"/>
    <n v="5.7931781266919335E-2"/>
    <n v="2.089679792534227E-2"/>
  </r>
  <r>
    <x v="19"/>
    <s v="Северо-Западный АО"/>
    <n v="2514"/>
    <n v="278765.98798666633"/>
    <n v="2.9484029484029506E-2"/>
    <n v="1.9385873958682964E-2"/>
  </r>
  <r>
    <x v="19"/>
    <s v="Троицкий"/>
    <n v="528"/>
    <n v="155868.4950546629"/>
    <n v="0.10691823899371067"/>
    <n v="2.9266728051003943E-2"/>
  </r>
  <r>
    <x v="19"/>
    <s v="Центральный АО"/>
    <n v="6071.85"/>
    <n v="543264.80966320937"/>
    <n v="3.0000000000000027E-2"/>
    <n v="7.1255352539401073E-4"/>
  </r>
  <r>
    <x v="19"/>
    <s v="Юго-Восточный АО"/>
    <n v="3827"/>
    <n v="240456.28294197639"/>
    <n v="1.4043455219925782E-2"/>
    <n v="1.7944650093293157E-2"/>
  </r>
  <r>
    <x v="19"/>
    <s v="Юго-Западный АО"/>
    <n v="4204"/>
    <n v="284425.09842203389"/>
    <n v="5.8142461615907415E-2"/>
    <n v="1.5909033118796101E-2"/>
  </r>
  <r>
    <x v="19"/>
    <s v="Южный АО"/>
    <n v="4134.0600000000004"/>
    <n v="257160.38414682401"/>
    <n v="2.0000000000000018E-2"/>
    <n v="7.1398630968602106E-3"/>
  </r>
  <r>
    <x v="19"/>
    <s v="Зеленоградский АО"/>
    <n v="442"/>
    <n v="0"/>
    <s v=""/>
    <s v=""/>
  </r>
  <r>
    <x v="20"/>
    <s v="Восточный АО"/>
    <n v="4337"/>
    <n v="253346.3276842862"/>
    <n v="7.1128673746604143E-2"/>
    <n v="1.5473759765761708E-2"/>
  </r>
  <r>
    <x v="20"/>
    <s v="Западный АО"/>
    <n v="4784"/>
    <n v="321496.05009821663"/>
    <n v="3.819444444444442E-2"/>
    <n v="9.7068787976832827E-3"/>
  </r>
  <r>
    <x v="20"/>
    <s v="Новомосковский"/>
    <n v="1172"/>
    <n v="199505.4179037796"/>
    <n v="0.13127413127413123"/>
    <n v="3.9362665446325273E-2"/>
  </r>
  <r>
    <x v="20"/>
    <s v="Северный АО"/>
    <n v="3949"/>
    <n v="290471.21689291118"/>
    <n v="-2.4928641270531071E-2"/>
    <n v="7.7608026977415978E-3"/>
  </r>
  <r>
    <x v="20"/>
    <s v="Северо-Восточный АО"/>
    <n v="4163"/>
    <n v="271461.21226723271"/>
    <n v="6.5250767656090058E-2"/>
    <n v="1.4643906819858277E-2"/>
  </r>
  <r>
    <x v="20"/>
    <s v="Северо-Западный АО"/>
    <n v="2540"/>
    <n v="285228.90836500551"/>
    <n v="1.0342084327764622E-2"/>
    <n v="2.3184034842329115E-2"/>
  </r>
  <r>
    <x v="20"/>
    <s v="Троицкий"/>
    <n v="530"/>
    <n v="157390.60041545649"/>
    <n v="3.7878787878788955E-3"/>
    <n v="9.7653176176479839E-3"/>
  </r>
  <r>
    <x v="20"/>
    <s v="Центральный АО"/>
    <n v="5722"/>
    <n v="542715.61971284903"/>
    <n v="-5.7618353549577228E-2"/>
    <n v="-1.0109065424296348E-3"/>
  </r>
  <r>
    <x v="20"/>
    <s v="Юго-Восточный АО"/>
    <n v="4050"/>
    <n v="244291.873544584"/>
    <n v="5.8270185523909168E-2"/>
    <n v="1.5951301233135817E-2"/>
  </r>
  <r>
    <x v="20"/>
    <s v="Юго-Западный АО"/>
    <n v="4348"/>
    <n v="287414.23817491438"/>
    <n v="3.4253092293054177E-2"/>
    <n v="1.0509409223953714E-2"/>
  </r>
  <r>
    <x v="20"/>
    <s v="Южный АО"/>
    <n v="4258"/>
    <n v="260881.01090544171"/>
    <n v="2.998021315607402E-2"/>
    <n v="1.4468117906113465E-2"/>
  </r>
  <r>
    <x v="20"/>
    <s v="Зеленоградский АО"/>
    <n v="467"/>
    <n v="0"/>
    <n v="5.65610859728507E-2"/>
    <s v=""/>
  </r>
  <r>
    <x v="21"/>
    <s v="Восточный АО"/>
    <n v="4287"/>
    <n v="256232"/>
    <n v="-1.1528706479133066E-2"/>
    <n v="1.1390227528025765E-2"/>
  </r>
  <r>
    <x v="21"/>
    <s v="Западный АО"/>
    <n v="4565"/>
    <n v="326170"/>
    <n v="-4.5777591973244158E-2"/>
    <n v="1.4538125430640481E-2"/>
  </r>
  <r>
    <x v="21"/>
    <s v="Новомосковский"/>
    <n v="1255"/>
    <n v="204239.18979340579"/>
    <n v="7.0819112627986458E-2"/>
    <n v="2.3727535519407539E-2"/>
  </r>
  <r>
    <x v="21"/>
    <s v="Северный АО"/>
    <n v="3838"/>
    <n v="293787"/>
    <n v="-2.8108381868827581E-2"/>
    <n v="1.1415186477189865E-2"/>
  </r>
  <r>
    <x v="21"/>
    <s v="Северо-Восточный АО"/>
    <n v="3956"/>
    <n v="275176.24553046102"/>
    <n v="-4.9723756906077332E-2"/>
    <n v="1.3685318916100364E-2"/>
  </r>
  <r>
    <x v="21"/>
    <s v="Северо-Западный АО"/>
    <n v="2434"/>
    <n v="289711.73171745968"/>
    <n v="-4.1732283464566922E-2"/>
    <n v="1.5716581387737572E-2"/>
  </r>
  <r>
    <x v="21"/>
    <s v="Троицкий"/>
    <n v="476"/>
    <n v="159785.937546264"/>
    <n v="-0.10188679245283017"/>
    <n v="1.5219060887274427E-2"/>
  </r>
  <r>
    <x v="21"/>
    <s v="Центральный АО"/>
    <n v="5276"/>
    <n v="555672.40852921503"/>
    <n v="-7.794477455435167E-2"/>
    <n v="2.3873992834813729E-2"/>
  </r>
  <r>
    <x v="21"/>
    <s v="Юго-Восточный АО"/>
    <n v="3936"/>
    <n v="248434.6984776"/>
    <n v="-2.8148148148148144E-2"/>
    <n v="1.6958504893777926E-2"/>
  </r>
  <r>
    <x v="21"/>
    <s v="Юго-Западный АО"/>
    <n v="4211"/>
    <n v="291686.34427841782"/>
    <n v="-3.1508739650414008E-2"/>
    <n v="1.4863933431521703E-2"/>
  </r>
  <r>
    <x v="21"/>
    <s v="Южный АО"/>
    <n v="3965"/>
    <n v="265469.06839972612"/>
    <n v="-6.8811648661343372E-2"/>
    <n v="1.7586782105606602E-2"/>
  </r>
  <r>
    <x v="21"/>
    <s v="Зеленоградский АО"/>
    <n v="455"/>
    <n v="0"/>
    <n v="-2.5695931477516032E-2"/>
    <s v=""/>
  </r>
  <r>
    <x v="22"/>
    <s v="Восточный АО"/>
    <n v="4143"/>
    <n v="258976.40443368099"/>
    <n v="-3.3589923023093049E-2"/>
    <n v="1.0710623316685597E-2"/>
  </r>
  <r>
    <x v="22"/>
    <s v="Западный АО"/>
    <n v="4438"/>
    <n v="330302.86080593202"/>
    <n v="-2.7820372398685622E-2"/>
    <n v="1.2670879620848119E-2"/>
  </r>
  <r>
    <x v="22"/>
    <s v="Новомосковский"/>
    <n v="1214"/>
    <n v="207782.7273838"/>
    <n v="-3.266932270916334E-2"/>
    <n v="1.7349939519338164E-2"/>
  </r>
  <r>
    <x v="22"/>
    <s v="Северный АО"/>
    <n v="3729"/>
    <n v="298124.974818199"/>
    <n v="-2.8400208441896835E-2"/>
    <n v="1.4765713997552554E-2"/>
  </r>
  <r>
    <x v="22"/>
    <s v="Северо-Восточный АО"/>
    <n v="3794"/>
    <n v="279581.36686801759"/>
    <n v="-4.0950455005055564E-2"/>
    <n v="1.6008363400208392E-2"/>
  </r>
  <r>
    <x v="22"/>
    <s v="Северо-Западный АО"/>
    <n v="2334"/>
    <n v="292388.12739667401"/>
    <n v="-4.1084634346754356E-2"/>
    <n v="9.2381335866111858E-3"/>
  </r>
  <r>
    <x v="22"/>
    <s v="Троицкий"/>
    <n v="465"/>
    <n v="161645.5357903064"/>
    <n v="-2.3109243697479021E-2"/>
    <n v="1.1638059472561357E-2"/>
  </r>
  <r>
    <x v="22"/>
    <s v="Центральный АО"/>
    <n v="5051"/>
    <n v="556712.36456874479"/>
    <n v="-4.264594389689158E-2"/>
    <n v="1.8715272228153612E-3"/>
  </r>
  <r>
    <x v="22"/>
    <s v="Юго-Восточный АО"/>
    <n v="3787"/>
    <n v="250776.498061486"/>
    <n v="-3.7855691056910556E-2"/>
    <n v="9.4262178280106745E-3"/>
  </r>
  <r>
    <x v="22"/>
    <s v="Юго-Западный АО"/>
    <n v="4120"/>
    <n v="295671.37932612142"/>
    <n v="-2.1610068867252474E-2"/>
    <n v="1.3662055580839327E-2"/>
  </r>
  <r>
    <x v="22"/>
    <s v="Южный АО"/>
    <n v="3864"/>
    <n v="271211.70766656921"/>
    <n v="-2.5472887767969743E-2"/>
    <n v="2.1632046631497648E-2"/>
  </r>
  <r>
    <x v="22"/>
    <s v="Зеленоградский АО"/>
    <n v="0"/>
    <n v="217795.9708053146"/>
    <n v="-1"/>
    <s v=""/>
  </r>
  <r>
    <x v="23"/>
    <s v="Восточный АО"/>
    <n v="3736"/>
    <n v="267946.63172765332"/>
    <n v="-9.8237991793386437E-2"/>
    <n v="3.4637237757578987E-2"/>
  </r>
  <r>
    <x v="23"/>
    <s v="Западный АО"/>
    <n v="4084"/>
    <n v="340527.33672739542"/>
    <n v="-7.9765660207300582E-2"/>
    <n v="3.095485124323738E-2"/>
  </r>
  <r>
    <x v="23"/>
    <s v="Новомосковский"/>
    <n v="1018"/>
    <n v="209952.13364457179"/>
    <n v="-0.16144975288303132"/>
    <n v="1.0440743983327616E-2"/>
  </r>
  <r>
    <x v="23"/>
    <s v="Северный АО"/>
    <n v="3454"/>
    <n v="301307.60404216993"/>
    <n v="-7.3746312684365822E-2"/>
    <n v="1.0675486768298326E-2"/>
  </r>
  <r>
    <x v="23"/>
    <s v="Северо-Восточный АО"/>
    <n v="3524"/>
    <n v="283948.77177602582"/>
    <n v="-7.1164997364259408E-2"/>
    <n v="1.5621230259132313E-2"/>
  </r>
  <r>
    <x v="23"/>
    <s v="Северо-Западный АО"/>
    <n v="2076"/>
    <n v="301531.94290582743"/>
    <n v="-0.11053984575835474"/>
    <n v="3.1272868671402332E-2"/>
  </r>
  <r>
    <x v="23"/>
    <s v="Троицкий"/>
    <n v="435"/>
    <n v="170210.68660550661"/>
    <n v="-6.4516129032258118E-2"/>
    <n v="5.2987240094964916E-2"/>
  </r>
  <r>
    <x v="23"/>
    <s v="Центральный АО"/>
    <n v="4645"/>
    <n v="566412.42145575269"/>
    <n v="-8.0380122747970684E-2"/>
    <n v="1.7423821535780037E-2"/>
  </r>
  <r>
    <x v="23"/>
    <s v="Юго-Восточный АО"/>
    <n v="3421"/>
    <n v="257687.7018565388"/>
    <n v="-9.6646421969897034E-2"/>
    <n v="2.7559216467558656E-2"/>
  </r>
  <r>
    <x v="23"/>
    <s v="Юго-Западный АО"/>
    <n v="3707"/>
    <n v="301752.70797902631"/>
    <n v="-0.10024271844660193"/>
    <n v="2.0567863777566586E-2"/>
  </r>
  <r>
    <x v="23"/>
    <s v="Южный АО"/>
    <n v="3497"/>
    <n v="276059.69586917787"/>
    <n v="-9.497929606625255E-2"/>
    <n v="1.7875291020138517E-2"/>
  </r>
  <r>
    <x v="23"/>
    <s v="Зеленоградский АО"/>
    <n v="458"/>
    <n v="221735.64023842389"/>
    <s v=""/>
    <n v="1.8088807697140163E-2"/>
  </r>
  <r>
    <x v="24"/>
    <s v="Восточный АО"/>
    <n v="4066"/>
    <n v="270974.11240620178"/>
    <n v="8.8329764453961346E-2"/>
    <n v="1.1298819690428674E-2"/>
  </r>
  <r>
    <x v="24"/>
    <s v="Западный АО"/>
    <n v="4474"/>
    <n v="346948.1862733243"/>
    <n v="9.5494613124387895E-2"/>
    <n v="1.8855606741108755E-2"/>
  </r>
  <r>
    <x v="24"/>
    <s v="Новомосковский"/>
    <n v="1187"/>
    <n v="212581.93896508319"/>
    <n v="0.16601178781925352"/>
    <n v="1.2525737532933956E-2"/>
  </r>
  <r>
    <x v="24"/>
    <s v="Северный АО"/>
    <n v="3790"/>
    <n v="306540.32746884797"/>
    <n v="9.7278517660683184E-2"/>
    <n v="1.7366715464458338E-2"/>
  </r>
  <r>
    <x v="24"/>
    <s v="Северо-Восточный АО"/>
    <n v="3808"/>
    <n v="287890.35994628642"/>
    <n v="8.0590238365493727E-2"/>
    <n v="1.3881335515582682E-2"/>
  </r>
  <r>
    <x v="24"/>
    <s v="Северо-Западный АО"/>
    <n v="2350"/>
    <n v="306505.3299040483"/>
    <n v="0.13198458574181116"/>
    <n v="1.6493731809283485E-2"/>
  </r>
  <r>
    <x v="24"/>
    <s v="Троицкий"/>
    <n v="462"/>
    <n v="174859.56953524469"/>
    <n v="6.2068965517241281E-2"/>
    <n v="2.7312520867227796E-2"/>
  </r>
  <r>
    <x v="24"/>
    <s v="Центральный АО"/>
    <n v="4969"/>
    <n v="581480.31554015295"/>
    <n v="6.9752421959095701E-2"/>
    <n v="2.6602336943236216E-2"/>
  </r>
  <r>
    <x v="24"/>
    <s v="Юго-Восточный АО"/>
    <n v="3763"/>
    <n v="262051.61598266201"/>
    <n v="9.9970768781058261E-2"/>
    <n v="1.6934894815247015E-2"/>
  </r>
  <r>
    <x v="24"/>
    <s v="Юго-Западный АО"/>
    <n v="3960"/>
    <n v="307307.36865101598"/>
    <n v="6.8249258160237414E-2"/>
    <n v="1.8407989473207209E-2"/>
  </r>
  <r>
    <x v="24"/>
    <s v="Южный АО"/>
    <n v="4004"/>
    <n v="279253.82993361098"/>
    <n v="0.14498141263940512"/>
    <n v="1.1570446944007218E-2"/>
  </r>
  <r>
    <x v="24"/>
    <s v="Зеленоградский АО"/>
    <n v="518"/>
    <n v="223597.34755542799"/>
    <n v="0.13100436681222716"/>
    <n v="8.3960671139844401E-3"/>
  </r>
  <r>
    <x v="25"/>
    <s v="Восточный АО"/>
    <n v="3814"/>
    <n v="278463.86159667029"/>
    <n v="-6.1977373339891839E-2"/>
    <n v="2.7640091239568454E-2"/>
  </r>
  <r>
    <x v="25"/>
    <s v="Западный АО"/>
    <n v="4342"/>
    <n v="363085.50828029233"/>
    <n v="-2.9503799731783631E-2"/>
    <n v="4.6512195899635289E-2"/>
  </r>
  <r>
    <x v="25"/>
    <s v="Новомосковский"/>
    <n v="1035"/>
    <n v="221724.66943999371"/>
    <n v="-0.12805391743892169"/>
    <n v="4.3008030312547962E-2"/>
  </r>
  <r>
    <x v="25"/>
    <s v="Северный АО"/>
    <n v="3672"/>
    <n v="320968.52090053831"/>
    <n v="-3.1134564643799489E-2"/>
    <n v="4.7067847649365557E-2"/>
  </r>
  <r>
    <x v="25"/>
    <s v="Северо-Восточный АО"/>
    <n v="3632"/>
    <n v="296364.80183482671"/>
    <n v="-4.621848739495793E-2"/>
    <n v="2.9436351707370134E-2"/>
  </r>
  <r>
    <x v="25"/>
    <s v="Северо-Западный АО"/>
    <n v="2221"/>
    <n v="317477.79596749821"/>
    <n v="-5.4893617021276597E-2"/>
    <n v="3.579861422600672E-2"/>
  </r>
  <r>
    <x v="25"/>
    <s v="Троицкий"/>
    <n v="491"/>
    <n v="179453.84332747641"/>
    <n v="6.277056277056281E-2"/>
    <n v="2.6274076988995976E-2"/>
  </r>
  <r>
    <x v="25"/>
    <s v="Центральный АО"/>
    <n v="4989"/>
    <n v="614649.65555774572"/>
    <n v="4.0249547192594548E-3"/>
    <n v="5.7042928421026318E-2"/>
  </r>
  <r>
    <x v="25"/>
    <s v="Юго-Восточный АО"/>
    <n v="3548"/>
    <n v="270818.45032309112"/>
    <n v="-5.7135264416688814E-2"/>
    <n v="3.3454608961499988E-2"/>
  </r>
  <r>
    <x v="25"/>
    <s v="Юго-Западный АО"/>
    <n v="3645"/>
    <n v="320210.02967514237"/>
    <n v="-7.9545454545454586E-2"/>
    <n v="4.1986175212020083E-2"/>
  </r>
  <r>
    <x v="25"/>
    <s v="Южный АО"/>
    <n v="3818"/>
    <n v="289946.48951570521"/>
    <n v="-4.645354645354649E-2"/>
    <n v="3.8290108983057625E-2"/>
  </r>
  <r>
    <x v="25"/>
    <s v="Зеленоградский АО"/>
    <n v="542"/>
    <n v="226435.23676572871"/>
    <n v="4.6332046332046239E-2"/>
    <n v="1.2691962768463627E-2"/>
  </r>
  <r>
    <x v="26"/>
    <s v="Восточный АО"/>
    <n v="3544"/>
    <n v="280226.01933808258"/>
    <n v="-7.0791819611955908E-2"/>
    <n v="6.3281379900010926E-3"/>
  </r>
  <r>
    <x v="26"/>
    <s v="Западный АО"/>
    <n v="3957"/>
    <n v="367420.52702621918"/>
    <n v="-8.8668816213726354E-2"/>
    <n v="1.1939387959764902E-2"/>
  </r>
  <r>
    <x v="26"/>
    <s v="Новомосковский"/>
    <n v="893"/>
    <n v="224159.74462695079"/>
    <n v="-0.13719806763285025"/>
    <n v="1.0982427860225519E-2"/>
  </r>
  <r>
    <x v="26"/>
    <s v="Северный АО"/>
    <n v="3319"/>
    <n v="327258.34607007517"/>
    <n v="-9.6132897603485867E-2"/>
    <n v="1.9596392667696971E-2"/>
  </r>
  <r>
    <x v="26"/>
    <s v="Северо-Восточный АО"/>
    <n v="3131"/>
    <n v="297827.46372484748"/>
    <n v="-0.13794052863436124"/>
    <n v="4.9353427970031394E-3"/>
  </r>
  <r>
    <x v="26"/>
    <s v="Северо-Западный АО"/>
    <n v="2045"/>
    <n v="317865.33061718981"/>
    <n v="-7.9243583971184139E-2"/>
    <n v="1.2206669399055237E-3"/>
  </r>
  <r>
    <x v="26"/>
    <s v="Троицкий"/>
    <n v="430"/>
    <n v="179428.2809239756"/>
    <n v="-0.12423625254582482"/>
    <n v="-1.4244556163756084E-4"/>
  </r>
  <r>
    <x v="26"/>
    <s v="Центральный АО"/>
    <n v="4684"/>
    <n v="611145.75765048899"/>
    <n v="-6.1134495890960094E-2"/>
    <n v="-5.7006424319513416E-3"/>
  </r>
  <r>
    <x v="26"/>
    <s v="Юго-Восточный АО"/>
    <n v="3190"/>
    <n v="273327.71999100369"/>
    <n v="-0.10090191657271708"/>
    <n v="9.2655048609833202E-3"/>
  </r>
  <r>
    <x v="26"/>
    <s v="Юго-Западный АО"/>
    <n v="3243"/>
    <n v="324283.56090027408"/>
    <n v="-0.11028806584362139"/>
    <n v="1.2721435456797936E-2"/>
  </r>
  <r>
    <x v="26"/>
    <s v="Южный АО"/>
    <n v="3297"/>
    <n v="293908.62513073621"/>
    <n v="-0.13645887899423781"/>
    <n v="1.3665058065193136E-2"/>
  </r>
  <r>
    <x v="26"/>
    <s v="Зеленоградский АО"/>
    <n v="494"/>
    <n v="227738.3632656353"/>
    <n v="-8.856088560885611E-2"/>
    <n v="5.7549633993352334E-3"/>
  </r>
  <r>
    <x v="27"/>
    <s v="Восточный АО"/>
    <n v="3839"/>
    <n v="275858.12621868192"/>
    <n v="8.3239277652370269E-2"/>
    <n v="-1.5587036242094787E-2"/>
  </r>
  <r>
    <x v="27"/>
    <s v="Западный АО"/>
    <n v="4248"/>
    <n v="359294.42630135908"/>
    <n v="7.3540561031084195E-2"/>
    <n v="-2.2116621492626165E-2"/>
  </r>
  <r>
    <x v="27"/>
    <s v="Новомосковский"/>
    <n v="963"/>
    <n v="224950.51592621111"/>
    <n v="7.838745800671898E-2"/>
    <n v="3.527713241181285E-3"/>
  </r>
  <r>
    <x v="27"/>
    <s v="Северный АО"/>
    <n v="3715"/>
    <n v="321220.19261946628"/>
    <n v="0.11931304609822235"/>
    <n v="-1.8450724093422965E-2"/>
  </r>
  <r>
    <x v="27"/>
    <s v="Северо-Восточный АО"/>
    <n v="3500"/>
    <n v="293393.42577519623"/>
    <n v="0.11785372085595647"/>
    <n v="-1.4887941810993288E-2"/>
  </r>
  <r>
    <x v="27"/>
    <s v="Северо-Западный АО"/>
    <n v="2324"/>
    <n v="314491.06933455681"/>
    <n v="0.13643031784841075"/>
    <n v="-1.06153800292762E-2"/>
  </r>
  <r>
    <x v="27"/>
    <s v="Троицкий"/>
    <n v="505"/>
    <n v="177505.728807262"/>
    <n v="0.17441860465116288"/>
    <n v="-1.0714877871054185E-2"/>
  </r>
  <r>
    <x v="27"/>
    <s v="Центральный АО"/>
    <n v="5078"/>
    <n v="582476.15835085395"/>
    <n v="8.4116140051238242E-2"/>
    <n v="-4.6911230161939543E-2"/>
  </r>
  <r>
    <x v="27"/>
    <s v="Юго-Восточный АО"/>
    <n v="3566"/>
    <n v="270054.66578569799"/>
    <n v="0.11786833855799372"/>
    <n v="-1.1974834478601148E-2"/>
  </r>
  <r>
    <x v="27"/>
    <s v="Юго-Западный АО"/>
    <n v="3657"/>
    <n v="318190.26654221967"/>
    <n v="0.12765957446808507"/>
    <n v="-1.8790019269364855E-2"/>
  </r>
  <r>
    <x v="27"/>
    <s v="Южный АО"/>
    <n v="3710"/>
    <n v="290264.32717697421"/>
    <n v="0.12526539278131632"/>
    <n v="-1.2399424998640107E-2"/>
  </r>
  <r>
    <x v="27"/>
    <s v="Зеленоградский АО"/>
    <n v="501"/>
    <n v="223917.70895399069"/>
    <n v="1.4170040485830038E-2"/>
    <n v="-1.6776507290465537E-2"/>
  </r>
  <r>
    <x v="28"/>
    <s v="Восточный АО"/>
    <n v="4363"/>
    <n v="272522.22327429499"/>
    <n v="0.13649387861422246"/>
    <n v="-1.2092821009530241E-2"/>
  </r>
  <r>
    <x v="28"/>
    <s v="Западный АО"/>
    <n v="4886"/>
    <n v="348500.65509742312"/>
    <n v="0.15018832391713755"/>
    <n v="-3.0041577084980009E-2"/>
  </r>
  <r>
    <x v="28"/>
    <s v="Новомосковский"/>
    <n v="1088"/>
    <n v="223068.0169433133"/>
    <n v="0.12980269989615789"/>
    <n v="-8.3685026244407767E-3"/>
  </r>
  <r>
    <x v="28"/>
    <s v="Северный АО"/>
    <n v="4146"/>
    <n v="314573.90563794709"/>
    <n v="0.11601615074024219"/>
    <n v="-2.0690750875032027E-2"/>
  </r>
  <r>
    <x v="28"/>
    <s v="Северо-Восточный АО"/>
    <n v="4008"/>
    <n v="294060.66383427603"/>
    <n v="0.14514285714285724"/>
    <n v="2.2742093055316825E-3"/>
  </r>
  <r>
    <x v="28"/>
    <s v="Северо-Западный АО"/>
    <n v="2578"/>
    <n v="306747.44519740611"/>
    <n v="0.10929432013769369"/>
    <n v="-2.4622715530637218E-2"/>
  </r>
  <r>
    <x v="28"/>
    <s v="Троицкий"/>
    <n v="558"/>
    <n v="172695.16443705879"/>
    <n v="0.10495049504950504"/>
    <n v="-2.7100896419104181E-2"/>
  </r>
  <r>
    <x v="28"/>
    <s v="Центральный АО"/>
    <n v="5504"/>
    <n v="561015.95666451391"/>
    <n v="8.3891295785742503E-2"/>
    <n v="-3.68430559408639E-2"/>
  </r>
  <r>
    <x v="28"/>
    <s v="Юго-Восточный АО"/>
    <n v="4048"/>
    <n v="265723.44464542938"/>
    <n v="0.13516545148625903"/>
    <n v="-1.6038312567817847E-2"/>
  </r>
  <r>
    <x v="28"/>
    <s v="Юго-Западный АО"/>
    <n v="4314"/>
    <n v="312344.65072477132"/>
    <n v="0.1796554552912224"/>
    <n v="-1.837144762777565E-2"/>
  </r>
  <r>
    <x v="28"/>
    <s v="Южный АО"/>
    <n v="4269"/>
    <n v="285898.24451545969"/>
    <n v="0.1506738544474393"/>
    <n v="-1.50417473065938E-2"/>
  </r>
  <r>
    <x v="28"/>
    <s v="Зеленоградский АО"/>
    <n v="605"/>
    <n v="220589.88778040101"/>
    <n v="0.20758483033932129"/>
    <n v="-1.4861804317020111E-2"/>
  </r>
  <r>
    <x v="29"/>
    <s v="Восточный АО"/>
    <n v="4660"/>
    <n v="269980.5322232318"/>
    <n v="6.8072427228971E-2"/>
    <n v="-9.3265459988008947E-3"/>
  </r>
  <r>
    <x v="29"/>
    <s v="Западный АО"/>
    <n v="5282"/>
    <n v="343912.83252685261"/>
    <n v="8.1047891936144145E-2"/>
    <n v="-1.3164458957151681E-2"/>
  </r>
  <r>
    <x v="29"/>
    <s v="Новомосковский"/>
    <n v="1210"/>
    <n v="218829.20562310121"/>
    <n v="0.11213235294117641"/>
    <n v="-1.9002326636943456E-2"/>
  </r>
  <r>
    <x v="29"/>
    <s v="Северный АО"/>
    <n v="4412"/>
    <n v="308423.61822482687"/>
    <n v="6.415822479498301E-2"/>
    <n v="-1.9551168430984811E-2"/>
  </r>
  <r>
    <x v="29"/>
    <s v="Северо-Восточный АО"/>
    <n v="4259"/>
    <n v="288945.80174840608"/>
    <n v="6.2624750499002069E-2"/>
    <n v="-1.7393901037891069E-2"/>
  </r>
  <r>
    <x v="29"/>
    <s v="Северо-Западный АО"/>
    <n v="2799"/>
    <n v="302028.76333584398"/>
    <n v="8.5725368502715282E-2"/>
    <n v="-1.5382954073261956E-2"/>
  </r>
  <r>
    <x v="29"/>
    <s v="Троицкий"/>
    <n v="597"/>
    <n v="173119.69770832741"/>
    <n v="6.9892473118279508E-2"/>
    <n v="2.4582811722173581E-3"/>
  </r>
  <r>
    <x v="29"/>
    <s v="Центральный АО"/>
    <n v="5763"/>
    <n v="560227.79481246381"/>
    <n v="4.7056686046511587E-2"/>
    <n v="-1.4048831279881435E-3"/>
  </r>
  <r>
    <x v="29"/>
    <s v="Юго-Восточный АО"/>
    <n v="4381"/>
    <n v="263884.01689317689"/>
    <n v="8.2262845849802479E-2"/>
    <n v="-6.9223389554766701E-3"/>
  </r>
  <r>
    <x v="29"/>
    <s v="Юго-Западный АО"/>
    <n v="4756"/>
    <n v="309244.1348849741"/>
    <n v="0.10245711636532229"/>
    <n v="-9.9265853684470384E-3"/>
  </r>
  <r>
    <x v="29"/>
    <s v="Южный АО"/>
    <n v="4581"/>
    <n v="283666.13279055618"/>
    <n v="7.3085031623330909E-2"/>
    <n v="-7.8073642203941862E-3"/>
  </r>
  <r>
    <x v="29"/>
    <s v="Зеленоградский АО"/>
    <n v="664"/>
    <n v="216946.6580796089"/>
    <n v="9.7520661157024735E-2"/>
    <n v="-1.651585091887342E-2"/>
  </r>
  <r>
    <x v="30"/>
    <s v="Восточный АО"/>
    <n v="4854"/>
    <n v="268038.24546257441"/>
    <n v="4.1630901287553757E-2"/>
    <n v="-7.1941733896998539E-3"/>
  </r>
  <r>
    <x v="30"/>
    <s v="Западный АО"/>
    <n v="5343"/>
    <n v="340004.22844694433"/>
    <n v="1.1548655812192443E-2"/>
    <n v="-1.1365101008852574E-2"/>
  </r>
  <r>
    <x v="30"/>
    <s v="Новомосковский"/>
    <n v="1262"/>
    <n v="217394.79671944631"/>
    <n v="4.2975206611570282E-2"/>
    <n v="-6.5549244195742817E-3"/>
  </r>
  <r>
    <x v="30"/>
    <s v="Северный АО"/>
    <n v="4509"/>
    <n v="308092.55807605002"/>
    <n v="2.1985494106981029E-2"/>
    <n v="-1.0733942837527488E-3"/>
  </r>
  <r>
    <x v="30"/>
    <s v="Северо-Восточный АО"/>
    <n v="4356"/>
    <n v="286930.18072477228"/>
    <n v="2.2775299366048385E-2"/>
    <n v="-6.9757754272161687E-3"/>
  </r>
  <r>
    <x v="30"/>
    <s v="Северо-Западный АО"/>
    <n v="2901"/>
    <n v="301502.58819331578"/>
    <n v="3.6441586280814509E-2"/>
    <n v="-1.7421358704936551E-3"/>
  </r>
  <r>
    <x v="30"/>
    <s v="Троицкий"/>
    <n v="613"/>
    <n v="173425.58342890229"/>
    <n v="2.6800670016750461E-2"/>
    <n v="1.7669030423692611E-3"/>
  </r>
  <r>
    <x v="30"/>
    <s v="Центральный АО"/>
    <n v="5700"/>
    <n v="556845.13157476194"/>
    <n v="-1.0931806350858886E-2"/>
    <n v="-6.0380139454420112E-3"/>
  </r>
  <r>
    <x v="30"/>
    <s v="Юго-Восточный АО"/>
    <n v="4489"/>
    <n v="263479.18276773021"/>
    <n v="2.4651905957543851E-2"/>
    <n v="-1.5341365885398472E-3"/>
  </r>
  <r>
    <x v="30"/>
    <s v="Юго-Западный АО"/>
    <n v="4923"/>
    <n v="308834.37533444568"/>
    <n v="3.5113540790580267E-2"/>
    <n v="-1.3250358027997455E-3"/>
  </r>
  <r>
    <x v="30"/>
    <s v="Южный АО"/>
    <n v="4833"/>
    <n v="282502.1327105618"/>
    <n v="5.5009823182711193E-2"/>
    <n v="-4.1034157604348254E-3"/>
  </r>
  <r>
    <x v="30"/>
    <s v="Зеленоградский АО"/>
    <n v="703"/>
    <n v="217039.433850556"/>
    <n v="5.8734939759036209E-2"/>
    <n v="4.2764323621469202E-4"/>
  </r>
  <r>
    <x v="31"/>
    <s v="Восточный АО"/>
    <n v="5392"/>
    <n v="266117.43562820752"/>
    <n v="0.11083642356819112"/>
    <n v="-7.1661782110683525E-3"/>
  </r>
  <r>
    <x v="31"/>
    <s v="Западный АО"/>
    <n v="5886"/>
    <n v="336424.29970319528"/>
    <n v="0.10162829870859058"/>
    <n v="-1.0529071241558552E-2"/>
  </r>
  <r>
    <x v="31"/>
    <s v="Новомосковский"/>
    <n v="1442"/>
    <n v="219142.34026592321"/>
    <n v="0.14263074484944527"/>
    <n v="8.0385711748756083E-3"/>
  </r>
  <r>
    <x v="31"/>
    <s v="Северный АО"/>
    <n v="4984"/>
    <n v="307037.0851852576"/>
    <n v="0.10534486582390779"/>
    <n v="-3.4258305276295697E-3"/>
  </r>
  <r>
    <x v="31"/>
    <s v="Северо-Восточный АО"/>
    <n v="4848"/>
    <n v="285504.26702068438"/>
    <n v="0.11294765840220378"/>
    <n v="-4.9695493882383479E-3"/>
  </r>
  <r>
    <x v="31"/>
    <s v="Северо-Западный АО"/>
    <n v="3264"/>
    <n v="299742.17782187578"/>
    <n v="0.12512926577042394"/>
    <n v="-5.838790247171155E-3"/>
  </r>
  <r>
    <x v="31"/>
    <s v="Троицкий"/>
    <n v="649"/>
    <n v="172950.42462868241"/>
    <n v="5.8727569331158191E-2"/>
    <n v="-2.7398425931470793E-3"/>
  </r>
  <r>
    <x v="31"/>
    <s v="Центральный АО"/>
    <n v="6098"/>
    <n v="546331.8309059419"/>
    <n v="6.9824561403508678E-2"/>
    <n v="-1.8880115983214818E-2"/>
  </r>
  <r>
    <x v="31"/>
    <s v="Юго-Восточный АО"/>
    <n v="4962"/>
    <n v="262155.09597327432"/>
    <n v="0.10536867899309432"/>
    <n v="-5.0253943425319081E-3"/>
  </r>
  <r>
    <x v="31"/>
    <s v="Юго-Западный АО"/>
    <n v="5460"/>
    <n v="306233.1175945258"/>
    <n v="0.10907982937233385"/>
    <n v="-8.4228244899969829E-3"/>
  </r>
  <r>
    <x v="31"/>
    <s v="Южный АО"/>
    <n v="5354"/>
    <n v="283201.69586318691"/>
    <n v="0.10780053796813571"/>
    <n v="2.4763110490986229E-3"/>
  </r>
  <r>
    <x v="31"/>
    <s v="Зеленоградский АО"/>
    <n v="752"/>
    <n v="213455.49847557559"/>
    <n v="6.970128022759603E-2"/>
    <n v="-1.6512830463095263E-2"/>
  </r>
  <r>
    <x v="32"/>
    <s v="Восточный АО"/>
    <n v="5520"/>
    <n v="261889.18829567861"/>
    <n v="2.3738872403560762E-2"/>
    <n v="-1.5888652025176531E-2"/>
  </r>
  <r>
    <x v="32"/>
    <s v="Западный АО"/>
    <n v="6034"/>
    <n v="330306.84382925881"/>
    <n v="2.5144410465511413E-2"/>
    <n v="-1.8183751528452308E-2"/>
  </r>
  <r>
    <x v="32"/>
    <s v="Новомосковский"/>
    <n v="1461"/>
    <n v="218235.13738975261"/>
    <n v="1.3176144244105403E-2"/>
    <n v="-4.1397882082929716E-3"/>
  </r>
  <r>
    <x v="32"/>
    <s v="Северный АО"/>
    <n v="5141"/>
    <n v="301857.90412314358"/>
    <n v="3.1500802568218189E-2"/>
    <n v="-1.686825895637023E-2"/>
  </r>
  <r>
    <x v="32"/>
    <s v="Северо-Восточный АО"/>
    <n v="5071"/>
    <n v="281794.19893284788"/>
    <n v="4.599834983498341E-2"/>
    <n v="-1.2994790328537231E-2"/>
  </r>
  <r>
    <x v="32"/>
    <s v="Северо-Западный АО"/>
    <n v="3390"/>
    <n v="295218.10880760069"/>
    <n v="3.8602941176470562E-2"/>
    <n v="-1.5093201254324562E-2"/>
  </r>
  <r>
    <x v="32"/>
    <s v="Троицкий"/>
    <n v="653"/>
    <n v="171117.59397983059"/>
    <n v="6.1633281972264253E-3"/>
    <n v="-1.0597433644854215E-2"/>
  </r>
  <r>
    <x v="32"/>
    <s v="Центральный АО"/>
    <n v="6450"/>
    <n v="540294.95933754591"/>
    <n v="5.7723843883240367E-2"/>
    <n v="-1.1049825814442249E-2"/>
  </r>
  <r>
    <x v="32"/>
    <s v="Юго-Восточный АО"/>
    <n v="5129"/>
    <n v="259166.2479942012"/>
    <n v="3.3655783958081331E-2"/>
    <n v="-1.1401067631269024E-2"/>
  </r>
  <r>
    <x v="32"/>
    <s v="Юго-Западный АО"/>
    <n v="5771"/>
    <n v="301531.71527971758"/>
    <n v="5.6959706959706979E-2"/>
    <n v="-1.5352364080468917E-2"/>
  </r>
  <r>
    <x v="32"/>
    <s v="Южный АО"/>
    <n v="5459"/>
    <n v="278112.6184314813"/>
    <n v="1.961150541651091E-2"/>
    <n v="-1.7969798578339358E-2"/>
  </r>
  <r>
    <x v="32"/>
    <s v="Зеленоградский АО"/>
    <n v="772"/>
    <n v="208951.3651929319"/>
    <n v="2.659574468085113E-2"/>
    <n v="-2.1101041270010001E-2"/>
  </r>
  <r>
    <x v="33"/>
    <s v="Восточный АО"/>
    <n v="5411"/>
    <n v="258588.9765727123"/>
    <n v="-1.9746376811594191E-2"/>
    <n v="-1.2601557721582224E-2"/>
  </r>
  <r>
    <x v="33"/>
    <s v="Западный АО"/>
    <n v="5864"/>
    <n v="326518.66673538182"/>
    <n v="-2.8173682466025807E-2"/>
    <n v="-1.1468660624649907E-2"/>
  </r>
  <r>
    <x v="33"/>
    <s v="Новомосковский"/>
    <n v="1383"/>
    <n v="213383.53864553969"/>
    <n v="-5.3388090349075989E-2"/>
    <n v="-2.2231061424120235E-2"/>
  </r>
  <r>
    <x v="33"/>
    <s v="Северный АО"/>
    <n v="5135"/>
    <n v="298853.75503415312"/>
    <n v="-1.167088115152648E-3"/>
    <n v="-9.9521962087331106E-3"/>
  </r>
  <r>
    <x v="33"/>
    <s v="Северо-Восточный АО"/>
    <n v="4985"/>
    <n v="278597.23265815148"/>
    <n v="-1.6959179648984413E-2"/>
    <n v="-1.1345039347166463E-2"/>
  </r>
  <r>
    <x v="33"/>
    <s v="Северо-Западный АО"/>
    <n v="3374"/>
    <n v="290013.10981768259"/>
    <n v="-4.71976401179941E-3"/>
    <n v="-1.7631028838106633E-2"/>
  </r>
  <r>
    <x v="33"/>
    <s v="Троицкий"/>
    <n v="652"/>
    <n v="169378.69014830299"/>
    <n v="-1.5313935681470214E-3"/>
    <n v="-1.016203998130405E-2"/>
  </r>
  <r>
    <x v="33"/>
    <s v="Центральный АО"/>
    <n v="6518"/>
    <n v="537600.66520599893"/>
    <n v="1.0542635658914667E-2"/>
    <n v="-4.9867097313853748E-3"/>
  </r>
  <r>
    <x v="33"/>
    <s v="Юго-Восточный АО"/>
    <n v="5121"/>
    <n v="255999.51713306949"/>
    <n v="-1.5597582374732299E-3"/>
    <n v="-1.2218916952498216E-2"/>
  </r>
  <r>
    <x v="33"/>
    <s v="Юго-Западный АО"/>
    <n v="5673"/>
    <n v="299035.41672953381"/>
    <n v="-1.6981459019234091E-2"/>
    <n v="-8.2787263285656332E-3"/>
  </r>
  <r>
    <x v="33"/>
    <s v="Южный АО"/>
    <n v="5331"/>
    <n v="274615.69143664488"/>
    <n v="-2.3447517860413991E-2"/>
    <n v="-1.2573780415137681E-2"/>
  </r>
  <r>
    <x v="33"/>
    <s v="Зеленоградский АО"/>
    <n v="739"/>
    <n v="204943.3550358896"/>
    <n v="-4.2746113989637347E-2"/>
    <n v="-1.9181545683329526E-2"/>
  </r>
  <r>
    <x v="34"/>
    <s v="Восточный АО"/>
    <n v="5176"/>
    <n v="258297.76694470219"/>
    <n v="-4.3430049898355194E-2"/>
    <n v="-1.1261486544003052E-3"/>
  </r>
  <r>
    <x v="34"/>
    <s v="Западный АО"/>
    <n v="5684"/>
    <n v="324768.07093273278"/>
    <n v="-3.0695770804911371E-2"/>
    <n v="-5.3613957822135072E-3"/>
  </r>
  <r>
    <x v="34"/>
    <s v="Новомосковский"/>
    <n v="1450"/>
    <n v="213351.93392868809"/>
    <n v="4.8445408532176382E-2"/>
    <n v="-1.4811225388899896E-4"/>
  </r>
  <r>
    <x v="34"/>
    <s v="Северный АО"/>
    <n v="5116"/>
    <n v="296416.32505120052"/>
    <n v="-3.700097370983424E-3"/>
    <n v="-8.1559289180557215E-3"/>
  </r>
  <r>
    <x v="34"/>
    <s v="Северо-Восточный АО"/>
    <n v="4728"/>
    <n v="275840.2238329539"/>
    <n v="-5.1554663991975946E-2"/>
    <n v="-9.8960380865682485E-3"/>
  </r>
  <r>
    <x v="34"/>
    <s v="Северо-Западный АО"/>
    <n v="3261"/>
    <n v="289305.56698198023"/>
    <n v="-3.3491404860699459E-2"/>
    <n v="-2.4396925923354518E-3"/>
  </r>
  <r>
    <x v="34"/>
    <s v="Троицкий"/>
    <n v="632"/>
    <n v="166884.05761793401"/>
    <n v="-3.0674846625766916E-2"/>
    <n v="-1.4728136864116448E-2"/>
  </r>
  <r>
    <x v="34"/>
    <s v="Центральный АО"/>
    <n v="6326"/>
    <n v="536836.10728846374"/>
    <n v="-2.9456888616139931E-2"/>
    <n v="-1.4221669856793184E-3"/>
  </r>
  <r>
    <x v="34"/>
    <s v="Юго-Восточный АО"/>
    <n v="4901"/>
    <n v="253290.11788260931"/>
    <n v="-4.2960359304823226E-2"/>
    <n v="-1.0583610784905551E-2"/>
  </r>
  <r>
    <x v="34"/>
    <s v="Юго-Западный АО"/>
    <n v="5370"/>
    <n v="296629.6945765338"/>
    <n v="-5.3410893707033336E-2"/>
    <n v="-8.0449405602543989E-3"/>
  </r>
  <r>
    <x v="34"/>
    <s v="Южный АО"/>
    <n v="5019"/>
    <n v="272147.78095598659"/>
    <n v="-5.8525604952166521E-2"/>
    <n v="-8.9867788244272218E-3"/>
  </r>
  <r>
    <x v="34"/>
    <s v="Зеленоградский АО"/>
    <n v="691"/>
    <n v="204795.37573730879"/>
    <n v="-6.4952638700947252E-2"/>
    <n v="-7.2204975152723172E-4"/>
  </r>
  <r>
    <x v="35"/>
    <s v="Восточный АО"/>
    <n v="4868"/>
    <n v="259332.9226559925"/>
    <n v="-5.950540958268935E-2"/>
    <n v="4.0076061188401013E-3"/>
  </r>
  <r>
    <x v="35"/>
    <s v="Западный АО"/>
    <n v="5442"/>
    <n v="326279.82855966821"/>
    <n v="-4.2575650950035238E-2"/>
    <n v="4.6548837839681667E-3"/>
  </r>
  <r>
    <x v="35"/>
    <s v="Новомосковский"/>
    <n v="1426"/>
    <n v="214267.87892695851"/>
    <n v="-1.6551724137931045E-2"/>
    <n v="4.2931178611982368E-3"/>
  </r>
  <r>
    <x v="35"/>
    <s v="Северный АО"/>
    <n v="5001"/>
    <n v="296895.23621274339"/>
    <n v="-2.2478498827208759E-2"/>
    <n v="1.6156706667898035E-3"/>
  </r>
  <r>
    <x v="35"/>
    <s v="Северо-Восточный АО"/>
    <n v="4540"/>
    <n v="275615.10457874852"/>
    <n v="-3.9763113367174308E-2"/>
    <n v="-8.1612192405156048E-4"/>
  </r>
  <r>
    <x v="35"/>
    <s v="Северо-Западный АО"/>
    <n v="3060"/>
    <n v="290651.04610973608"/>
    <n v="-6.1637534498620083E-2"/>
    <n v="4.6507197970360181E-3"/>
  </r>
  <r>
    <x v="35"/>
    <s v="Троицкий"/>
    <n v="590"/>
    <n v="166417.40270443531"/>
    <n v="-6.6455696202531667E-2"/>
    <n v="-2.7962821623565004E-3"/>
  </r>
  <r>
    <x v="35"/>
    <s v="Центральный АО"/>
    <n v="6012"/>
    <n v="538747.59144121234"/>
    <n v="-4.9636421119190643E-2"/>
    <n v="3.560647517551363E-3"/>
  </r>
  <r>
    <x v="35"/>
    <s v="Юго-Восточный АО"/>
    <n v="4681"/>
    <n v="252980.29083724669"/>
    <n v="-4.4888798204448022E-2"/>
    <n v="-1.2232101589775279E-3"/>
  </r>
  <r>
    <x v="35"/>
    <s v="Юго-Западный АО"/>
    <n v="5119"/>
    <n v="295773.71667826647"/>
    <n v="-4.6741154562383591E-2"/>
    <n v="-2.8856783859394497E-3"/>
  </r>
  <r>
    <x v="35"/>
    <s v="Южный АО"/>
    <n v="4865"/>
    <n v="271771.28308731172"/>
    <n v="-3.0683403068340276E-2"/>
    <n v="-1.3834317052019429E-3"/>
  </r>
  <r>
    <x v="35"/>
    <s v="Зеленоградский АО"/>
    <n v="686"/>
    <n v="206752.47721249229"/>
    <n v="-7.2358900144717797E-3"/>
    <n v="9.5563753240888172E-3"/>
  </r>
  <r>
    <x v="36"/>
    <s v="Восточный АО"/>
    <n v="5206"/>
    <n v="259473.58519021151"/>
    <n v="6.9433032046014809E-2"/>
    <n v="5.4240137649474995E-4"/>
  </r>
  <r>
    <x v="36"/>
    <s v="Западный АО"/>
    <n v="5638"/>
    <n v="322496.14762979379"/>
    <n v="3.6016170525542179E-2"/>
    <n v="-1.1596429195691038E-2"/>
  </r>
  <r>
    <x v="36"/>
    <s v="Новомосковский"/>
    <n v="1521"/>
    <n v="215088.57304761501"/>
    <n v="6.6619915848527445E-2"/>
    <n v="3.8302246924106775E-3"/>
  </r>
  <r>
    <x v="36"/>
    <s v="Северный АО"/>
    <n v="5188"/>
    <n v="297406.94574075512"/>
    <n v="3.7392521495700937E-2"/>
    <n v="1.7235356637552712E-3"/>
  </r>
  <r>
    <x v="36"/>
    <s v="Северо-Восточный АО"/>
    <n v="4691"/>
    <n v="276820.27551149769"/>
    <n v="3.3259911894273131E-2"/>
    <n v="4.3726592364781158E-3"/>
  </r>
  <r>
    <x v="36"/>
    <s v="Северо-Западный АО"/>
    <n v="3207"/>
    <n v="289313.35217759508"/>
    <n v="4.8039215686274561E-2"/>
    <n v="-4.6024053587474523E-3"/>
  </r>
  <r>
    <x v="36"/>
    <s v="Троицкий"/>
    <n v="639"/>
    <n v="167266.13257967349"/>
    <n v="8.3050847457627031E-2"/>
    <n v="5.1000067387516612E-3"/>
  </r>
  <r>
    <x v="36"/>
    <s v="Центральный АО"/>
    <n v="6277"/>
    <n v="536305.76087202888"/>
    <n v="4.4078509647371922E-2"/>
    <n v="-4.5324203912471273E-3"/>
  </r>
  <r>
    <x v="36"/>
    <s v="Юго-Восточный АО"/>
    <n v="5084"/>
    <n v="252497.7358589184"/>
    <n v="8.6092715231788075E-2"/>
    <n v="-1.9074805263732397E-3"/>
  </r>
  <r>
    <x v="36"/>
    <s v="Юго-Западный АО"/>
    <n v="5405"/>
    <n v="294978.52411132469"/>
    <n v="5.587028716546194E-2"/>
    <n v="-2.6885166669720073E-3"/>
  </r>
  <r>
    <x v="36"/>
    <s v="Южный АО"/>
    <n v="5112"/>
    <n v="271944.71502837329"/>
    <n v="5.0770811921891035E-2"/>
    <n v="6.3815403559708272E-4"/>
  </r>
  <r>
    <x v="36"/>
    <s v="Зеленоградский АО"/>
    <n v="737"/>
    <n v="207768.78421852109"/>
    <n v="7.4344023323615227E-2"/>
    <n v="4.9155735386148258E-3"/>
  </r>
  <r>
    <x v="37"/>
    <s v="Восточный АО"/>
    <n v="5434"/>
    <n v="259217.51369044819"/>
    <n v="4.3795620437956151E-2"/>
    <n v="-9.8688850957839858E-4"/>
  </r>
  <r>
    <x v="37"/>
    <s v="Западный АО"/>
    <n v="5901"/>
    <n v="325831.62776930293"/>
    <n v="4.6647747428165909E-2"/>
    <n v="1.0342697622974573E-2"/>
  </r>
  <r>
    <x v="37"/>
    <s v="Новомосковский"/>
    <n v="1674"/>
    <n v="216997.25024225019"/>
    <n v="0.10059171597633143"/>
    <n v="8.8739125821093445E-3"/>
  </r>
  <r>
    <x v="37"/>
    <s v="Северный АО"/>
    <n v="5408"/>
    <n v="298460.60393010598"/>
    <n v="4.2405551272166608E-2"/>
    <n v="3.5428163479049868E-3"/>
  </r>
  <r>
    <x v="37"/>
    <s v="Северо-Восточный АО"/>
    <n v="5008"/>
    <n v="277437.93456249143"/>
    <n v="6.7576209763376749E-2"/>
    <n v="2.2312637679897662E-3"/>
  </r>
  <r>
    <x v="37"/>
    <s v="Северо-Западный АО"/>
    <n v="3337"/>
    <n v="291927.00474655448"/>
    <n v="4.0536326785157506E-2"/>
    <n v="9.0339852941008214E-3"/>
  </r>
  <r>
    <x v="37"/>
    <s v="Троицкий"/>
    <n v="677"/>
    <n v="167153.23560872281"/>
    <n v="5.946791862284817E-2"/>
    <n v="-6.7495415365625977E-4"/>
  </r>
  <r>
    <x v="37"/>
    <s v="Центральный АО"/>
    <n v="6617"/>
    <n v="536010.63663105911"/>
    <n v="5.4166002867611862E-2"/>
    <n v="-5.5029101401016245E-4"/>
  </r>
  <r>
    <x v="37"/>
    <s v="Юго-Восточный АО"/>
    <n v="5343"/>
    <n v="251723.6431670411"/>
    <n v="5.0944138473642875E-2"/>
    <n v="-3.0657411213771413E-3"/>
  </r>
  <r>
    <x v="37"/>
    <s v="Юго-Западный АО"/>
    <n v="5717"/>
    <n v="293915.58188242093"/>
    <n v="5.7724329324699397E-2"/>
    <n v="-3.6034563265446851E-3"/>
  </r>
  <r>
    <x v="37"/>
    <s v="Южный АО"/>
    <n v="5483"/>
    <n v="271339.62750437472"/>
    <n v="7.2574334898278581E-2"/>
    <n v="-2.2250387323594634E-3"/>
  </r>
  <r>
    <x v="37"/>
    <s v="Зеленоградский АО"/>
    <n v="755"/>
    <n v="207448.00638234589"/>
    <n v="2.4423337856173788E-2"/>
    <n v="-1.5439173761435665E-3"/>
  </r>
  <r>
    <x v="38"/>
    <s v="Восточный АО"/>
    <n v="5111"/>
    <n v="260149.9673409111"/>
    <n v="-5.9440559440559482E-2"/>
    <n v="3.5971861514589865E-3"/>
  </r>
  <r>
    <x v="38"/>
    <s v="Западный АО"/>
    <n v="5624"/>
    <n v="326518.58120994607"/>
    <n v="-4.6941196407388586E-2"/>
    <n v="2.1083080404016297E-3"/>
  </r>
  <r>
    <x v="38"/>
    <s v="Новомосковский"/>
    <n v="1776"/>
    <n v="216056.46931929531"/>
    <n v="6.0931899641577081E-2"/>
    <n v="-4.3354508958275417E-3"/>
  </r>
  <r>
    <x v="38"/>
    <s v="Северный АО"/>
    <n v="5135"/>
    <n v="299938.94214565807"/>
    <n v="-5.0480769230769273E-2"/>
    <n v="4.9532105614122912E-3"/>
  </r>
  <r>
    <x v="38"/>
    <s v="Северо-Восточный АО"/>
    <n v="4709"/>
    <n v="277858.91699838708"/>
    <n v="-5.9704472843450485E-2"/>
    <n v="1.5173932020491332E-3"/>
  </r>
  <r>
    <x v="38"/>
    <s v="Северо-Западный АО"/>
    <n v="3148"/>
    <n v="294542.43336894322"/>
    <n v="-5.6637698531615266E-2"/>
    <n v="8.9591869880603081E-3"/>
  </r>
  <r>
    <x v="38"/>
    <s v="Троицкий"/>
    <n v="632"/>
    <n v="169292.30333286771"/>
    <n v="-6.6469719350073841E-2"/>
    <n v="1.2797046472687423E-2"/>
  </r>
  <r>
    <x v="38"/>
    <s v="Центральный АО"/>
    <n v="6266"/>
    <n v="543077.44689871592"/>
    <n v="-5.3045186640471531E-2"/>
    <n v="1.3184085883207963E-2"/>
  </r>
  <r>
    <x v="38"/>
    <s v="Юго-Восточный АО"/>
    <n v="5061"/>
    <n v="253205.29192346189"/>
    <n v="-5.2779337450870267E-2"/>
    <n v="5.8860134780329698E-3"/>
  </r>
  <r>
    <x v="38"/>
    <s v="Юго-Западный АО"/>
    <n v="5388"/>
    <n v="295572.76397545612"/>
    <n v="-5.7547664859191938E-2"/>
    <n v="5.6382927452214293E-3"/>
  </r>
  <r>
    <x v="38"/>
    <s v="Южный АО"/>
    <n v="5270"/>
    <n v="271537.54008447792"/>
    <n v="-3.8847346343242717E-2"/>
    <n v="7.2939062356458528E-4"/>
  </r>
  <r>
    <x v="38"/>
    <s v="Зеленоградский АО"/>
    <n v="697"/>
    <n v="207419.9378333916"/>
    <n v="-7.6821192052980103E-2"/>
    <n v="-1.3530401879380261E-4"/>
  </r>
  <r>
    <x v="39"/>
    <s v="Восточный АО"/>
    <n v="4977"/>
    <n v="262704.28325107589"/>
    <n v="-2.62179612600274E-2"/>
    <n v="9.8186286020844893E-3"/>
  </r>
  <r>
    <x v="39"/>
    <s v="Западный АО"/>
    <n v="5481"/>
    <n v="327429.4116643655"/>
    <n v="-2.5426742532005719E-2"/>
    <n v="2.789521046686616E-3"/>
  </r>
  <r>
    <x v="39"/>
    <s v="Новомосковский"/>
    <n v="1781"/>
    <n v="213370.62512897881"/>
    <n v="2.8153153153154253E-3"/>
    <n v="-1.2431213926518803E-2"/>
  </r>
  <r>
    <x v="39"/>
    <s v="Северный АО"/>
    <n v="4966"/>
    <n v="300379.37446483312"/>
    <n v="-3.2911392405063244E-2"/>
    <n v="1.4684065897689891E-3"/>
  </r>
  <r>
    <x v="39"/>
    <s v="Северо-Восточный АО"/>
    <n v="4642"/>
    <n v="279150.40118053567"/>
    <n v="-1.4228073901040528E-2"/>
    <n v="4.6479853736567378E-3"/>
  </r>
  <r>
    <x v="39"/>
    <s v="Северо-Западный АО"/>
    <n v="2995"/>
    <n v="297107.98577907193"/>
    <n v="-4.8602287166454872E-2"/>
    <n v="8.7102981420510428E-3"/>
  </r>
  <r>
    <x v="39"/>
    <s v="Троицкий"/>
    <n v="641"/>
    <n v="169224.4777980012"/>
    <n v="1.4240506329114E-2"/>
    <n v="-4.0064157395947042E-4"/>
  </r>
  <r>
    <x v="39"/>
    <s v="Центральный АО"/>
    <n v="6052"/>
    <n v="544627.00601036567"/>
    <n v="-3.4152569422278956E-2"/>
    <n v="2.8532930625246866E-3"/>
  </r>
  <r>
    <x v="39"/>
    <s v="Юго-Восточный АО"/>
    <n v="5004"/>
    <n v="255249.24178488849"/>
    <n v="-1.1262596324836949E-2"/>
    <n v="8.0723030940619278E-3"/>
  </r>
  <r>
    <x v="39"/>
    <s v="Юго-Западный АО"/>
    <n v="5285"/>
    <n v="296021.71554492629"/>
    <n v="-1.9116555308092087E-2"/>
    <n v="1.5189206320358473E-3"/>
  </r>
  <r>
    <x v="39"/>
    <s v="Южный АО"/>
    <n v="5150"/>
    <n v="271854.90477099549"/>
    <n v="-2.2770398481973486E-2"/>
    <n v="1.1687691006512235E-3"/>
  </r>
  <r>
    <x v="39"/>
    <s v="Зеленоградский АО"/>
    <n v="686"/>
    <n v="208176.0339897844"/>
    <n v="-1.5781922525107572E-2"/>
    <n v="3.6452433854268218E-3"/>
  </r>
  <r>
    <x v="40"/>
    <s v="Восточный АО"/>
    <n v="4803"/>
    <n v="265501.56664034212"/>
    <n v="-3.4960819770946339E-2"/>
    <n v="1.0648031142274084E-2"/>
  </r>
  <r>
    <x v="40"/>
    <s v="Западный АО"/>
    <n v="5316"/>
    <n v="328390.28514200193"/>
    <n v="-3.0103995621237001E-2"/>
    <n v="2.9345973312300266E-3"/>
  </r>
  <r>
    <x v="40"/>
    <s v="Новомосковский"/>
    <n v="1846"/>
    <n v="214974.22752841661"/>
    <n v="3.649635036496357E-2"/>
    <n v="7.5155724855211492E-3"/>
  </r>
  <r>
    <x v="40"/>
    <s v="Северный АО"/>
    <n v="4837"/>
    <n v="303225.98987913458"/>
    <n v="-2.5976641159887182E-2"/>
    <n v="9.4767339447758836E-3"/>
  </r>
  <r>
    <x v="40"/>
    <s v="Северо-Восточный АО"/>
    <n v="4484"/>
    <n v="279539.77466396021"/>
    <n v="-3.4037052994398964E-2"/>
    <n v="1.3948519571451712E-3"/>
  </r>
  <r>
    <x v="40"/>
    <s v="Северо-Западный АО"/>
    <n v="2857"/>
    <n v="301766.00375931652"/>
    <n v="-4.6076794657762932E-2"/>
    <n v="1.5677861933028892E-2"/>
  </r>
  <r>
    <x v="40"/>
    <s v="Троицкий"/>
    <n v="616"/>
    <n v="168786.20138819891"/>
    <n v="-3.9001560062402518E-2"/>
    <n v="-2.5899114330578676E-3"/>
  </r>
  <r>
    <x v="40"/>
    <s v="Центральный АО"/>
    <n v="5945"/>
    <n v="557314.28719865577"/>
    <n v="-1.7680105750165209E-2"/>
    <n v="2.3295358196116833E-2"/>
  </r>
  <r>
    <x v="40"/>
    <s v="Юго-Восточный АО"/>
    <n v="4873"/>
    <n v="256861.97509712071"/>
    <n v="-2.6179056754596308E-2"/>
    <n v="6.3182687672440618E-3"/>
  </r>
  <r>
    <x v="40"/>
    <s v="Юго-Западный АО"/>
    <n v="5051"/>
    <n v="301770.70533518039"/>
    <n v="-4.4276253547776756E-2"/>
    <n v="1.9420838027612852E-2"/>
  </r>
  <r>
    <x v="40"/>
    <s v="Южный АО"/>
    <n v="4985"/>
    <n v="273530.18825430929"/>
    <n v="-3.2038834951456319E-2"/>
    <n v="6.1624177232522115E-3"/>
  </r>
  <r>
    <x v="40"/>
    <s v="Зеленоградский АО"/>
    <n v="639"/>
    <n v="209095.04178709551"/>
    <n v="-6.8513119533527678E-2"/>
    <n v="4.4145705905618282E-3"/>
  </r>
  <r>
    <x v="41"/>
    <s v="Восточный АО"/>
    <n v="4490"/>
    <n v="266289.44816882262"/>
    <n v="-6.516760358109519E-2"/>
    <n v="2.9675212031716747E-3"/>
  </r>
  <r>
    <x v="41"/>
    <s v="Западный АО"/>
    <n v="4966"/>
    <n v="333528.81317852531"/>
    <n v="-6.5838976674191141E-2"/>
    <n v="1.5647625002978893E-2"/>
  </r>
  <r>
    <x v="41"/>
    <s v="Новомосковский"/>
    <n v="1713"/>
    <n v="218059.79304317909"/>
    <n v="-7.2047670639219907E-2"/>
    <n v="1.4353188055319821E-2"/>
  </r>
  <r>
    <x v="41"/>
    <s v="Северный АО"/>
    <n v="4496"/>
    <n v="307368.10369987052"/>
    <n v="-7.0498242712425108E-2"/>
    <n v="1.3660154336991415E-2"/>
  </r>
  <r>
    <x v="41"/>
    <s v="Северо-Восточный АО"/>
    <n v="4116"/>
    <n v="284347.03525877051"/>
    <n v="-8.2069580731489733E-2"/>
    <n v="1.7197053981277577E-2"/>
  </r>
  <r>
    <x v="41"/>
    <s v="Северо-Западный АО"/>
    <n v="2689"/>
    <n v="307084.6799054633"/>
    <n v="-5.8802940147007376E-2"/>
    <n v="1.7625166784489332E-2"/>
  </r>
  <r>
    <x v="41"/>
    <s v="Троицкий"/>
    <n v="600"/>
    <n v="169405.6820692218"/>
    <n v="-2.5974025974025983E-2"/>
    <n v="3.6702092702360911E-3"/>
  </r>
  <r>
    <x v="41"/>
    <s v="Центральный АО"/>
    <n v="5708"/>
    <n v="562979.3614458685"/>
    <n v="-3.9865433137090012E-2"/>
    <n v="1.0164954276855598E-2"/>
  </r>
  <r>
    <x v="41"/>
    <s v="Юго-Восточный АО"/>
    <n v="4668"/>
    <n v="259040.205839884"/>
    <n v="-4.2068540939872778E-2"/>
    <n v="8.4801603738338116E-3"/>
  </r>
  <r>
    <x v="41"/>
    <s v="Юго-Западный АО"/>
    <n v="4622"/>
    <n v="300685.82013446209"/>
    <n v="-8.493367649970307E-2"/>
    <n v="-3.5950646684319576E-3"/>
  </r>
  <r>
    <x v="41"/>
    <s v="Южный АО"/>
    <n v="4632"/>
    <n v="279327.91056812921"/>
    <n v="-7.0812437311935761E-2"/>
    <n v="2.1195913880005079E-2"/>
  </r>
  <r>
    <x v="41"/>
    <s v="Зеленоградский АО"/>
    <n v="580"/>
    <n v="212092.43740156849"/>
    <n v="-9.2331768388106417E-2"/>
    <n v="1.4335086996108526E-2"/>
  </r>
  <r>
    <x v="42"/>
    <s v="Восточный АО"/>
    <n v="4217"/>
    <n v="271753.43139286892"/>
    <n v="-6.080178173719375E-2"/>
    <n v="2.0518962586088874E-2"/>
  </r>
  <r>
    <x v="42"/>
    <s v="Западный АО"/>
    <n v="4721"/>
    <n v="340731.0975671148"/>
    <n v="-4.933548127265408E-2"/>
    <n v="2.1594189479319015E-2"/>
  </r>
  <r>
    <x v="42"/>
    <s v="Новомосковский"/>
    <n v="1650"/>
    <n v="220945.6460367316"/>
    <n v="-3.677758318739055E-2"/>
    <n v="1.3234227884372451E-2"/>
  </r>
  <r>
    <x v="42"/>
    <s v="Северный АО"/>
    <n v="4167"/>
    <n v="314128.71891417587"/>
    <n v="-7.3176156583629859E-2"/>
    <n v="2.1995174947972984E-2"/>
  </r>
  <r>
    <x v="42"/>
    <s v="Северо-Восточный АО"/>
    <n v="3883"/>
    <n v="291580.60943401378"/>
    <n v="-5.6608357628765815E-2"/>
    <n v="2.5439245985668046E-2"/>
  </r>
  <r>
    <x v="42"/>
    <s v="Северо-Западный АО"/>
    <n v="2507"/>
    <n v="315410.97976804298"/>
    <n v="-6.76831535886947E-2"/>
    <n v="2.7114019055404892E-2"/>
  </r>
  <r>
    <x v="42"/>
    <s v="Троицкий"/>
    <n v="611"/>
    <n v="170438.21435076979"/>
    <n v="1.8333333333333313E-2"/>
    <n v="6.0950274449831365E-3"/>
  </r>
  <r>
    <x v="42"/>
    <s v="Центральный АО"/>
    <n v="5480"/>
    <n v="574623.85455811245"/>
    <n v="-3.9943938332165363E-2"/>
    <n v="2.0683694482756865E-2"/>
  </r>
  <r>
    <x v="42"/>
    <s v="Юго-Восточный АО"/>
    <n v="4454"/>
    <n v="265768.53769819078"/>
    <n v="-4.5844044558697505E-2"/>
    <n v="2.5974083198751163E-2"/>
  </r>
  <r>
    <x v="42"/>
    <s v="Юго-Западный АО"/>
    <n v="4380"/>
    <n v="307525.38589723379"/>
    <n v="-5.235828645607965E-2"/>
    <n v="2.2746552397160391E-2"/>
  </r>
  <r>
    <x v="42"/>
    <s v="Южный АО"/>
    <n v="4444"/>
    <n v="286060.81074433221"/>
    <n v="-4.0587219343696024E-2"/>
    <n v="2.4103929186699791E-2"/>
  </r>
  <r>
    <x v="42"/>
    <s v="Зеленоградский АО"/>
    <n v="536"/>
    <n v="214908.09874068011"/>
    <n v="-7.5862068965517282E-2"/>
    <n v="1.3275632896709855E-2"/>
  </r>
  <r>
    <x v="43"/>
    <s v="Восточный АО"/>
    <n v="4035"/>
    <n v="277235.93367614498"/>
    <n v="-4.3158643585487266E-2"/>
    <n v="2.0174546665981508E-2"/>
  </r>
  <r>
    <x v="43"/>
    <s v="Западный АО"/>
    <n v="4516"/>
    <n v="349255.28392081911"/>
    <n v="-4.3423003600931986E-2"/>
    <n v="2.5017341870374077E-2"/>
  </r>
  <r>
    <x v="43"/>
    <s v="Новомосковский"/>
    <n v="1548"/>
    <n v="224057.94029980301"/>
    <n v="-6.1818181818181772E-2"/>
    <n v="1.4086243919710473E-2"/>
  </r>
  <r>
    <x v="43"/>
    <s v="Северный АО"/>
    <n v="3942"/>
    <n v="321168.53584189608"/>
    <n v="-5.3995680345572339E-2"/>
    <n v="2.2410612286753562E-2"/>
  </r>
  <r>
    <x v="43"/>
    <s v="Северо-Восточный АО"/>
    <n v="3659"/>
    <n v="294447.35008345579"/>
    <n v="-5.7687355137780116E-2"/>
    <n v="9.8317259676719004E-3"/>
  </r>
  <r>
    <x v="43"/>
    <s v="Северо-Западный АО"/>
    <n v="2374"/>
    <n v="319495.38175727188"/>
    <n v="-5.3051455923414426E-2"/>
    <n v="1.2949460390480505E-2"/>
  </r>
  <r>
    <x v="43"/>
    <s v="Троицкий"/>
    <n v="579"/>
    <n v="169604.45126178401"/>
    <n v="-5.2373158756137461E-2"/>
    <n v="-4.8918788087620735E-3"/>
  </r>
  <r>
    <x v="43"/>
    <s v="Центральный АО"/>
    <n v="5223"/>
    <n v="595010.14708373242"/>
    <n v="-4.6897810218978098E-2"/>
    <n v="3.5477630042520802E-2"/>
  </r>
  <r>
    <x v="43"/>
    <s v="Юго-Восточный АО"/>
    <n v="4111"/>
    <n v="271223.36272102938"/>
    <n v="-7.7009429726088929E-2"/>
    <n v="2.0524720759208748E-2"/>
  </r>
  <r>
    <x v="43"/>
    <s v="Юго-Западный АО"/>
    <n v="4094"/>
    <n v="311274.0379918635"/>
    <n v="-6.5296803652968083E-2"/>
    <n v="1.2189732186475233E-2"/>
  </r>
  <r>
    <x v="43"/>
    <s v="Южный АО"/>
    <n v="4067"/>
    <n v="290822.91353305808"/>
    <n v="-8.4833483348334848E-2"/>
    <n v="1.6647169447415289E-2"/>
  </r>
  <r>
    <x v="43"/>
    <s v="Зеленоградский АО"/>
    <n v="484"/>
    <n v="219956.47351063031"/>
    <n v="-9.7014925373134275E-2"/>
    <n v="2.3490853995417948E-2"/>
  </r>
  <r>
    <x v="44"/>
    <s v="Восточный АО"/>
    <n v="3969"/>
    <n v="282293.97338899889"/>
    <n v="-1.635687732342006E-2"/>
    <n v="1.8244531456598656E-2"/>
  </r>
  <r>
    <x v="44"/>
    <s v="Западный АО"/>
    <n v="4334"/>
    <n v="352808.01997684769"/>
    <n v="-4.0301151461470286E-2"/>
    <n v="1.0172318700936378E-2"/>
  </r>
  <r>
    <x v="44"/>
    <s v="Новомосковский"/>
    <n v="1537"/>
    <n v="224930.65665679009"/>
    <n v="-7.10594315245483E-3"/>
    <n v="3.8950476640966514E-3"/>
  </r>
  <r>
    <x v="44"/>
    <s v="Северный АО"/>
    <n v="3857"/>
    <n v="323237.1142766329"/>
    <n v="-2.156265854895989E-2"/>
    <n v="6.4407879474068785E-3"/>
  </r>
  <r>
    <x v="44"/>
    <s v="Северо-Восточный АО"/>
    <n v="3624"/>
    <n v="297704.71835918742"/>
    <n v="-9.5654550423612816E-3"/>
    <n v="1.1062651013189262E-2"/>
  </r>
  <r>
    <x v="44"/>
    <s v="Северо-Западный АО"/>
    <n v="2255"/>
    <n v="322172.24541405181"/>
    <n v="-5.0126368997472581E-2"/>
    <n v="8.3784111121005811E-3"/>
  </r>
  <r>
    <x v="44"/>
    <s v="Троицкий"/>
    <n v="560"/>
    <n v="171082.35500495299"/>
    <n v="-3.2815198618307395E-2"/>
    <n v="8.7138263894255275E-3"/>
  </r>
  <r>
    <x v="44"/>
    <s v="Центральный АО"/>
    <n v="5134"/>
    <n v="605411.52182038175"/>
    <n v="-1.7040015316867718E-2"/>
    <n v="1.7481003958720098E-2"/>
  </r>
  <r>
    <x v="44"/>
    <s v="Юго-Восточный АО"/>
    <n v="3868"/>
    <n v="274114.74802020751"/>
    <n v="-5.910970566772078E-2"/>
    <n v="1.0660531858946554E-2"/>
  </r>
  <r>
    <x v="44"/>
    <s v="Юго-Западный АО"/>
    <n v="3999"/>
    <n v="316408.24935934541"/>
    <n v="-2.3204689789936506E-2"/>
    <n v="1.6494184354739261E-2"/>
  </r>
  <r>
    <x v="44"/>
    <s v="Южный АО"/>
    <n v="3960"/>
    <n v="298066.19404510548"/>
    <n v="-2.630931890828625E-2"/>
    <n v="2.4906154828216565E-2"/>
  </r>
  <r>
    <x v="44"/>
    <s v="Зеленоградский АО"/>
    <n v="455"/>
    <n v="223456.54631500141"/>
    <n v="-5.9917355371900793E-2"/>
    <n v="1.5912570103111534E-2"/>
  </r>
  <r>
    <x v="45"/>
    <s v="Восточный АО"/>
    <n v="3959"/>
    <n v="283897.2503487455"/>
    <n v="-2.5195263290501702E-3"/>
    <n v="5.6794586880439812E-3"/>
  </r>
  <r>
    <x v="45"/>
    <s v="Западный АО"/>
    <n v="4372"/>
    <n v="358307.04182195792"/>
    <n v="8.7678818643286416E-3"/>
    <n v="1.5586442296496195E-2"/>
  </r>
  <r>
    <x v="45"/>
    <s v="Новомосковский"/>
    <n v="1498"/>
    <n v="225511.9671450966"/>
    <n v="-2.5374105400130076E-2"/>
    <n v="2.5843986628888427E-3"/>
  </r>
  <r>
    <x v="45"/>
    <s v="Северный АО"/>
    <n v="3813"/>
    <n v="326254.4047485473"/>
    <n v="-1.1407829919626633E-2"/>
    <n v="9.3346040372459527E-3"/>
  </r>
  <r>
    <x v="45"/>
    <s v="Северо-Восточный АО"/>
    <n v="3725"/>
    <n v="299211.42835346819"/>
    <n v="2.7869757174392884E-2"/>
    <n v="5.061088727733587E-3"/>
  </r>
  <r>
    <x v="45"/>
    <s v="Северо-Западный АО"/>
    <n v="2403"/>
    <n v="330385.81442517339"/>
    <n v="6.5631929046563231E-2"/>
    <n v="2.5494340769688595E-2"/>
  </r>
  <r>
    <x v="45"/>
    <s v="Троицкий"/>
    <n v="574"/>
    <n v="175058.3183724765"/>
    <n v="2.4999999999999911E-2"/>
    <n v="2.3240055161786843E-2"/>
  </r>
  <r>
    <x v="45"/>
    <s v="Центральный АО"/>
    <n v="5021"/>
    <n v="606601.23705547978"/>
    <n v="-2.2010128554733166E-2"/>
    <n v="1.9651347756328708E-3"/>
  </r>
  <r>
    <x v="45"/>
    <s v="Юго-Восточный АО"/>
    <n v="3932"/>
    <n v="277276.17125937139"/>
    <n v="1.6546018614270963E-2"/>
    <n v="1.1533211043905034E-2"/>
  </r>
  <r>
    <x v="45"/>
    <s v="Юго-Западный АО"/>
    <n v="4053"/>
    <n v="320151.12423298409"/>
    <n v="1.3503375843960885E-2"/>
    <n v="1.1829258185325875E-2"/>
  </r>
  <r>
    <x v="45"/>
    <s v="Южный АО"/>
    <n v="4057"/>
    <n v="303855.39928112749"/>
    <n v="2.4494949494949569E-2"/>
    <n v="1.9422548922626071E-2"/>
  </r>
  <r>
    <x v="45"/>
    <s v="Зеленоградский АО"/>
    <n v="458"/>
    <n v="225234.24934580029"/>
    <n v="6.59340659340657E-3"/>
    <n v="7.955475281949953E-3"/>
  </r>
  <r>
    <x v="46"/>
    <s v="Восточный АО"/>
    <n v="3579"/>
    <n v="284566.58050260629"/>
    <n v="-9.5983834301591298E-2"/>
    <n v="2.3576493010712962E-3"/>
  </r>
  <r>
    <x v="46"/>
    <s v="Западный АО"/>
    <n v="4021"/>
    <n v="361334.5781139374"/>
    <n v="-8.0283623055809716E-2"/>
    <n v="8.4495584473716079E-3"/>
  </r>
  <r>
    <x v="46"/>
    <s v="Новомосковский"/>
    <n v="1372"/>
    <n v="225208.20038814619"/>
    <n v="-8.411214953271029E-2"/>
    <n v="-1.3470094771288466E-3"/>
  </r>
  <r>
    <x v="46"/>
    <s v="Северный АО"/>
    <n v="3514"/>
    <n v="328426.97070733021"/>
    <n v="-7.8415945449777036E-2"/>
    <n v="6.6591160982405473E-3"/>
  </r>
  <r>
    <x v="46"/>
    <s v="Северо-Восточный АО"/>
    <n v="3379"/>
    <n v="301104.78862383508"/>
    <n v="-9.2885906040268473E-2"/>
    <n v="6.3278340696606428E-3"/>
  </r>
  <r>
    <x v="46"/>
    <s v="Северо-Западный АО"/>
    <n v="2227"/>
    <n v="331229.33674344502"/>
    <n v="-7.3241781106949677E-2"/>
    <n v="2.5531432689966937E-3"/>
  </r>
  <r>
    <x v="46"/>
    <s v="Троицкий"/>
    <n v="531"/>
    <n v="173276.8953003163"/>
    <n v="-7.4912891986062768E-2"/>
    <n v="-1.0176169225902254E-2"/>
  </r>
  <r>
    <x v="46"/>
    <s v="Центральный АО"/>
    <n v="4644"/>
    <n v="608292.30991363106"/>
    <n v="-7.5084644493128905E-2"/>
    <n v="2.7877833984644163E-3"/>
  </r>
  <r>
    <x v="46"/>
    <s v="Юго-Восточный АО"/>
    <n v="3549"/>
    <n v="279706.17179711262"/>
    <n v="-9.7405900305188253E-2"/>
    <n v="8.7638275106884933E-3"/>
  </r>
  <r>
    <x v="46"/>
    <s v="Юго-Западный АО"/>
    <n v="3755"/>
    <n v="322882.27017838153"/>
    <n v="-7.352578337034299E-2"/>
    <n v="8.5308022951369189E-3"/>
  </r>
  <r>
    <x v="46"/>
    <s v="Южный АО"/>
    <n v="3797"/>
    <n v="303967.25541657058"/>
    <n v="-6.4086763618437237E-2"/>
    <n v="3.6812291539889408E-4"/>
  </r>
  <r>
    <x v="46"/>
    <s v="Зеленоградский АО"/>
    <n v="431"/>
    <n v="226777.4156291993"/>
    <n v="-5.8951965065502154E-2"/>
    <n v="6.8513837832442359E-3"/>
  </r>
  <r>
    <x v="47"/>
    <s v="Восточный АО"/>
    <n v="3611"/>
    <n v="289262.51425630139"/>
    <n v="8.9410449846325513E-3"/>
    <n v="1.6502056374297691E-2"/>
  </r>
  <r>
    <x v="47"/>
    <s v="Западный АО"/>
    <n v="4015"/>
    <n v="363757.26054850942"/>
    <n v="-1.4921661278288756E-3"/>
    <n v="6.7048175882244987E-3"/>
  </r>
  <r>
    <x v="47"/>
    <s v="Новомосковский"/>
    <n v="1330"/>
    <n v="227814.4215212173"/>
    <n v="-3.0612244897959218E-2"/>
    <n v="1.1572496599054904E-2"/>
  </r>
  <r>
    <x v="47"/>
    <s v="Северный АО"/>
    <n v="3513"/>
    <n v="328810.32795796858"/>
    <n v="-2.8457598178710519E-4"/>
    <n v="1.1672526461901089E-3"/>
  </r>
  <r>
    <x v="47"/>
    <s v="Северо-Восточный АО"/>
    <n v="3468"/>
    <n v="303900.31270526722"/>
    <n v="2.6339153595738463E-2"/>
    <n v="9.2842232573211447E-3"/>
  </r>
  <r>
    <x v="47"/>
    <s v="Северо-Западный АО"/>
    <n v="2268"/>
    <n v="331327.5585186574"/>
    <n v="1.8410417602155338E-2"/>
    <n v="2.9653706455490259E-4"/>
  </r>
  <r>
    <x v="47"/>
    <s v="Троицкий"/>
    <n v="543"/>
    <n v="173619.68782866441"/>
    <n v="2.2598870056497189E-2"/>
    <n v="1.9782933423062588E-3"/>
  </r>
  <r>
    <x v="47"/>
    <s v="Центральный АО"/>
    <n v="4523"/>
    <n v="615847.26275145845"/>
    <n v="-2.6055124892334192E-2"/>
    <n v="1.2419938103278128E-2"/>
  </r>
  <r>
    <x v="47"/>
    <s v="Юго-Восточный АО"/>
    <n v="3507"/>
    <n v="281744.10480363289"/>
    <n v="-1.1834319526627168E-2"/>
    <n v="7.285977972622204E-3"/>
  </r>
  <r>
    <x v="47"/>
    <s v="Юго-Западный АО"/>
    <n v="3732"/>
    <n v="325473.74666206271"/>
    <n v="-6.1251664447403709E-3"/>
    <n v="8.0260724202956268E-3"/>
  </r>
  <r>
    <x v="47"/>
    <s v="Южный АО"/>
    <n v="3757"/>
    <n v="303769.06009649101"/>
    <n v="-1.0534632604687899E-2"/>
    <n v="-6.5202852132195677E-4"/>
  </r>
  <r>
    <x v="47"/>
    <s v="Зеленоградский АО"/>
    <n v="455"/>
    <n v="230182.9635345304"/>
    <n v="5.5684454756380619E-2"/>
    <n v="1.5017138703527166E-2"/>
  </r>
  <r>
    <x v="48"/>
    <s v="Восточный АО"/>
    <n v="4098"/>
    <n v="289294.03604298149"/>
    <n v="0.13486568817502076"/>
    <n v="1.089729402412587E-4"/>
  </r>
  <r>
    <x v="48"/>
    <s v="Западный АО"/>
    <n v="4441"/>
    <n v="365488.45612006949"/>
    <n v="0.10610211706102124"/>
    <n v="4.7592055453398174E-3"/>
  </r>
  <r>
    <x v="48"/>
    <s v="Новомосковский"/>
    <n v="1528"/>
    <n v="229921.2919516268"/>
    <n v="0.14887218045112771"/>
    <n v="9.2481872584755376E-3"/>
  </r>
  <r>
    <x v="48"/>
    <s v="Северный АО"/>
    <n v="4039"/>
    <n v="330143.52980276878"/>
    <n v="0.14972957586108748"/>
    <n v="4.0546227762365827E-3"/>
  </r>
  <r>
    <x v="48"/>
    <s v="Северо-Восточный АО"/>
    <n v="3779"/>
    <n v="304797.91739474999"/>
    <n v="8.9677047289504097E-2"/>
    <n v="2.9536155507456918E-3"/>
  </r>
  <r>
    <x v="48"/>
    <s v="Северо-Западный АО"/>
    <n v="2574"/>
    <n v="332830.33556204388"/>
    <n v="0.13492063492063489"/>
    <n v="4.5356234480020685E-3"/>
  </r>
  <r>
    <x v="48"/>
    <s v="Троицкий"/>
    <n v="597"/>
    <n v="175328.29291796251"/>
    <n v="9.9447513812154664E-2"/>
    <n v="9.8410791464169645E-3"/>
  </r>
  <r>
    <x v="48"/>
    <s v="Центральный АО"/>
    <n v="4969"/>
    <n v="616123.2832791314"/>
    <n v="9.8607119168693247E-2"/>
    <n v="4.4819640252957704E-4"/>
  </r>
  <r>
    <x v="48"/>
    <s v="Юго-Восточный АО"/>
    <n v="3955"/>
    <n v="283273.20011927688"/>
    <n v="0.12774451097804396"/>
    <n v="5.4272486613684556E-3"/>
  </r>
  <r>
    <x v="48"/>
    <s v="Юго-Западный АО"/>
    <n v="4250"/>
    <n v="326709.71713019809"/>
    <n v="0.1387995712754555"/>
    <n v="3.7974505803033409E-3"/>
  </r>
  <r>
    <x v="48"/>
    <s v="Южный АО"/>
    <n v="4116"/>
    <n v="306396.68392163911"/>
    <n v="9.5554964067074755E-2"/>
    <n v="8.6500706303447306E-3"/>
  </r>
  <r>
    <x v="48"/>
    <s v="Зеленоградский АО"/>
    <n v="501"/>
    <n v="230612.0646253484"/>
    <n v="0.10109890109890118"/>
    <n v="1.864173978078254E-3"/>
  </r>
  <r>
    <x v="49"/>
    <s v="Восточный АО"/>
    <n v="4345"/>
    <n v="288247.75322451221"/>
    <n v="6.0273304050756371E-2"/>
    <n v="-3.6166760738677306E-3"/>
  </r>
  <r>
    <x v="49"/>
    <s v="Западный АО"/>
    <n v="4535"/>
    <n v="364124.99397040351"/>
    <n v="2.1166403963071456E-2"/>
    <n v="-3.7305204222867205E-3"/>
  </r>
  <r>
    <x v="49"/>
    <s v="Новомосковский"/>
    <n v="1552"/>
    <n v="229030.49457631609"/>
    <n v="1.5706806282722585E-2"/>
    <n v="-3.8743579063487132E-3"/>
  </r>
  <r>
    <x v="49"/>
    <s v="Северный АО"/>
    <n v="4273"/>
    <n v="330494.80886684521"/>
    <n v="5.7935132458529326E-2"/>
    <n v="1.0640192291100359E-3"/>
  </r>
  <r>
    <x v="49"/>
    <s v="Северо-Восточный АО"/>
    <n v="3891"/>
    <n v="305786.89972633158"/>
    <n v="2.9637470230219565E-2"/>
    <n v="3.2447148590610819E-3"/>
  </r>
  <r>
    <x v="49"/>
    <s v="Северо-Западный АО"/>
    <n v="2758"/>
    <n v="332550.31321326829"/>
    <n v="7.1484071484071432E-2"/>
    <n v="-8.4133661765750656E-4"/>
  </r>
  <r>
    <x v="49"/>
    <s v="Троицкий"/>
    <n v="626"/>
    <n v="176039.49770234569"/>
    <n v="4.8576214405360085E-2"/>
    <n v="4.0564176639532601E-3"/>
  </r>
  <r>
    <x v="49"/>
    <s v="Центральный АО"/>
    <n v="5057"/>
    <n v="621741.88222202507"/>
    <n v="1.7709800764741379E-2"/>
    <n v="9.1192770917378763E-3"/>
  </r>
  <r>
    <x v="49"/>
    <s v="Юго-Восточный АО"/>
    <n v="4108"/>
    <n v="283523.30342770729"/>
    <n v="3.8685208596713094E-2"/>
    <n v="8.8290494238463246E-4"/>
  </r>
  <r>
    <x v="49"/>
    <s v="Юго-Западный АО"/>
    <n v="4542"/>
    <n v="327963.09834628343"/>
    <n v="6.8705882352941172E-2"/>
    <n v="3.8363756887764833E-3"/>
  </r>
  <r>
    <x v="49"/>
    <s v="Южный АО"/>
    <n v="4422"/>
    <n v="304233.77453044592"/>
    <n v="7.4344023323615227E-2"/>
    <n v="-7.0591801566179946E-3"/>
  </r>
  <r>
    <x v="49"/>
    <s v="Зеленоградский АО"/>
    <n v="586"/>
    <n v="232579.11563815709"/>
    <n v="0.16966067864271461"/>
    <n v="8.5296969003090251E-3"/>
  </r>
  <r>
    <x v="50"/>
    <s v="Восточный АО"/>
    <n v="4504"/>
    <n v="288479.34075166669"/>
    <n v="3.6593785960874481E-2"/>
    <n v="8.0343220220724376E-4"/>
  </r>
  <r>
    <x v="50"/>
    <s v="Западный АО"/>
    <n v="4636"/>
    <n v="368219.18854266661"/>
    <n v="2.2271223814773977E-2"/>
    <n v="1.124392623428605E-2"/>
  </r>
  <r>
    <x v="50"/>
    <s v="Новомосковский"/>
    <n v="1552"/>
    <n v="227357.98053028231"/>
    <n v="0"/>
    <n v="-7.3025823444505811E-3"/>
  </r>
  <r>
    <x v="50"/>
    <s v="Северный АО"/>
    <n v="4324"/>
    <n v="329507.20153990138"/>
    <n v="1.1935408378188628E-2"/>
    <n v="-2.988268803162164E-3"/>
  </r>
  <r>
    <x v="50"/>
    <s v="Северо-Восточный АО"/>
    <n v="3960"/>
    <n v="303756.42641210521"/>
    <n v="1.7733230531996824E-2"/>
    <n v="-6.6401579532791022E-3"/>
  </r>
  <r>
    <x v="50"/>
    <s v="Северо-Западный АО"/>
    <n v="2807"/>
    <n v="335124.97603968438"/>
    <n v="1.7766497461928932E-2"/>
    <n v="7.7421753163855467E-3"/>
  </r>
  <r>
    <x v="50"/>
    <s v="Троицкий"/>
    <n v="600"/>
    <n v="176361.32521656499"/>
    <n v="-4.1533546325878579E-2"/>
    <n v="1.8281551493828374E-3"/>
  </r>
  <r>
    <x v="50"/>
    <s v="Центральный АО"/>
    <n v="5086"/>
    <n v="625378.28355069715"/>
    <n v="5.7346252719003843E-3"/>
    <n v="5.8487314955781855E-3"/>
  </r>
  <r>
    <x v="50"/>
    <s v="Юго-Восточный АО"/>
    <n v="4256"/>
    <n v="283163.00037090998"/>
    <n v="3.6027263875365145E-2"/>
    <n v="-1.2708057942375506E-3"/>
  </r>
  <r>
    <x v="50"/>
    <s v="Юго-Западный АО"/>
    <n v="4679"/>
    <n v="327066.62273190613"/>
    <n v="3.0162923822104837E-2"/>
    <n v="-2.7334648894881131E-3"/>
  </r>
  <r>
    <x v="50"/>
    <s v="Южный АО"/>
    <n v="4493"/>
    <n v="302940.21188891242"/>
    <n v="1.6056083220262307E-2"/>
    <n v="-4.2518706002644402E-3"/>
  </r>
  <r>
    <x v="50"/>
    <s v="Зеленоградский АО"/>
    <n v="566"/>
    <n v="234785.75366820849"/>
    <n v="-3.4129692832764458E-2"/>
    <n v="9.4876877659317849E-3"/>
  </r>
  <r>
    <x v="51"/>
    <s v="Восточный АО"/>
    <n v="4588"/>
    <n v="288968.10491984768"/>
    <n v="1.8650088809946785E-2"/>
    <n v="1.6942778880022491E-3"/>
  </r>
  <r>
    <x v="51"/>
    <s v="Западный АО"/>
    <n v="4632"/>
    <n v="368799.48439855588"/>
    <n v="-8.6281276962896225E-4"/>
    <n v="1.5759522424292349E-3"/>
  </r>
  <r>
    <x v="51"/>
    <s v="Новомосковский"/>
    <n v="1532"/>
    <n v="226554.22661148949"/>
    <n v="-1.2886597938144284E-2"/>
    <n v="-3.5351911418203263E-3"/>
  </r>
  <r>
    <x v="51"/>
    <s v="Северный АО"/>
    <n v="4222"/>
    <n v="329242.58834747411"/>
    <n v="-2.3589269195189666E-2"/>
    <n v="-8.0305738748842614E-4"/>
  </r>
  <r>
    <x v="51"/>
    <s v="Северо-Восточный АО"/>
    <n v="3978"/>
    <n v="302621.59237596218"/>
    <n v="4.5454545454546302E-3"/>
    <n v="-3.736000089108904E-3"/>
  </r>
  <r>
    <x v="51"/>
    <s v="Северо-Западный АО"/>
    <n v="2760"/>
    <n v="333732.1697959337"/>
    <n v="-1.6743854649091561E-2"/>
    <n v="-4.1560800994604463E-3"/>
  </r>
  <r>
    <x v="51"/>
    <s v="Троицкий"/>
    <n v="567"/>
    <n v="179780.3444011519"/>
    <n v="-5.5000000000000049E-2"/>
    <n v="1.9386445301363464E-2"/>
  </r>
  <r>
    <x v="51"/>
    <s v="Центральный АО"/>
    <n v="4908"/>
    <n v="619613.0278825399"/>
    <n v="-3.4998033818324781E-2"/>
    <n v="-9.2188293386588072E-3"/>
  </r>
  <r>
    <x v="51"/>
    <s v="Юго-Восточный АО"/>
    <n v="4282"/>
    <n v="283544.86647466029"/>
    <n v="6.1090225563908973E-3"/>
    <n v="1.3485734479790068E-3"/>
  </r>
  <r>
    <x v="51"/>
    <s v="Юго-Западный АО"/>
    <n v="4600"/>
    <n v="324951.84754883748"/>
    <n v="-1.6883949561872225E-2"/>
    <n v="-6.4658850401928536E-3"/>
  </r>
  <r>
    <x v="51"/>
    <s v="Южный АО"/>
    <n v="4523"/>
    <n v="301699.60501795658"/>
    <n v="6.6770531938571409E-3"/>
    <n v="-4.0952201862549664E-3"/>
  </r>
  <r>
    <x v="51"/>
    <s v="Зеленоградский АО"/>
    <n v="599"/>
    <n v="235753.91006093341"/>
    <n v="5.8303886925795023E-2"/>
    <n v="4.1235738438076819E-3"/>
  </r>
  <r>
    <x v="52"/>
    <s v="Восточный АО"/>
    <n v="4665"/>
    <n v="287676.32622962177"/>
    <n v="1.6782911944202228E-2"/>
    <n v="-4.4703158176720992E-3"/>
  </r>
  <r>
    <x v="52"/>
    <s v="Западный АО"/>
    <n v="4673"/>
    <n v="365693.23202531482"/>
    <n v="8.8514680483593455E-3"/>
    <n v="-8.4226049781679357E-3"/>
  </r>
  <r>
    <x v="52"/>
    <s v="Новомосковский"/>
    <n v="2308"/>
    <n v="237888.0335267788"/>
    <n v="0.50652741514360322"/>
    <n v="5.0026905632289509E-2"/>
  </r>
  <r>
    <x v="52"/>
    <s v="Северный АО"/>
    <n v="4288"/>
    <n v="330942.83815609728"/>
    <n v="1.563240170535285E-2"/>
    <n v="5.1641247785014777E-3"/>
  </r>
  <r>
    <x v="52"/>
    <s v="Северо-Восточный АО"/>
    <n v="4056"/>
    <n v="303820.5387852781"/>
    <n v="1.9607843137254832E-2"/>
    <n v="3.9618666992751184E-3"/>
  </r>
  <r>
    <x v="52"/>
    <s v="Северо-Западный АО"/>
    <n v="2845"/>
    <n v="333764.65117828222"/>
    <n v="3.0797101449275388E-2"/>
    <n v="9.7327693546533922E-5"/>
  </r>
  <r>
    <x v="52"/>
    <s v="Троицкий"/>
    <n v="584"/>
    <n v="179802.7370713735"/>
    <n v="2.9982363315696592E-2"/>
    <n v="1.245557199047731E-4"/>
  </r>
  <r>
    <x v="52"/>
    <s v="Центральный АО"/>
    <n v="5056"/>
    <n v="615668.10828646296"/>
    <n v="3.0154849225753955E-2"/>
    <n v="-6.3667473383480777E-3"/>
  </r>
  <r>
    <x v="52"/>
    <s v="Юго-Восточный АО"/>
    <n v="4308"/>
    <n v="284380.36858578888"/>
    <n v="6.071929005137866E-3"/>
    <n v="2.9466310623658121E-3"/>
  </r>
  <r>
    <x v="52"/>
    <s v="Юго-Западный АО"/>
    <n v="4675"/>
    <n v="324925.25636285031"/>
    <n v="1.6304347826086918E-2"/>
    <n v="-8.1831158024625594E-5"/>
  </r>
  <r>
    <x v="52"/>
    <s v="Южный АО"/>
    <n v="4688"/>
    <n v="304341.83995830722"/>
    <n v="3.6480212248507726E-2"/>
    <n v="8.75783360801341E-3"/>
  </r>
  <r>
    <x v="52"/>
    <s v="Зеленоградский АО"/>
    <n v="605"/>
    <n v="232613.27200984239"/>
    <n v="1.001669449081799E-2"/>
    <n v="-1.3321679586477675E-2"/>
  </r>
  <r>
    <x v="53"/>
    <s v="Восточный АО"/>
    <n v="4661"/>
    <n v="286793.21137159038"/>
    <n v="-8.5744908896034921E-4"/>
    <n v="-3.0698211062611946E-3"/>
  </r>
  <r>
    <x v="53"/>
    <s v="Западный АО"/>
    <n v="4621"/>
    <n v="365502.5866583098"/>
    <n v="-1.1127755189385802E-2"/>
    <n v="-5.2132593745080058E-4"/>
  </r>
  <r>
    <x v="53"/>
    <s v="Новомосковский"/>
    <n v="3477"/>
    <n v="247623.3037515528"/>
    <n v="0.50649913344887354"/>
    <n v="4.0923749212791405E-2"/>
  </r>
  <r>
    <x v="53"/>
    <s v="Северный АО"/>
    <n v="4257"/>
    <n v="330336.17872488959"/>
    <n v="-7.2294776119402604E-3"/>
    <n v="-1.8331245195931656E-3"/>
  </r>
  <r>
    <x v="53"/>
    <s v="Северо-Восточный АО"/>
    <n v="3997"/>
    <n v="305159.31251833541"/>
    <n v="-1.4546351084812614E-2"/>
    <n v="4.4064622438295675E-3"/>
  </r>
  <r>
    <x v="53"/>
    <s v="Северо-Западный АО"/>
    <n v="2823"/>
    <n v="336614.32469798689"/>
    <n v="-7.7328646748682228E-3"/>
    <n v="8.5379728190044801E-3"/>
  </r>
  <r>
    <x v="53"/>
    <s v="Троицкий"/>
    <n v="720"/>
    <n v="177297.80959032101"/>
    <n v="0.23287671232876717"/>
    <n v="-1.3931531420782295E-2"/>
  </r>
  <r>
    <x v="53"/>
    <s v="Центральный АО"/>
    <n v="5069"/>
    <n v="618441.30236516264"/>
    <n v="2.5712025316455556E-3"/>
    <n v="4.504365325041837E-3"/>
  </r>
  <r>
    <x v="53"/>
    <s v="Юго-Восточный АО"/>
    <n v="4403"/>
    <n v="282743.66138014442"/>
    <n v="2.2051996285979536E-2"/>
    <n v="-5.7553452574231612E-3"/>
  </r>
  <r>
    <x v="53"/>
    <s v="Юго-Западный АО"/>
    <n v="4690"/>
    <n v="327895.29192146711"/>
    <n v="3.2085561497325887E-3"/>
    <n v="9.1406731254528584E-3"/>
  </r>
  <r>
    <x v="53"/>
    <s v="Южный АО"/>
    <n v="4627"/>
    <n v="304079.88072100829"/>
    <n v="-1.3011945392491508E-2"/>
    <n v="-8.6074013791470616E-4"/>
  </r>
  <r>
    <x v="53"/>
    <s v="Зеленоградский АО"/>
    <n v="575"/>
    <n v="232129.09019327589"/>
    <n v="-4.9586776859504078E-2"/>
    <n v="-2.0814883535364981E-3"/>
  </r>
  <r>
    <x v="54"/>
    <s v="Восточный АО"/>
    <n v="4820"/>
    <n v="286025.57234542491"/>
    <n v="3.4112851319459292E-2"/>
    <n v="-2.6766289986231984E-3"/>
  </r>
  <r>
    <x v="54"/>
    <s v="Западный АО"/>
    <n v="4673"/>
    <n v="365128.20366535801"/>
    <n v="1.1252975546418575E-2"/>
    <n v="-1.0242964252993314E-3"/>
  </r>
  <r>
    <x v="54"/>
    <s v="Новомосковский"/>
    <n v="3926"/>
    <n v="246027.25758545179"/>
    <n v="0.12913431118780561"/>
    <n v="-6.4454602693709839E-3"/>
  </r>
  <r>
    <x v="54"/>
    <s v="Северный АО"/>
    <n v="4213"/>
    <n v="331132.64062906388"/>
    <n v="-1.033591731266148E-2"/>
    <n v="2.4110647136763586E-3"/>
  </r>
  <r>
    <x v="54"/>
    <s v="Северо-Восточный АО"/>
    <n v="4129"/>
    <n v="304370.83287192642"/>
    <n v="3.3024768576432217E-2"/>
    <n v="-2.583829541042193E-3"/>
  </r>
  <r>
    <x v="54"/>
    <s v="Северо-Западный АО"/>
    <n v="2777"/>
    <n v="332583.65265418711"/>
    <n v="-1.6294721927027966E-2"/>
    <n v="-1.1974154835555861E-2"/>
  </r>
  <r>
    <x v="54"/>
    <s v="Троицкий"/>
    <n v="802"/>
    <n v="176451.65824309239"/>
    <n v="0.11388888888888893"/>
    <n v="-4.7724861868502222E-3"/>
  </r>
  <r>
    <x v="54"/>
    <s v="Центральный АО"/>
    <n v="5117"/>
    <n v="619052.451207601"/>
    <n v="9.469323337936375E-3"/>
    <n v="9.8820832324930663E-4"/>
  </r>
  <r>
    <x v="54"/>
    <s v="Юго-Восточный АО"/>
    <n v="4341"/>
    <n v="282380.45405822009"/>
    <n v="-1.4081308198955256E-2"/>
    <n v="-1.2845816601207982E-3"/>
  </r>
  <r>
    <x v="54"/>
    <s v="Юго-Западный АО"/>
    <n v="4759"/>
    <n v="326994.16273948271"/>
    <n v="1.4712153518123605E-2"/>
    <n v="-2.748222387408461E-3"/>
  </r>
  <r>
    <x v="54"/>
    <s v="Южный АО"/>
    <n v="4629"/>
    <n v="303447.717979501"/>
    <n v="4.3224551545284484E-4"/>
    <n v="-2.0789364294946377E-3"/>
  </r>
  <r>
    <x v="54"/>
    <s v="Зеленоградский АО"/>
    <n v="585"/>
    <n v="231044.55183440389"/>
    <n v="1.7391304347825987E-2"/>
    <n v="-4.6721346211670012E-3"/>
  </r>
  <r>
    <x v="55"/>
    <s v="Восточный АО"/>
    <n v="4873"/>
    <n v="287409.28199236043"/>
    <n v="1.09958506224066E-2"/>
    <n v="4.8377130603709517E-3"/>
  </r>
  <r>
    <x v="55"/>
    <s v="Западный АО"/>
    <n v="4721"/>
    <n v="363986.05242072273"/>
    <n v="1.0271774020971458E-2"/>
    <n v="-3.1280827752272478E-3"/>
  </r>
  <r>
    <x v="55"/>
    <s v="Новомосковский"/>
    <n v="3468"/>
    <n v="240619.63308372049"/>
    <n v="-0.11665817626082531"/>
    <n v="-2.1979777992091387E-2"/>
  </r>
  <r>
    <x v="55"/>
    <s v="Северный АО"/>
    <n v="4308"/>
    <n v="330487.43833048351"/>
    <n v="2.2549252314265411E-2"/>
    <n v="-1.9484708525099315E-3"/>
  </r>
  <r>
    <x v="55"/>
    <s v="Северо-Восточный АО"/>
    <n v="4236"/>
    <n v="304404.80976587272"/>
    <n v="2.5914264955194888E-2"/>
    <n v="1.116299273018484E-4"/>
  </r>
  <r>
    <x v="55"/>
    <s v="Северо-Западный АО"/>
    <n v="2881"/>
    <n v="333453.58297836472"/>
    <n v="3.7450486136118011E-2"/>
    <n v="2.6156737327138746E-3"/>
  </r>
  <r>
    <x v="55"/>
    <s v="Троицкий"/>
    <n v="783"/>
    <n v="179482.84446282289"/>
    <n v="-2.3690773067331694E-2"/>
    <n v="1.7178564655677686E-2"/>
  </r>
  <r>
    <x v="55"/>
    <s v="Центральный АО"/>
    <n v="5198"/>
    <n v="623394.61502750486"/>
    <n v="1.5829587649013099E-2"/>
    <n v="7.0142098806547093E-3"/>
  </r>
  <r>
    <x v="55"/>
    <s v="Юго-Восточный АО"/>
    <n v="4512"/>
    <n v="281875.81664987578"/>
    <n v="3.9391845196959263E-2"/>
    <n v="-1.7870833518819351E-3"/>
  </r>
  <r>
    <x v="55"/>
    <s v="Юго-Западный АО"/>
    <n v="4950"/>
    <n v="327112.91615573713"/>
    <n v="4.0134482034040797E-2"/>
    <n v="3.6316677722791901E-4"/>
  </r>
  <r>
    <x v="55"/>
    <s v="Южный АО"/>
    <n v="4753"/>
    <n v="302361.06314639049"/>
    <n v="2.6787643119464244E-2"/>
    <n v="-3.5810281927508569E-3"/>
  </r>
  <r>
    <x v="55"/>
    <s v="Зеленоградский АО"/>
    <n v="614"/>
    <n v="229631.84345599191"/>
    <n v="4.9572649572649619E-2"/>
    <n v="-6.1144414235073663E-3"/>
  </r>
  <r>
    <x v="56"/>
    <s v="Восточный АО"/>
    <n v="4960.5200000000004"/>
    <n v="288992.82439911942"/>
    <n v="1.7960188795403287E-2"/>
    <n v="5.5097121282292605E-3"/>
  </r>
  <r>
    <x v="56"/>
    <s v="Западный АО"/>
    <n v="4821.42"/>
    <n v="362538.29923184903"/>
    <n v="2.1270917178563886E-2"/>
    <n v="-3.9774963332943614E-3"/>
  </r>
  <r>
    <x v="56"/>
    <s v="Новомосковский"/>
    <n v="3478.57"/>
    <n v="241863.84205128581"/>
    <n v="3.047866205305727E-3"/>
    <n v="5.1708538975803187E-3"/>
  </r>
  <r>
    <x v="56"/>
    <s v="Северный АО"/>
    <n v="4441.5700000000006"/>
    <n v="330183.04751504032"/>
    <n v="3.1005106778087432E-2"/>
    <n v="-9.2103596124826215E-4"/>
  </r>
  <r>
    <x v="56"/>
    <s v="Северо-Восточный АО"/>
    <n v="4393.42"/>
    <n v="306631.17917172652"/>
    <n v="3.7162417374881906E-2"/>
    <n v="7.3138443757383431E-3"/>
  </r>
  <r>
    <x v="56"/>
    <s v="Северо-Западный АО"/>
    <n v="2996"/>
    <n v="328142.68042187352"/>
    <n v="3.9916695591808438E-2"/>
    <n v="-1.5926962034880199E-2"/>
  </r>
  <r>
    <x v="56"/>
    <s v="Троицкий"/>
    <n v="761.84"/>
    <n v="182515.90208325029"/>
    <n v="-2.7024265644955303E-2"/>
    <n v="1.6898872031503087E-2"/>
  </r>
  <r>
    <x v="56"/>
    <s v="Центральный АО"/>
    <n v="5519.06"/>
    <n v="632447.93427811598"/>
    <n v="6.176606387071959E-2"/>
    <n v="1.4522613818554797E-2"/>
  </r>
  <r>
    <x v="56"/>
    <s v="Юго-Восточный АО"/>
    <n v="4558.2"/>
    <n v="280412.24142864317"/>
    <n v="1.0239361702127692E-2"/>
    <n v="-5.1922695555346454E-3"/>
  </r>
  <r>
    <x v="56"/>
    <s v="Юго-Западный АО"/>
    <n v="5019.37"/>
    <n v="326178.79508298071"/>
    <n v="1.4014141414141479E-2"/>
    <n v="-2.8556532824637326E-3"/>
  </r>
  <r>
    <x v="56"/>
    <s v="Южный АО"/>
    <n v="4916.6500000000005"/>
    <n v="301726.02739388688"/>
    <n v="3.4430885756364438E-2"/>
    <n v="-2.1002563818746101E-3"/>
  </r>
  <r>
    <x v="56"/>
    <s v="Зеленоградский АО"/>
    <n v="636.65000000000009"/>
    <n v="229642.62650701861"/>
    <n v="3.6889250814332364E-2"/>
    <n v="4.6957995304186539E-5"/>
  </r>
  <r>
    <x v="57"/>
    <s v="Восточный АО"/>
    <n v="4960"/>
    <n v="289091.93327233038"/>
    <n v="-1.0482771967468274E-4"/>
    <n v="3.4294579257121427E-4"/>
  </r>
  <r>
    <x v="57"/>
    <s v="Западный АО"/>
    <n v="4833"/>
    <n v="364445.73021905182"/>
    <n v="2.401782047612544E-3"/>
    <n v="5.261322710577776E-3"/>
  </r>
  <r>
    <x v="57"/>
    <s v="Новомосковский"/>
    <n v="3174"/>
    <n v="244208.32468270959"/>
    <n v="-8.7556093452194506E-2"/>
    <n v="9.6933986144429607E-3"/>
  </r>
  <r>
    <x v="57"/>
    <s v="Северный АО"/>
    <n v="4324"/>
    <n v="331672.086974354"/>
    <n v="-2.6470369711611097E-2"/>
    <n v="4.5097392810449222E-3"/>
  </r>
  <r>
    <x v="57"/>
    <s v="Северо-Восточный АО"/>
    <n v="4381"/>
    <n v="305179.86040978582"/>
    <n v="-2.8269548552153356E-3"/>
    <n v="-4.7331088960391732E-3"/>
  </r>
  <r>
    <x v="57"/>
    <s v="Северо-Западный АО"/>
    <n v="2898"/>
    <n v="327399.52271234401"/>
    <n v="-3.2710280373831724E-2"/>
    <n v="-2.2647395595539743E-3"/>
  </r>
  <r>
    <x v="57"/>
    <s v="Троицкий"/>
    <n v="765"/>
    <n v="181365.07183546119"/>
    <n v="4.147852567468302E-3"/>
    <n v="-6.3053697494488414E-3"/>
  </r>
  <r>
    <x v="57"/>
    <s v="Центральный АО"/>
    <n v="5599"/>
    <n v="652096"/>
    <n v="1.448435059593467E-2"/>
    <n v="3.1066692856401845E-2"/>
  </r>
  <r>
    <x v="57"/>
    <s v="Юго-Восточный АО"/>
    <n v="4512"/>
    <n v="279884.08645021811"/>
    <n v="-1.0135579834145036E-2"/>
    <n v="-1.8834947280982339E-3"/>
  </r>
  <r>
    <x v="57"/>
    <s v="Юго-Западный АО"/>
    <n v="4879"/>
    <n v="326766.01225446421"/>
    <n v="-2.7965661029172972E-2"/>
    <n v="1.8002922947033539E-3"/>
  </r>
  <r>
    <x v="57"/>
    <s v="Южный АО"/>
    <n v="4773"/>
    <n v="301663.86230100982"/>
    <n v="-2.9217048193383777E-2"/>
    <n v="-2.0603158903453878E-4"/>
  </r>
  <r>
    <x v="57"/>
    <s v="Зеленоградский АО"/>
    <n v="683"/>
    <n v="231908.98119454121"/>
    <n v="7.2802952956883438E-2"/>
    <n v="9.8690505416829666E-3"/>
  </r>
  <r>
    <x v="58"/>
    <s v="Восточный АО"/>
    <n v="4286"/>
    <n v="289980.25083942019"/>
    <n v="-0.13588709677419353"/>
    <n v="3.0727857295589356E-3"/>
  </r>
  <r>
    <x v="58"/>
    <s v="Западный АО"/>
    <n v="4408"/>
    <n v="369502.27569141809"/>
    <n v="-8.7937099110283468E-2"/>
    <n v="1.3874618504453373E-2"/>
  </r>
  <r>
    <x v="58"/>
    <s v="Новомосковский"/>
    <n v="2419"/>
    <n v="238674.71645041919"/>
    <n v="-0.23787019533711407"/>
    <n v="-2.2659375922094327E-2"/>
  </r>
  <r>
    <x v="58"/>
    <s v="Северный АО"/>
    <n v="3836"/>
    <n v="336113.39543653611"/>
    <n v="-0.11285846438482883"/>
    <n v="1.3390660946772881E-2"/>
  </r>
  <r>
    <x v="58"/>
    <s v="Северо-Восточный АО"/>
    <n v="3781"/>
    <n v="306243.98326348321"/>
    <n v="-0.13695503309746637"/>
    <n v="3.4868711594158164E-3"/>
  </r>
  <r>
    <x v="58"/>
    <s v="Северо-Западный АО"/>
    <n v="2615"/>
    <n v="328521.9967413015"/>
    <n v="-9.7653554175293311E-2"/>
    <n v="3.4284534676725098E-3"/>
  </r>
  <r>
    <x v="58"/>
    <s v="Троицкий"/>
    <n v="642"/>
    <n v="178473.17653709589"/>
    <n v="-0.16078431372549018"/>
    <n v="-1.5945161155334842E-2"/>
  </r>
  <r>
    <x v="58"/>
    <s v="Центральный АО"/>
    <n v="5113"/>
    <n v="668882.37539405178"/>
    <n v="-8.6801214502589708E-2"/>
    <n v="2.5742184270493684E-2"/>
  </r>
  <r>
    <x v="58"/>
    <s v="Юго-Восточный АО"/>
    <n v="3871"/>
    <n v="279876.37696030119"/>
    <n v="-0.14206560283687941"/>
    <n v="-2.7545295678277348E-5"/>
  </r>
  <r>
    <x v="58"/>
    <s v="Юго-Западный АО"/>
    <n v="4313"/>
    <n v="327798.26951923181"/>
    <n v="-0.1160073785611806"/>
    <n v="3.159010503098969E-3"/>
  </r>
  <r>
    <x v="58"/>
    <s v="Южный АО"/>
    <n v="4238"/>
    <n v="303084.11864721822"/>
    <n v="-0.11208883301906558"/>
    <n v="4.708075854280569E-3"/>
  </r>
  <r>
    <x v="58"/>
    <s v="Зеленоградский АО"/>
    <n v="583"/>
    <n v="235089.08099880279"/>
    <n v="-0.14641288433382138"/>
    <n v="1.3712706544960929E-2"/>
  </r>
  <r>
    <x v="59"/>
    <s v="Восточный АО"/>
    <n v="3874"/>
    <n v="292003.78639468091"/>
    <n v="-9.6126924871675179E-2"/>
    <n v="6.9781840294402819E-3"/>
  </r>
  <r>
    <x v="59"/>
    <s v="Западный АО"/>
    <n v="4008"/>
    <n v="368329.72741063911"/>
    <n v="-9.0744101633393859E-2"/>
    <n v="-3.1733181577431324E-3"/>
  </r>
  <r>
    <x v="59"/>
    <s v="Новомосковский"/>
    <n v="2007"/>
    <n v="240406.9260083765"/>
    <n v="-0.17031831335262504"/>
    <n v="7.2576164904218921E-3"/>
  </r>
  <r>
    <x v="59"/>
    <s v="Северный АО"/>
    <n v="3469"/>
    <n v="338682.9193765801"/>
    <n v="-9.5672575599582865E-2"/>
    <n v="7.6448126582600029E-3"/>
  </r>
  <r>
    <x v="59"/>
    <s v="Северо-Восточный АО"/>
    <n v="3397"/>
    <n v="310326.18845235859"/>
    <n v="-0.10156043374768575"/>
    <n v="1.332991148225493E-2"/>
  </r>
  <r>
    <x v="59"/>
    <s v="Северо-Западный АО"/>
    <n v="2373"/>
    <n v="334847.28011468862"/>
    <n v="-9.254302103250478E-2"/>
    <n v="1.9253759066757636E-2"/>
  </r>
  <r>
    <x v="59"/>
    <s v="Троицкий"/>
    <n v="598"/>
    <n v="180703.00025535861"/>
    <n v="-6.8535825545171347E-2"/>
    <n v="1.249388710128807E-2"/>
  </r>
  <r>
    <x v="59"/>
    <s v="Центральный АО"/>
    <n v="4645"/>
    <n v="687136.88857030531"/>
    <n v="-9.1531390573049043E-2"/>
    <n v="2.7291066184094603E-2"/>
  </r>
  <r>
    <x v="59"/>
    <s v="Юго-Восточный АО"/>
    <n v="3480"/>
    <n v="283657.11184294149"/>
    <n v="-0.10100749160423661"/>
    <n v="1.3508588769450158E-2"/>
  </r>
  <r>
    <x v="59"/>
    <s v="Юго-Западный АО"/>
    <n v="3764"/>
    <n v="332381.78182822512"/>
    <n v="-0.12728958961279857"/>
    <n v="1.3982722714539486E-2"/>
  </r>
  <r>
    <x v="59"/>
    <s v="Южный АО"/>
    <n v="3835"/>
    <n v="306610.88333045557"/>
    <n v="-9.5092024539877307E-2"/>
    <n v="1.1636256953939661E-2"/>
  </r>
  <r>
    <x v="59"/>
    <s v="Зеленоградский АО"/>
    <n v="538"/>
    <n v="237678.0265019311"/>
    <n v="-7.7186963979416823E-2"/>
    <n v="1.1012614844249091E-2"/>
  </r>
  <r>
    <x v="60"/>
    <s v="Восточный АО"/>
    <n v="3995"/>
    <n v="295857.63627712522"/>
    <n v="3.1233866804336596E-2"/>
    <n v="1.3197944896629954E-2"/>
  </r>
  <r>
    <x v="60"/>
    <s v="Западный АО"/>
    <n v="4055"/>
    <n v="368955.45423507312"/>
    <n v="1.1726546906187574E-2"/>
    <n v="1.6988224893843551E-3"/>
  </r>
  <r>
    <x v="60"/>
    <s v="Новомосковский"/>
    <n v="2021"/>
    <n v="239605.44126146811"/>
    <n v="6.9755854509216952E-3"/>
    <n v="-3.3338671236138318E-3"/>
  </r>
  <r>
    <x v="60"/>
    <s v="Северный АО"/>
    <n v="3577"/>
    <n v="338935.99935681309"/>
    <n v="3.1132891323147893E-2"/>
    <n v="7.4724754557697892E-4"/>
  </r>
  <r>
    <x v="60"/>
    <s v="Северо-Восточный АО"/>
    <n v="3476"/>
    <n v="313831.97483090812"/>
    <n v="2.3255813953488413E-2"/>
    <n v="1.1297101272803811E-2"/>
  </r>
  <r>
    <x v="60"/>
    <s v="Северо-Западный АО"/>
    <n v="2462"/>
    <n v="335102.60702170612"/>
    <n v="3.750526759376327E-2"/>
    <n v="7.6251748836075883E-4"/>
  </r>
  <r>
    <x v="60"/>
    <s v="Троицкий"/>
    <n v="590"/>
    <n v="183225.25019643709"/>
    <n v="-1.3377926421404673E-2"/>
    <n v="1.3957985963233499E-2"/>
  </r>
  <r>
    <x v="60"/>
    <s v="Центральный АО"/>
    <n v="4680"/>
    <n v="675010.44577401597"/>
    <n v="7.5349838536060698E-3"/>
    <n v="-1.7647783138990403E-2"/>
  </r>
  <r>
    <x v="60"/>
    <s v="Юго-Восточный АО"/>
    <n v="3564"/>
    <n v="286213.87438602129"/>
    <n v="2.4137931034482696E-2"/>
    <n v="9.0135675656721759E-3"/>
  </r>
  <r>
    <x v="60"/>
    <s v="Юго-Западный АО"/>
    <n v="4001"/>
    <n v="336469.0688223911"/>
    <n v="6.2964930924548357E-2"/>
    <n v="1.2296964567926505E-2"/>
  </r>
  <r>
    <x v="60"/>
    <s v="Южный АО"/>
    <n v="4035"/>
    <n v="308569.71740717988"/>
    <n v="5.2151238591916504E-2"/>
    <n v="6.3886645361284078E-3"/>
  </r>
  <r>
    <x v="60"/>
    <s v="Зеленоградский АО"/>
    <n v="566"/>
    <n v="241788.4998186747"/>
    <n v="5.2044609665427455E-2"/>
    <n v="1.7294292523546417E-2"/>
  </r>
  <r>
    <x v="61"/>
    <s v="Восточный АО"/>
    <n v="4031"/>
    <n v="296711.33436988131"/>
    <n v="9.011264080100112E-3"/>
    <n v="2.8855029854846226E-3"/>
  </r>
  <r>
    <x v="61"/>
    <s v="Западный АО"/>
    <n v="4060"/>
    <n v="371943.62034706899"/>
    <n v="1.2330456226881115E-3"/>
    <n v="8.0989888554188205E-3"/>
  </r>
  <r>
    <x v="61"/>
    <s v="Новомосковский"/>
    <n v="1979"/>
    <n v="241066.2104217906"/>
    <n v="-2.0781791192478916E-2"/>
    <n v="6.0965608820562345E-3"/>
  </r>
  <r>
    <x v="61"/>
    <s v="Северный АО"/>
    <n v="3676"/>
    <n v="341724.35932565929"/>
    <n v="2.7676824154319268E-2"/>
    <n v="8.2268038040738123E-3"/>
  </r>
  <r>
    <x v="61"/>
    <s v="Северо-Восточный АО"/>
    <n v="3467"/>
    <n v="316327.06470858649"/>
    <n v="-2.5891829689298484E-3"/>
    <n v="7.950400461975704E-3"/>
  </r>
  <r>
    <x v="61"/>
    <s v="Северо-Западный АО"/>
    <n v="2467"/>
    <n v="336597.12595187902"/>
    <n v="2.0308692120227789E-3"/>
    <n v="4.4598845215073624E-3"/>
  </r>
  <r>
    <x v="61"/>
    <s v="Троицкий"/>
    <n v="587"/>
    <n v="181176.34098034751"/>
    <n v="-5.0847457627118953E-3"/>
    <n v="-1.1182461008474198E-2"/>
  </r>
  <r>
    <x v="61"/>
    <s v="Центральный АО"/>
    <n v="4783"/>
    <n v="675566.28607855435"/>
    <n v="2.200854700854693E-2"/>
    <n v="8.2345437469633076E-4"/>
  </r>
  <r>
    <x v="61"/>
    <s v="Юго-Восточный АО"/>
    <n v="3757"/>
    <n v="285943.1054842883"/>
    <n v="5.4152637485970878E-2"/>
    <n v="-9.4603695335815363E-4"/>
  </r>
  <r>
    <x v="61"/>
    <s v="Юго-Западный АО"/>
    <n v="4041"/>
    <n v="335447.96066498052"/>
    <n v="9.9975006248438358E-3"/>
    <n v="-3.0347757105411155E-3"/>
  </r>
  <r>
    <x v="61"/>
    <s v="Южный АО"/>
    <n v="3996"/>
    <n v="311004.03813215619"/>
    <n v="-9.665427509293667E-3"/>
    <n v="7.8890460976897003E-3"/>
  </r>
  <r>
    <x v="61"/>
    <s v="Зеленоградский АО"/>
    <n v="593"/>
    <n v="244944.74664733041"/>
    <n v="4.7703180212014029E-2"/>
    <n v="1.3053750823644128E-2"/>
  </r>
  <r>
    <x v="62"/>
    <s v="Восточный АО"/>
    <n v="3945"/>
    <n v="297368.20961400057"/>
    <n v="-2.1334656412800745E-2"/>
    <n v="2.2138528867265972E-3"/>
  </r>
  <r>
    <x v="62"/>
    <s v="Западный АО"/>
    <n v="4053"/>
    <n v="376505.26851884701"/>
    <n v="-1.7241379310344307E-3"/>
    <n v="1.2264353848901788E-2"/>
  </r>
  <r>
    <x v="62"/>
    <s v="Новомосковский"/>
    <n v="1946"/>
    <n v="240027.5228364263"/>
    <n v="-1.6675088428499296E-2"/>
    <n v="-4.3087232488822069E-3"/>
  </r>
  <r>
    <x v="62"/>
    <s v="Северный АО"/>
    <n v="3600"/>
    <n v="343250.62477042607"/>
    <n v="-2.0674646354733373E-2"/>
    <n v="4.466364200019779E-3"/>
  </r>
  <r>
    <x v="62"/>
    <s v="Северо-Восточный АО"/>
    <n v="3406"/>
    <n v="314724.05188943259"/>
    <n v="-1.7594462070954719E-2"/>
    <n v="-5.0675803558910548E-3"/>
  </r>
  <r>
    <x v="62"/>
    <s v="Северо-Западный АО"/>
    <n v="2420"/>
    <n v="335750.1813191523"/>
    <n v="-1.9051479529793247E-2"/>
    <n v="-2.5161968639263455E-3"/>
  </r>
  <r>
    <x v="62"/>
    <s v="Троицкий"/>
    <n v="578"/>
    <n v="182244.0329244571"/>
    <n v="-1.5332197614991494E-2"/>
    <n v="5.8931091020621995E-3"/>
  </r>
  <r>
    <x v="62"/>
    <s v="Центральный АО"/>
    <n v="4702"/>
    <n v="677386.18006543163"/>
    <n v="-1.6934978047250637E-2"/>
    <n v="2.6938792304767034E-3"/>
  </r>
  <r>
    <x v="62"/>
    <s v="Юго-Восточный АО"/>
    <n v="3640"/>
    <n v="286221.31953163189"/>
    <n v="-3.114186851211076E-2"/>
    <n v="9.7296994404660886E-4"/>
  </r>
  <r>
    <x v="62"/>
    <s v="Юго-Западный АО"/>
    <n v="3947"/>
    <n v="337436.08787011681"/>
    <n v="-2.3261568918584552E-2"/>
    <n v="5.9267828046862814E-3"/>
  </r>
  <r>
    <x v="62"/>
    <s v="Южный АО"/>
    <n v="3898"/>
    <n v="312715.54204088531"/>
    <n v="-2.4524524524524471E-2"/>
    <n v="5.503156547445931E-3"/>
  </r>
  <r>
    <x v="62"/>
    <s v="Зеленоградский АО"/>
    <n v="562"/>
    <n v="244519.15104437791"/>
    <n v="-5.227655986509272E-2"/>
    <n v="-1.7375167615465426E-3"/>
  </r>
  <r>
    <x v="63"/>
    <s v="Восточный АО"/>
    <n v="3937"/>
    <n v="299179.8334931166"/>
    <n v="-2.0278833967046772E-3"/>
    <n v="6.0921908278883663E-3"/>
  </r>
  <r>
    <x v="63"/>
    <s v="Западный АО"/>
    <n v="4124"/>
    <n v="379696.244495266"/>
    <n v="1.7517887984209279E-2"/>
    <n v="8.4752492016171299E-3"/>
  </r>
  <r>
    <x v="63"/>
    <s v="Новомосковский"/>
    <n v="1912"/>
    <n v="240633.21552951471"/>
    <n v="-1.7471736896197299E-2"/>
    <n v="2.5234301713856766E-3"/>
  </r>
  <r>
    <x v="63"/>
    <s v="Северный АО"/>
    <n v="3642"/>
    <n v="344838.07020641002"/>
    <n v="1.1666666666666714E-2"/>
    <n v="4.6247415778066792E-3"/>
  </r>
  <r>
    <x v="63"/>
    <s v="Северо-Восточный АО"/>
    <n v="3420"/>
    <n v="315255.15594688873"/>
    <n v="4.1103934233706063E-3"/>
    <n v="1.6875229403907621E-3"/>
  </r>
  <r>
    <x v="63"/>
    <s v="Северо-Западный АО"/>
    <n v="2404"/>
    <n v="336790.17124595778"/>
    <n v="-6.6115702479339067E-3"/>
    <n v="3.0975111397391064E-3"/>
  </r>
  <r>
    <x v="63"/>
    <s v="Троицкий"/>
    <n v="587"/>
    <n v="180956.4947770311"/>
    <n v="1.5570934256055269E-2"/>
    <n v="-7.0649125064067286E-3"/>
  </r>
  <r>
    <x v="63"/>
    <s v="Центральный АО"/>
    <n v="4706"/>
    <n v="690909.15392881958"/>
    <n v="8.5070182900892632E-4"/>
    <n v="1.9963462883287209E-2"/>
  </r>
  <r>
    <x v="63"/>
    <s v="Юго-Восточный АО"/>
    <n v="3673"/>
    <n v="288195.5116936898"/>
    <n v="9.0659340659340337E-3"/>
    <n v="6.8974322572772362E-3"/>
  </r>
  <r>
    <x v="63"/>
    <s v="Юго-Западный АО"/>
    <n v="4015"/>
    <n v="340908.6453013721"/>
    <n v="1.7228274638966257E-2"/>
    <n v="1.0291007856254808E-2"/>
  </r>
  <r>
    <x v="63"/>
    <s v="Южный АО"/>
    <n v="3987"/>
    <n v="314571.80840825947"/>
    <n v="2.2832221652129281E-2"/>
    <n v="5.9359581402944617E-3"/>
  </r>
  <r>
    <x v="63"/>
    <s v="Зеленоградский АО"/>
    <n v="534"/>
    <n v="244800.52604605441"/>
    <n v="-4.9822064056939452E-2"/>
    <n v="1.1507278692679535E-3"/>
  </r>
  <r>
    <x v="64"/>
    <s v="Восточный АО"/>
    <n v="3717"/>
    <n v="300411.15172712231"/>
    <n v="-5.5880111760223561E-2"/>
    <n v="4.1156458295643628E-3"/>
  </r>
  <r>
    <x v="64"/>
    <s v="Западный АО"/>
    <n v="3981"/>
    <n v="386488.58184481232"/>
    <n v="-3.4675072744907887E-2"/>
    <n v="1.7888871559884612E-2"/>
  </r>
  <r>
    <x v="64"/>
    <s v="Новомосковский"/>
    <n v="1678"/>
    <n v="238893.6730041714"/>
    <n v="-0.12238493723849375"/>
    <n v="-7.2290208212337781E-3"/>
  </r>
  <r>
    <x v="64"/>
    <s v="Северный АО"/>
    <n v="3479"/>
    <n v="344945.80126026628"/>
    <n v="-4.4755628775398182E-2"/>
    <n v="3.1241055777786464E-4"/>
  </r>
  <r>
    <x v="64"/>
    <s v="Северо-Восточный АО"/>
    <n v="3280"/>
    <n v="319672.09024320153"/>
    <n v="-4.0935672514619936E-2"/>
    <n v="1.4010664736144429E-2"/>
  </r>
  <r>
    <x v="64"/>
    <s v="Северо-Западный АО"/>
    <n v="2190"/>
    <n v="336678.29908251087"/>
    <n v="-8.9018302828619E-2"/>
    <n v="-3.3217169917110212E-4"/>
  </r>
  <r>
    <x v="64"/>
    <s v="Троицкий"/>
    <n v="543"/>
    <n v="180581.59659172891"/>
    <n v="-7.4957410562180526E-2"/>
    <n v="-2.071758660909695E-3"/>
  </r>
  <r>
    <x v="64"/>
    <s v="Центральный АО"/>
    <n v="4414"/>
    <n v="700027.13102242816"/>
    <n v="-6.2048448788780242E-2"/>
    <n v="1.3197070905428987E-2"/>
  </r>
  <r>
    <x v="64"/>
    <s v="Юго-Восточный АО"/>
    <n v="3446"/>
    <n v="288286.60095405392"/>
    <n v="-6.1802341410291284E-2"/>
    <n v="3.1606758838398363E-4"/>
  </r>
  <r>
    <x v="64"/>
    <s v="Юго-Западный АО"/>
    <n v="3693"/>
    <n v="344135.97311972751"/>
    <n v="-8.0199252801992582E-2"/>
    <n v="9.4668406414344375E-3"/>
  </r>
  <r>
    <x v="64"/>
    <s v="Южный АО"/>
    <n v="3796"/>
    <n v="313996.77878630348"/>
    <n v="-4.7905693503887625E-2"/>
    <n v="-1.8279757008921038E-3"/>
  </r>
  <r>
    <x v="64"/>
    <s v="Зеленоградский АО"/>
    <n v="491"/>
    <n v="247106.66289453721"/>
    <n v="-8.0524344569288364E-2"/>
    <n v="9.4204734186271732E-3"/>
  </r>
  <r>
    <x v="65"/>
    <s v="Восточный АО"/>
    <n v="3894"/>
    <n v="301769.6113086734"/>
    <n v="4.7619047619047672E-2"/>
    <n v="4.5220011765243484E-3"/>
  </r>
  <r>
    <x v="65"/>
    <s v="Западный АО"/>
    <n v="4124"/>
    <n v="382760.96188964648"/>
    <n v="3.5920622959055404E-2"/>
    <n v="-9.6448385030494244E-3"/>
  </r>
  <r>
    <x v="65"/>
    <s v="Новомосковский"/>
    <n v="1473"/>
    <n v="237231.21085144891"/>
    <n v="-0.12216924910607863"/>
    <n v="-6.9590045304107617E-3"/>
  </r>
  <r>
    <x v="65"/>
    <s v="Северный АО"/>
    <n v="3606"/>
    <n v="347418.75309579581"/>
    <n v="3.6504742742167196E-2"/>
    <n v="7.1691025850859624E-3"/>
  </r>
  <r>
    <x v="65"/>
    <s v="Северо-Восточный АО"/>
    <n v="3406"/>
    <n v="321520.85726986901"/>
    <n v="3.8414634146341387E-2"/>
    <n v="5.7833232336954588E-3"/>
  </r>
  <r>
    <x v="65"/>
    <s v="Северо-Западный АО"/>
    <n v="2255"/>
    <n v="340593.1035257433"/>
    <n v="2.9680365296803624E-2"/>
    <n v="1.1627730251402513E-2"/>
  </r>
  <r>
    <x v="65"/>
    <s v="Троицкий"/>
    <n v="571"/>
    <n v="182474.551632741"/>
    <n v="5.1565377532228451E-2"/>
    <n v="1.0482546819495786E-2"/>
  </r>
  <r>
    <x v="65"/>
    <s v="Центральный АО"/>
    <n v="4498"/>
    <n v="696654.28967265761"/>
    <n v="1.9030357951971055E-2"/>
    <n v="-4.8181580403096058E-3"/>
  </r>
  <r>
    <x v="65"/>
    <s v="Юго-Восточный АО"/>
    <n v="3544"/>
    <n v="289957.88657703123"/>
    <n v="2.8438769587928014E-2"/>
    <n v="5.7973059359899271E-3"/>
  </r>
  <r>
    <x v="65"/>
    <s v="Юго-Западный АО"/>
    <n v="3867"/>
    <n v="346148.28879103687"/>
    <n v="4.7116165718927627E-2"/>
    <n v="5.84744353537614E-3"/>
  </r>
  <r>
    <x v="65"/>
    <s v="Южный АО"/>
    <n v="3939"/>
    <n v="317123.17237117741"/>
    <n v="3.7671232876712368E-2"/>
    <n v="9.9567696106896975E-3"/>
  </r>
  <r>
    <x v="65"/>
    <s v="Зеленоградский АО"/>
    <n v="518"/>
    <n v="246169.1030635497"/>
    <n v="5.4989816700611094E-2"/>
    <n v="-3.7941503478911009E-3"/>
  </r>
  <r>
    <x v="66"/>
    <s v="Восточный АО"/>
    <n v="3771"/>
    <n v="301401.5354857652"/>
    <n v="-3.1587057010785791E-2"/>
    <n v="-1.2197246147880314E-3"/>
  </r>
  <r>
    <x v="66"/>
    <s v="Западный АО"/>
    <n v="4115"/>
    <n v="390426.86223253259"/>
    <n v="-2.1823472356935492E-3"/>
    <n v="2.0027905419195413E-2"/>
  </r>
  <r>
    <x v="66"/>
    <s v="Новомосковский"/>
    <n v="1327"/>
    <n v="237173.07507765331"/>
    <n v="-9.9117447386286472E-2"/>
    <n v="-2.4505955007747549E-4"/>
  </r>
  <r>
    <x v="66"/>
    <s v="Северный АО"/>
    <n v="3596"/>
    <n v="348719.96547182067"/>
    <n v="-2.7731558513588439E-3"/>
    <n v="3.7453717291595634E-3"/>
  </r>
  <r>
    <x v="66"/>
    <s v="Северо-Восточный АО"/>
    <n v="3408"/>
    <n v="321601.43818400661"/>
    <n v="5.8719906048154691E-4"/>
    <n v="2.506242202195974E-4"/>
  </r>
  <r>
    <x v="66"/>
    <s v="Северо-Западный АО"/>
    <n v="2270"/>
    <n v="341954.07260854339"/>
    <n v="6.6518847006651338E-3"/>
    <n v="3.9958797424599624E-3"/>
  </r>
  <r>
    <x v="66"/>
    <s v="Троицкий"/>
    <n v="545"/>
    <n v="182007.55114424881"/>
    <n v="-4.5534150612959734E-2"/>
    <n v="-2.5592636579379047E-3"/>
  </r>
  <r>
    <x v="66"/>
    <s v="Центральный АО"/>
    <n v="4466"/>
    <n v="691577.06056553405"/>
    <n v="-7.1142730102267127E-3"/>
    <n v="-7.2880181495893481E-3"/>
  </r>
  <r>
    <x v="66"/>
    <s v="Юго-Восточный АО"/>
    <n v="3588"/>
    <n v="293796.85927651142"/>
    <n v="1.2415349887133109E-2"/>
    <n v="1.3239759555428776E-2"/>
  </r>
  <r>
    <x v="66"/>
    <s v="Юго-Западный АО"/>
    <n v="3801"/>
    <n v="347494.20654323848"/>
    <n v="-1.706749418153608E-2"/>
    <n v="3.8882692643156247E-3"/>
  </r>
  <r>
    <x v="66"/>
    <s v="Южный АО"/>
    <n v="3865"/>
    <n v="319461.35296923999"/>
    <n v="-1.8786494034018775E-2"/>
    <n v="7.3730991670513113E-3"/>
  </r>
  <r>
    <x v="66"/>
    <s v="Зеленоградский АО"/>
    <n v="522"/>
    <n v="245622.2141219851"/>
    <n v="7.7220077220077066E-3"/>
    <n v="-2.2215986277669408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x v="0"/>
    <n v="4978"/>
    <n v="186881.59883597228"/>
    <s v=""/>
    <s v=""/>
  </r>
  <r>
    <x v="0"/>
    <x v="1"/>
    <n v="6871"/>
    <n v="250628.75470015861"/>
    <s v=""/>
    <s v=""/>
  </r>
  <r>
    <x v="0"/>
    <x v="2"/>
    <n v="904"/>
    <n v="149719.01674303104"/>
    <s v=""/>
    <s v=""/>
  </r>
  <r>
    <x v="0"/>
    <x v="3"/>
    <n v="5244"/>
    <n v="219881.54225453085"/>
    <s v=""/>
    <s v=""/>
  </r>
  <r>
    <x v="0"/>
    <x v="4"/>
    <n v="5331"/>
    <n v="195689.13369485462"/>
    <s v=""/>
    <s v=""/>
  </r>
  <r>
    <x v="0"/>
    <x v="5"/>
    <n v="3139"/>
    <n v="211922.92506207706"/>
    <s v=""/>
    <s v=""/>
  </r>
  <r>
    <x v="0"/>
    <x v="6"/>
    <n v="183"/>
    <n v="107661.93485617486"/>
    <s v=""/>
    <s v=""/>
  </r>
  <r>
    <x v="0"/>
    <x v="7"/>
    <n v="8180"/>
    <n v="435844.15611544129"/>
    <s v=""/>
    <s v=""/>
  </r>
  <r>
    <x v="0"/>
    <x v="8"/>
    <n v="5183"/>
    <n v="177566.66483721207"/>
    <s v=""/>
    <s v=""/>
  </r>
  <r>
    <x v="0"/>
    <x v="9"/>
    <n v="5809"/>
    <n v="219292.47650745051"/>
    <s v=""/>
    <s v=""/>
  </r>
  <r>
    <x v="0"/>
    <x v="10"/>
    <n v="5316"/>
    <n v="194781.37282670615"/>
    <s v=""/>
    <s v=""/>
  </r>
  <r>
    <x v="0"/>
    <x v="11"/>
    <n v="0"/>
    <n v="0"/>
    <s v=""/>
    <s v=""/>
  </r>
  <r>
    <x v="1"/>
    <x v="0"/>
    <n v="4751"/>
    <n v="189676.16829017893"/>
    <n v="-4.5600642828445115E-2"/>
    <n v="1.495368977798317E-2"/>
  </r>
  <r>
    <x v="1"/>
    <x v="1"/>
    <n v="6539"/>
    <n v="253823.23408582856"/>
    <n v="-4.8319021976422682E-2"/>
    <n v="1.274586146147394E-2"/>
  </r>
  <r>
    <x v="1"/>
    <x v="2"/>
    <n v="820"/>
    <n v="149130.44940832927"/>
    <n v="-9.2920353982300918E-2"/>
    <n v="-3.931146139651398E-3"/>
  </r>
  <r>
    <x v="1"/>
    <x v="3"/>
    <n v="5076"/>
    <n v="221727.08693223004"/>
    <n v="-3.2036613272311221E-2"/>
    <n v="8.3933588002709225E-3"/>
  </r>
  <r>
    <x v="1"/>
    <x v="4"/>
    <n v="5014"/>
    <n v="199279.43185268046"/>
    <n v="-5.9463515287938473E-2"/>
    <n v="1.8346946966530719E-2"/>
  </r>
  <r>
    <x v="1"/>
    <x v="5"/>
    <n v="3084"/>
    <n v="214557.84009216924"/>
    <n v="-1.7521503663587179E-2"/>
    <n v="1.2433364768442923E-2"/>
  </r>
  <r>
    <x v="1"/>
    <x v="6"/>
    <n v="152"/>
    <n v="109808.94645375002"/>
    <n v="-0.1693989071038251"/>
    <n v="1.9942160620123994E-2"/>
  </r>
  <r>
    <x v="1"/>
    <x v="7"/>
    <n v="8128"/>
    <n v="454712.7449541252"/>
    <n v="-6.3569682151589646E-3"/>
    <n v="4.3292054221523601E-2"/>
  </r>
  <r>
    <x v="1"/>
    <x v="8"/>
    <n v="5066"/>
    <n v="178792.0863051303"/>
    <n v="-2.2573798958132385E-2"/>
    <n v="6.9011909923615278E-3"/>
  </r>
  <r>
    <x v="1"/>
    <x v="9"/>
    <n v="5714"/>
    <n v="220515.75756987921"/>
    <n v="-1.6353933551385813E-2"/>
    <n v="5.5783083939366929E-3"/>
  </r>
  <r>
    <x v="1"/>
    <x v="10"/>
    <n v="5279"/>
    <n v="196955.88015947907"/>
    <n v="-6.9601203912715848E-3"/>
    <n v="1.1163836157513707E-2"/>
  </r>
  <r>
    <x v="1"/>
    <x v="11"/>
    <n v="0"/>
    <n v="0"/>
    <s v=""/>
    <s v=""/>
  </r>
  <r>
    <x v="2"/>
    <x v="0"/>
    <n v="3184"/>
    <n v="193065.69226812199"/>
    <n v="-0.32982529993685539"/>
    <n v="1.7870057205908729E-2"/>
  </r>
  <r>
    <x v="2"/>
    <x v="1"/>
    <n v="4784"/>
    <n v="271405.14032733499"/>
    <n v="-0.26838966202783299"/>
    <n v="6.9268309123983629E-2"/>
  </r>
  <r>
    <x v="2"/>
    <x v="2"/>
    <n v="619"/>
    <n v="149242.48659631106"/>
    <n v="-0.24512195121951219"/>
    <n v="7.5126969995942261E-4"/>
  </r>
  <r>
    <x v="2"/>
    <x v="3"/>
    <n v="3608"/>
    <n v="231120.57598146616"/>
    <n v="-0.28920409771473599"/>
    <n v="4.2365094762225386E-2"/>
  </r>
  <r>
    <x v="2"/>
    <x v="4"/>
    <n v="3381"/>
    <n v="203485.70774147296"/>
    <n v="-0.32568807339449546"/>
    <n v="2.1107426138699648E-2"/>
  </r>
  <r>
    <x v="2"/>
    <x v="5"/>
    <n v="2134"/>
    <n v="223078.79281268976"/>
    <n v="-0.30804150453955903"/>
    <n v="3.9714012393395226E-2"/>
  </r>
  <r>
    <x v="2"/>
    <x v="6"/>
    <n v="101"/>
    <n v="110007.16171009434"/>
    <n v="-0.33552631578947367"/>
    <n v="1.8050920507448609E-3"/>
  </r>
  <r>
    <x v="2"/>
    <x v="7"/>
    <n v="7125"/>
    <n v="506845.22688288271"/>
    <n v="-0.12340059055118113"/>
    <n v="0.1146492648540498"/>
  </r>
  <r>
    <x v="2"/>
    <x v="8"/>
    <n v="3358"/>
    <n v="179632.39860105398"/>
    <n v="-0.33714962495065137"/>
    <n v="4.6999412182571199E-3"/>
  </r>
  <r>
    <x v="2"/>
    <x v="9"/>
    <n v="3932"/>
    <n v="225259.64081914292"/>
    <n v="-0.31186559327966401"/>
    <n v="2.151267238923027E-2"/>
  </r>
  <r>
    <x v="2"/>
    <x v="10"/>
    <n v="3709"/>
    <n v="198242.42804237796"/>
    <n v="-0.29740481151733278"/>
    <n v="6.5321628471164406E-3"/>
  </r>
  <r>
    <x v="2"/>
    <x v="11"/>
    <n v="0"/>
    <n v="0"/>
    <s v=""/>
    <s v=""/>
  </r>
  <r>
    <x v="3"/>
    <x v="0"/>
    <n v="3693"/>
    <n v="193645.07519025946"/>
    <n v="0.15986180904522618"/>
    <n v="3.0009626015421453E-3"/>
  </r>
  <r>
    <x v="3"/>
    <x v="1"/>
    <n v="5340"/>
    <n v="262902.16734731762"/>
    <n v="0.11622073578595327"/>
    <n v="-3.1329447075918115E-2"/>
  </r>
  <r>
    <x v="3"/>
    <x v="2"/>
    <n v="725"/>
    <n v="149825.17636999988"/>
    <n v="0.17124394184168024"/>
    <n v="3.9043156340925478E-3"/>
  </r>
  <r>
    <x v="3"/>
    <x v="3"/>
    <n v="4110"/>
    <n v="226815.92159930311"/>
    <n v="0.13913525498891355"/>
    <n v="-1.8625145614504901E-2"/>
  </r>
  <r>
    <x v="3"/>
    <x v="4"/>
    <n v="3845"/>
    <n v="204127.9181143186"/>
    <n v="0.13723750369713095"/>
    <n v="3.1560465841737884E-3"/>
  </r>
  <r>
    <x v="3"/>
    <x v="5"/>
    <n v="2384"/>
    <n v="219803.99452767361"/>
    <n v="0.11715089034676662"/>
    <n v="-1.4680007201607337E-2"/>
  </r>
  <r>
    <x v="3"/>
    <x v="6"/>
    <n v="108"/>
    <n v="114759.13339828324"/>
    <n v="6.9306930693069368E-2"/>
    <n v="4.3196930220888108E-2"/>
  </r>
  <r>
    <x v="3"/>
    <x v="7"/>
    <n v="7471"/>
    <n v="476637.9608552499"/>
    <n v="4.8561403508772027E-2"/>
    <n v="-5.9598600175064576E-2"/>
  </r>
  <r>
    <x v="3"/>
    <x v="8"/>
    <n v="3793"/>
    <n v="180106.2554264222"/>
    <n v="0.12954139368671824"/>
    <n v="2.6379251686139416E-3"/>
  </r>
  <r>
    <x v="3"/>
    <x v="9"/>
    <n v="4502"/>
    <n v="224658.71785201639"/>
    <n v="0.14496439471007116"/>
    <n v="-2.6676903369876603E-3"/>
  </r>
  <r>
    <x v="3"/>
    <x v="10"/>
    <n v="4080"/>
    <n v="198537.20508864647"/>
    <n v="0.10002696144513346"/>
    <n v="1.4869523601954704E-3"/>
  </r>
  <r>
    <x v="3"/>
    <x v="11"/>
    <n v="0"/>
    <n v="0"/>
    <s v=""/>
    <s v=""/>
  </r>
  <r>
    <x v="4"/>
    <x v="0"/>
    <n v="4359"/>
    <n v="193154.90732988881"/>
    <n v="0.18034118602761984"/>
    <n v="-2.5312694365661192E-3"/>
  </r>
  <r>
    <x v="4"/>
    <x v="1"/>
    <n v="5910"/>
    <n v="258806.72312859545"/>
    <n v="0.10674157303370779"/>
    <n v="-1.5577826002901363E-2"/>
  </r>
  <r>
    <x v="4"/>
    <x v="2"/>
    <n v="835"/>
    <n v="150412.72032249469"/>
    <n v="0.15172413793103456"/>
    <n v="3.9215301909194533E-3"/>
  </r>
  <r>
    <x v="4"/>
    <x v="3"/>
    <n v="4639"/>
    <n v="226938.57650398079"/>
    <n v="0.1287104622871047"/>
    <n v="5.4076849549544725E-4"/>
  </r>
  <r>
    <x v="4"/>
    <x v="4"/>
    <n v="4374"/>
    <n v="204628.71519037255"/>
    <n v="0.1375812743823146"/>
    <n v="2.4533492560947501E-3"/>
  </r>
  <r>
    <x v="4"/>
    <x v="5"/>
    <n v="2802"/>
    <n v="216294.95157286353"/>
    <n v="0.17533557046979875"/>
    <n v="-1.5964418491804411E-2"/>
  </r>
  <r>
    <x v="4"/>
    <x v="6"/>
    <n v="133"/>
    <n v="119193.28772187616"/>
    <n v="0.2314814814814814"/>
    <n v="3.8638792332142513E-2"/>
  </r>
  <r>
    <x v="4"/>
    <x v="7"/>
    <n v="7449"/>
    <n v="473423.35592662328"/>
    <n v="-2.9447195823851802E-3"/>
    <n v="-6.7443325807674537E-3"/>
  </r>
  <r>
    <x v="4"/>
    <x v="8"/>
    <n v="4640"/>
    <n v="180518.92279830819"/>
    <n v="0.22330609016609548"/>
    <n v="2.2912439710045529E-3"/>
  </r>
  <r>
    <x v="4"/>
    <x v="9"/>
    <n v="5189"/>
    <n v="223714.34624876463"/>
    <n v="0.15259884495779663"/>
    <n v="-4.2035831606312968E-3"/>
  </r>
  <r>
    <x v="4"/>
    <x v="10"/>
    <n v="4808"/>
    <n v="197965.84965900352"/>
    <n v="0.17843137254901964"/>
    <n v="-2.877825490632091E-3"/>
  </r>
  <r>
    <x v="4"/>
    <x v="11"/>
    <n v="0"/>
    <n v="0"/>
    <s v=""/>
    <s v=""/>
  </r>
  <r>
    <x v="5"/>
    <x v="0"/>
    <n v="4398"/>
    <n v="193771.53174194237"/>
    <n v="8.9470061940812862E-3"/>
    <n v="3.1923828422355527E-3"/>
  </r>
  <r>
    <x v="5"/>
    <x v="1"/>
    <n v="5846"/>
    <n v="259270.84422783839"/>
    <n v="-1.0829103214890057E-2"/>
    <n v="1.7933116019259732E-3"/>
  </r>
  <r>
    <x v="5"/>
    <x v="2"/>
    <n v="734"/>
    <n v="152758.76944807201"/>
    <n v="-0.12095808383233531"/>
    <n v="1.559741171190332E-2"/>
  </r>
  <r>
    <x v="5"/>
    <x v="3"/>
    <n v="4557"/>
    <n v="225564.80501194787"/>
    <n v="-1.7676223323992213E-2"/>
    <n v="-6.053494796680492E-3"/>
  </r>
  <r>
    <x v="5"/>
    <x v="4"/>
    <n v="4320"/>
    <n v="205183.89669872029"/>
    <n v="-1.2345679012345734E-2"/>
    <n v="2.7131163279368042E-3"/>
  </r>
  <r>
    <x v="5"/>
    <x v="5"/>
    <n v="2834"/>
    <n v="216240.63454763751"/>
    <n v="1.142041399000715E-2"/>
    <n v="-2.5112479431921297E-4"/>
  </r>
  <r>
    <x v="5"/>
    <x v="6"/>
    <n v="153"/>
    <n v="118866.70313547953"/>
    <n v="0.15037593984962405"/>
    <n v="-2.7399578670794789E-3"/>
  </r>
  <r>
    <x v="5"/>
    <x v="7"/>
    <n v="7266"/>
    <n v="470411.8491181531"/>
    <n v="-2.4567055980668551E-2"/>
    <n v="-6.3611285137713525E-3"/>
  </r>
  <r>
    <x v="5"/>
    <x v="8"/>
    <n v="4622"/>
    <n v="181588.45967409431"/>
    <n v="-3.8793103448275801E-3"/>
    <n v="5.9247909261075371E-3"/>
  </r>
  <r>
    <x v="5"/>
    <x v="9"/>
    <n v="5336"/>
    <n v="224034.02776806464"/>
    <n v="2.8329157833879348E-2"/>
    <n v="1.4289719218298913E-3"/>
  </r>
  <r>
    <x v="5"/>
    <x v="10"/>
    <n v="4750"/>
    <n v="198828.68868675246"/>
    <n v="-1.2063227953410971E-2"/>
    <n v="4.3585246103565733E-3"/>
  </r>
  <r>
    <x v="5"/>
    <x v="11"/>
    <n v="0"/>
    <n v="0"/>
    <s v=""/>
    <s v=""/>
  </r>
  <r>
    <x v="6"/>
    <x v="0"/>
    <n v="4406"/>
    <n v="196359.50406855665"/>
    <n v="1.8190086402909422E-3"/>
    <n v="1.3355792274279299E-2"/>
  </r>
  <r>
    <x v="6"/>
    <x v="1"/>
    <n v="5723"/>
    <n v="261062.05807217854"/>
    <n v="-2.1040027369141345E-2"/>
    <n v="6.9086589727231917E-3"/>
  </r>
  <r>
    <x v="6"/>
    <x v="2"/>
    <n v="686"/>
    <n v="154507.01946795025"/>
    <n v="-6.5395095367847378E-2"/>
    <n v="1.1444514944672468E-2"/>
  </r>
  <r>
    <x v="6"/>
    <x v="3"/>
    <n v="4338"/>
    <n v="228416.83481290759"/>
    <n v="-4.8057932850559593E-2"/>
    <n v="1.2643948601860355E-2"/>
  </r>
  <r>
    <x v="6"/>
    <x v="4"/>
    <n v="4320"/>
    <n v="208545.5849842903"/>
    <n v="0"/>
    <n v="1.6383782254150825E-2"/>
  </r>
  <r>
    <x v="6"/>
    <x v="5"/>
    <n v="2681"/>
    <n v="218489.12762679125"/>
    <n v="-5.3987297106563137E-2"/>
    <n v="1.0398106183222344E-2"/>
  </r>
  <r>
    <x v="6"/>
    <x v="6"/>
    <n v="155"/>
    <n v="122283.18840027084"/>
    <n v="1.3071895424836555E-2"/>
    <n v="2.8742155495785404E-2"/>
  </r>
  <r>
    <x v="6"/>
    <x v="7"/>
    <n v="7104"/>
    <n v="473782.59513865499"/>
    <n v="-2.2295623451692781E-2"/>
    <n v="7.165521078647874E-3"/>
  </r>
  <r>
    <x v="6"/>
    <x v="8"/>
    <n v="4602"/>
    <n v="183216.8568633195"/>
    <n v="-4.3271311120727241E-3"/>
    <n v="8.9675147426644397E-3"/>
  </r>
  <r>
    <x v="6"/>
    <x v="9"/>
    <n v="5215"/>
    <n v="225873.2696417782"/>
    <n v="-2.2676161919040427E-2"/>
    <n v="8.2096540960181486E-3"/>
  </r>
  <r>
    <x v="6"/>
    <x v="10"/>
    <n v="4644"/>
    <n v="201862.54458243187"/>
    <n v="-2.2315789473684178E-2"/>
    <n v="1.5258642581801318E-2"/>
  </r>
  <r>
    <x v="6"/>
    <x v="11"/>
    <n v="0"/>
    <n v="0"/>
    <s v=""/>
    <s v=""/>
  </r>
  <r>
    <x v="7"/>
    <x v="0"/>
    <n v="4412"/>
    <n v="201082.52304088447"/>
    <n v="1.3617793917386489E-3"/>
    <n v="2.4052917605041468E-2"/>
  </r>
  <r>
    <x v="7"/>
    <x v="1"/>
    <n v="5422"/>
    <n v="267512.7984425716"/>
    <n v="-5.25947929407653E-2"/>
    <n v="2.4709605133847345E-2"/>
  </r>
  <r>
    <x v="7"/>
    <x v="2"/>
    <n v="690"/>
    <n v="159503.01647369939"/>
    <n v="5.8309037900874383E-3"/>
    <n v="3.2335081104748697E-2"/>
  </r>
  <r>
    <x v="7"/>
    <x v="3"/>
    <n v="4169"/>
    <n v="233369.73369604201"/>
    <n v="-3.8958045182111545E-2"/>
    <n v="2.1683598265387349E-2"/>
  </r>
  <r>
    <x v="7"/>
    <x v="4"/>
    <n v="4126"/>
    <n v="212295.60668226599"/>
    <n v="-4.4907407407407396E-2"/>
    <n v="1.7981784166076542E-2"/>
  </r>
  <r>
    <x v="7"/>
    <x v="5"/>
    <n v="2541"/>
    <n v="223895.59241500843"/>
    <n v="-5.2219321148825104E-2"/>
    <n v="2.4744777220458092E-2"/>
  </r>
  <r>
    <x v="7"/>
    <x v="6"/>
    <n v="152"/>
    <n v="124611.10201898518"/>
    <n v="-1.9354838709677469E-2"/>
    <n v="1.9037070010755386E-2"/>
  </r>
  <r>
    <x v="7"/>
    <x v="7"/>
    <n v="7049"/>
    <n v="480526.8372177697"/>
    <n v="-7.7421171171171421E-3"/>
    <n v="1.4234887790973039E-2"/>
  </r>
  <r>
    <x v="7"/>
    <x v="8"/>
    <n v="4600"/>
    <n v="187103.08992856898"/>
    <n v="-4.3459365493259128E-4"/>
    <n v="2.121111087583305E-2"/>
  </r>
  <r>
    <x v="7"/>
    <x v="9"/>
    <n v="4872"/>
    <n v="231188.57252377388"/>
    <n v="-6.5771812080536951E-2"/>
    <n v="2.3532235091055398E-2"/>
  </r>
  <r>
    <x v="7"/>
    <x v="10"/>
    <n v="4584"/>
    <n v="206029.49940472984"/>
    <n v="-1.2919896640826822E-2"/>
    <n v="2.0642535894499936E-2"/>
  </r>
  <r>
    <x v="7"/>
    <x v="11"/>
    <n v="0"/>
    <n v="0"/>
    <s v=""/>
    <s v=""/>
  </r>
  <r>
    <x v="8"/>
    <x v="0"/>
    <n v="4141"/>
    <n v="207111.72337321992"/>
    <n v="-6.1423390752493146E-2"/>
    <n v="2.998371136963307E-2"/>
  </r>
  <r>
    <x v="8"/>
    <x v="1"/>
    <n v="5134"/>
    <n v="274968.23374355608"/>
    <n v="-5.3116931021763181E-2"/>
    <n v="2.786945276782693E-2"/>
  </r>
  <r>
    <x v="8"/>
    <x v="2"/>
    <n v="667"/>
    <n v="163550.63416633816"/>
    <n v="-3.3333333333333326E-2"/>
    <n v="2.5376433512818153E-2"/>
  </r>
  <r>
    <x v="8"/>
    <x v="3"/>
    <n v="3988"/>
    <n v="240481.15474768801"/>
    <n v="-4.3415687215159537E-2"/>
    <n v="3.0472764994060597E-2"/>
  </r>
  <r>
    <x v="8"/>
    <x v="4"/>
    <n v="3863"/>
    <n v="218383.82581986193"/>
    <n v="-6.3742123121667493E-2"/>
    <n v="2.8678026986719063E-2"/>
  </r>
  <r>
    <x v="8"/>
    <x v="5"/>
    <n v="2408"/>
    <n v="232284.88158100072"/>
    <n v="-5.2341597796143224E-2"/>
    <n v="3.7469648578173365E-2"/>
  </r>
  <r>
    <x v="8"/>
    <x v="6"/>
    <n v="143"/>
    <n v="129934.95857910582"/>
    <n v="-5.9210526315789491E-2"/>
    <n v="4.2723773996553804E-2"/>
  </r>
  <r>
    <x v="8"/>
    <x v="7"/>
    <n v="6784"/>
    <n v="485369.39769288228"/>
    <n v="-3.7593984962406068E-2"/>
    <n v="1.0077606701741848E-2"/>
  </r>
  <r>
    <x v="8"/>
    <x v="8"/>
    <n v="4215"/>
    <n v="193257.30812112009"/>
    <n v="-8.369565217391306E-2"/>
    <n v="3.2892124843585613E-2"/>
  </r>
  <r>
    <x v="8"/>
    <x v="9"/>
    <n v="4439"/>
    <n v="238795.99123354859"/>
    <n v="-8.8875205254515643E-2"/>
    <n v="3.2905686586184535E-2"/>
  </r>
  <r>
    <x v="8"/>
    <x v="10"/>
    <n v="4262"/>
    <n v="213104.89335435766"/>
    <n v="-7.024432809773129E-2"/>
    <n v="3.4341654811909761E-2"/>
  </r>
  <r>
    <x v="8"/>
    <x v="11"/>
    <n v="0"/>
    <n v="0"/>
    <s v=""/>
    <s v=""/>
  </r>
  <r>
    <x v="9"/>
    <x v="0"/>
    <n v="3694"/>
    <n v="213064"/>
    <n v="-0.10794494083554695"/>
    <n v="2.873944810962703E-2"/>
  </r>
  <r>
    <x v="9"/>
    <x v="1"/>
    <n v="4691"/>
    <n v="284145.07223511301"/>
    <n v="-8.628749513050249E-2"/>
    <n v="3.3374176960803137E-2"/>
  </r>
  <r>
    <x v="9"/>
    <x v="2"/>
    <n v="555"/>
    <n v="166987.00442482485"/>
    <n v="-0.16791604197901044"/>
    <n v="2.101104820536337E-2"/>
  </r>
  <r>
    <x v="9"/>
    <x v="3"/>
    <n v="3591"/>
    <n v="248660.81808217699"/>
    <n v="-9.9548645937813429E-2"/>
    <n v="3.4013739426156153E-2"/>
  </r>
  <r>
    <x v="9"/>
    <x v="4"/>
    <n v="3504"/>
    <n v="224126.573099884"/>
    <n v="-9.2932953662956286E-2"/>
    <n v="2.6296577864512116E-2"/>
  </r>
  <r>
    <x v="9"/>
    <x v="5"/>
    <n v="2275"/>
    <n v="240315.44433147885"/>
    <n v="-5.5232558139534871E-2"/>
    <n v="3.4572042294873873E-2"/>
  </r>
  <r>
    <x v="9"/>
    <x v="6"/>
    <n v="128"/>
    <n v="129043"/>
    <n v="-0.1048951048951049"/>
    <n v="-6.8646543536841076E-3"/>
  </r>
  <r>
    <x v="9"/>
    <x v="7"/>
    <n v="6356"/>
    <n v="492923.83831749501"/>
    <n v="-6.3089622641509413E-2"/>
    <n v="1.5564311760324134E-2"/>
  </r>
  <r>
    <x v="9"/>
    <x v="8"/>
    <n v="3865"/>
    <n v="198357.59282107299"/>
    <n v="-8.3036773428232458E-2"/>
    <n v="2.639116082873505E-2"/>
  </r>
  <r>
    <x v="9"/>
    <x v="9"/>
    <n v="4055"/>
    <n v="242855.65252428901"/>
    <n v="-8.6505969813020944E-2"/>
    <n v="1.7000542051687884E-2"/>
  </r>
  <r>
    <x v="9"/>
    <x v="10"/>
    <n v="3817"/>
    <n v="220071.7056246"/>
    <n v="-0.10441107461285781"/>
    <n v="3.269193945095239E-2"/>
  </r>
  <r>
    <x v="9"/>
    <x v="11"/>
    <n v="0"/>
    <n v="0"/>
    <s v=""/>
    <s v=""/>
  </r>
  <r>
    <x v="10"/>
    <x v="0"/>
    <n v="3285"/>
    <n v="217457.92610578501"/>
    <n v="-0.11072008662696264"/>
    <n v="2.0622564608685723E-2"/>
  </r>
  <r>
    <x v="10"/>
    <x v="1"/>
    <n v="4250"/>
    <n v="285015.17727373273"/>
    <n v="-9.4009806011511432E-2"/>
    <n v="3.0621859171280352E-3"/>
  </r>
  <r>
    <x v="10"/>
    <x v="2"/>
    <n v="402"/>
    <n v="168456"/>
    <n v="-0.27567567567567564"/>
    <n v="8.797065258072001E-3"/>
  </r>
  <r>
    <x v="10"/>
    <x v="3"/>
    <n v="3271"/>
    <n v="249103.2130907815"/>
    <n v="-8.9111668059036475E-2"/>
    <n v="1.7791102434896455E-3"/>
  </r>
  <r>
    <x v="10"/>
    <x v="4"/>
    <n v="3212"/>
    <n v="227430.00151716819"/>
    <n v="-8.333333333333337E-2"/>
    <n v="1.4739119826777447E-2"/>
  </r>
  <r>
    <x v="10"/>
    <x v="5"/>
    <n v="2059"/>
    <n v="248499.86160222249"/>
    <n v="-9.4945054945054896E-2"/>
    <n v="3.4056975794924282E-2"/>
  </r>
  <r>
    <x v="10"/>
    <x v="6"/>
    <s v="-"/>
    <n v="129358"/>
    <s v=""/>
    <n v="2.4410467828552829E-3"/>
  </r>
  <r>
    <x v="10"/>
    <x v="7"/>
    <n v="6021"/>
    <n v="492266.94837677892"/>
    <n v="-5.2706104468218995E-2"/>
    <n v="-1.3326398312532017E-3"/>
  </r>
  <r>
    <x v="10"/>
    <x v="8"/>
    <n v="3549"/>
    <n v="204423.53773625591"/>
    <n v="-8.1759379042690816E-2"/>
    <n v="3.0580855660285566E-2"/>
  </r>
  <r>
    <x v="10"/>
    <x v="9"/>
    <n v="3613"/>
    <n v="251075.408196409"/>
    <n v="-0.1090012330456227"/>
    <n v="3.3846260470704603E-2"/>
  </r>
  <r>
    <x v="10"/>
    <x v="10"/>
    <n v="3383"/>
    <n v="224172.18010997921"/>
    <n v="-0.11370186009955463"/>
    <n v="1.8632447427720855E-2"/>
  </r>
  <r>
    <x v="10"/>
    <x v="11"/>
    <n v="0"/>
    <n v="0"/>
    <s v=""/>
    <s v=""/>
  </r>
  <r>
    <x v="11"/>
    <x v="0"/>
    <n v="3195"/>
    <n v="222408.36348782439"/>
    <n v="-2.7397260273972601E-2"/>
    <n v="2.2765035382666055E-2"/>
  </r>
  <r>
    <x v="11"/>
    <x v="1"/>
    <n v="4300"/>
    <n v="288669.41646255122"/>
    <n v="1.1764705882352899E-2"/>
    <n v="1.2821209115151389E-2"/>
  </r>
  <r>
    <x v="11"/>
    <x v="2"/>
    <n v="1004"/>
    <n v="169893.75244082001"/>
    <n v="1.4975124378109452"/>
    <n v="8.5348841289121236E-3"/>
  </r>
  <r>
    <x v="11"/>
    <x v="3"/>
    <n v="3263"/>
    <n v="254214.55851797509"/>
    <n v="-2.4457352491592532E-3"/>
    <n v="2.0518986342142664E-2"/>
  </r>
  <r>
    <x v="11"/>
    <x v="4"/>
    <n v="3218"/>
    <n v="226980.94736958799"/>
    <n v="1.8679950186799577E-3"/>
    <n v="-1.9744719016162593E-3"/>
  </r>
  <r>
    <x v="11"/>
    <x v="5"/>
    <n v="2011"/>
    <n v="252079.08210971011"/>
    <n v="-2.3312287518212682E-2"/>
    <n v="1.4403309862670799E-2"/>
  </r>
  <r>
    <x v="11"/>
    <x v="6"/>
    <n v="366"/>
    <n v="129570.29291170731"/>
    <s v=""/>
    <n v="1.6411270405178868E-3"/>
  </r>
  <r>
    <x v="11"/>
    <x v="7"/>
    <n v="5911"/>
    <n v="496551.37231304799"/>
    <n v="-1.8269390466699842E-2"/>
    <n v="8.703456428258427E-3"/>
  </r>
  <r>
    <x v="11"/>
    <x v="8"/>
    <n v="3518"/>
    <n v="207722.82884056869"/>
    <n v="-8.7348548887010713E-3"/>
    <n v="1.6139487364559058E-2"/>
  </r>
  <r>
    <x v="11"/>
    <x v="9"/>
    <n v="3637"/>
    <n v="252676.76757866339"/>
    <n v="6.642679213949565E-3"/>
    <n v="6.3780017077645912E-3"/>
  </r>
  <r>
    <x v="11"/>
    <x v="10"/>
    <n v="3273"/>
    <n v="229702.2527081068"/>
    <n v="-3.2515518770322216E-2"/>
    <n v="2.4668862101508537E-2"/>
  </r>
  <r>
    <x v="11"/>
    <x v="11"/>
    <n v="0"/>
    <n v="0"/>
    <s v=""/>
    <s v=""/>
  </r>
  <r>
    <x v="12"/>
    <x v="0"/>
    <n v="3591"/>
    <n v="224060"/>
    <n v="0.12394366197183104"/>
    <n v="7.4261439015805841E-3"/>
  </r>
  <r>
    <x v="12"/>
    <x v="1"/>
    <n v="4594"/>
    <n v="290704"/>
    <n v="6.8372093023255864E-2"/>
    <n v="7.0481437291876059E-3"/>
  </r>
  <r>
    <x v="12"/>
    <x v="2"/>
    <n v="1045"/>
    <n v="166469"/>
    <n v="4.0836653386454147E-2"/>
    <n v="-2.0158201179369284E-2"/>
  </r>
  <r>
    <x v="12"/>
    <x v="3"/>
    <n v="3674"/>
    <n v="250175"/>
    <n v="0.12595770763101433"/>
    <n v="-1.5890350818320464E-2"/>
  </r>
  <r>
    <x v="12"/>
    <x v="4"/>
    <n v="3538"/>
    <n v="227817"/>
    <n v="9.9440646364201468E-2"/>
    <n v="3.6833603881769594E-3"/>
  </r>
  <r>
    <x v="12"/>
    <x v="5"/>
    <n v="2316"/>
    <n v="249379"/>
    <n v="0.15166583789159627"/>
    <n v="-1.0711250164482045E-2"/>
  </r>
  <r>
    <x v="12"/>
    <x v="6"/>
    <n v="395"/>
    <n v="130229"/>
    <n v="7.9234972677595605E-2"/>
    <n v="5.0837817333757584E-3"/>
  </r>
  <r>
    <x v="12"/>
    <x v="7"/>
    <n v="6167"/>
    <n v="485358"/>
    <n v="4.3309084757232386E-2"/>
    <n v="-2.2542224102426234E-2"/>
  </r>
  <r>
    <x v="12"/>
    <x v="8"/>
    <n v="3842"/>
    <n v="208923"/>
    <n v="9.2097782831153996E-2"/>
    <n v="5.7777528167231029E-3"/>
  </r>
  <r>
    <x v="12"/>
    <x v="9"/>
    <n v="4153"/>
    <n v="251521"/>
    <n v="0.14187517184492715"/>
    <n v="-4.5740951561903387E-3"/>
  </r>
  <r>
    <x v="12"/>
    <x v="10"/>
    <n v="3613"/>
    <n v="227762"/>
    <n v="0.10388023220287201"/>
    <n v="-8.4468161945819853E-3"/>
  </r>
  <r>
    <x v="12"/>
    <x v="11"/>
    <n v="0"/>
    <n v="0"/>
    <s v=""/>
    <s v=""/>
  </r>
  <r>
    <x v="13"/>
    <x v="0"/>
    <n v="3899.49"/>
    <n v="229760.2050391048"/>
    <n v="8.5906432748537931E-2"/>
    <n v="2.5440529497031239E-2"/>
  </r>
  <r>
    <x v="13"/>
    <x v="1"/>
    <n v="4920.16"/>
    <n v="294686.30042326043"/>
    <n v="7.0996952546800163E-2"/>
    <n v="1.3698815369793449E-2"/>
  </r>
  <r>
    <x v="13"/>
    <x v="2"/>
    <n v="1120.05"/>
    <n v="170101.71363001299"/>
    <n v="7.1818181818181781E-2"/>
    <n v="2.1822162865236194E-2"/>
  </r>
  <r>
    <x v="13"/>
    <x v="3"/>
    <n v="3931.1"/>
    <n v="255178.5"/>
    <n v="6.99782253674468E-2"/>
    <n v="2.0000000000000018E-2"/>
  </r>
  <r>
    <x v="13"/>
    <x v="4"/>
    <n v="3772.45"/>
    <n v="230654"/>
    <n v="6.6266252119841607E-2"/>
    <n v="1.2452977609221483E-2"/>
  </r>
  <r>
    <x v="13"/>
    <x v="5"/>
    <n v="2399.6999999999998"/>
    <n v="256057.22500537531"/>
    <n v="3.6139896373056812E-2"/>
    <n v="2.6779420101032292E-2"/>
  </r>
  <r>
    <x v="13"/>
    <x v="6"/>
    <n v="413.25"/>
    <n v="132518.89463728989"/>
    <n v="4.6202531645569644E-2"/>
    <n v="1.7583599945403039E-2"/>
  </r>
  <r>
    <x v="13"/>
    <x v="7"/>
    <n v="6806.7"/>
    <n v="506384.34900950472"/>
    <n v="0.10372952813361436"/>
    <n v="4.3321319540431391E-2"/>
  </r>
  <r>
    <x v="13"/>
    <x v="8"/>
    <n v="4237.5200000000004"/>
    <n v="214923.24614204169"/>
    <n v="0.10294638209266016"/>
    <n v="2.8719892697509186E-2"/>
  </r>
  <r>
    <x v="13"/>
    <x v="9"/>
    <n v="4542.12"/>
    <n v="257717.3994652222"/>
    <n v="9.3696123284372712E-2"/>
    <n v="2.4635714175843093E-2"/>
  </r>
  <r>
    <x v="13"/>
    <x v="10"/>
    <n v="4056.3"/>
    <n v="235586.81450968509"/>
    <n v="0.12269582064766138"/>
    <n v="3.4355223916566757E-2"/>
  </r>
  <r>
    <x v="13"/>
    <x v="11"/>
    <n v="0"/>
    <n v="0"/>
    <s v=""/>
    <s v=""/>
  </r>
  <r>
    <x v="14"/>
    <x v="0"/>
    <n v="3817"/>
    <n v="231824.103198336"/>
    <n v="-2.1154048349912413E-2"/>
    <n v="8.9828356432739564E-3"/>
  </r>
  <r>
    <x v="14"/>
    <x v="1"/>
    <n v="4885"/>
    <n v="299003.19790890749"/>
    <n v="-7.1461090696237628E-3"/>
    <n v="1.4649128512070897E-2"/>
  </r>
  <r>
    <x v="14"/>
    <x v="2"/>
    <n v="1150"/>
    <n v="171331.37824459199"/>
    <n v="2.6739877684031965E-2"/>
    <n v="7.2289960420601762E-3"/>
  </r>
  <r>
    <x v="14"/>
    <x v="3"/>
    <n v="3958"/>
    <n v="262834"/>
    <n v="6.8428684083334801E-3"/>
    <n v="3.0000568229690217E-2"/>
  </r>
  <r>
    <x v="14"/>
    <x v="4"/>
    <n v="3777"/>
    <n v="232671"/>
    <n v="1.2061127384062065E-3"/>
    <n v="8.7446998534601583E-3"/>
  </r>
  <r>
    <x v="14"/>
    <x v="5"/>
    <n v="2340"/>
    <n v="259971.7770430946"/>
    <n v="-2.4878109763720402E-2"/>
    <n v="1.5287801535915024E-2"/>
  </r>
  <r>
    <x v="14"/>
    <x v="6"/>
    <n v="422"/>
    <n v="139459.01967022661"/>
    <n v="2.1173623714458634E-2"/>
    <n v="5.2370834000178945E-2"/>
  </r>
  <r>
    <x v="14"/>
    <x v="7"/>
    <n v="6750"/>
    <n v="506551.61429924797"/>
    <n v="-8.3300277667591738E-3"/>
    <n v="3.3031291364049586E-4"/>
  </r>
  <r>
    <x v="14"/>
    <x v="8"/>
    <n v="4121"/>
    <n v="214656"/>
    <n v="-2.7497215352376037E-2"/>
    <n v="-1.2434492165871447E-3"/>
  </r>
  <r>
    <x v="14"/>
    <x v="9"/>
    <n v="4442"/>
    <n v="263055.17312146898"/>
    <n v="-2.2042570429667174E-2"/>
    <n v="2.0711731793518595E-2"/>
  </r>
  <r>
    <x v="14"/>
    <x v="10"/>
    <n v="4012"/>
    <n v="240115.281335354"/>
    <n v="-1.092128294258321E-2"/>
    <n v="1.9222072487773856E-2"/>
  </r>
  <r>
    <x v="14"/>
    <x v="11"/>
    <n v="0"/>
    <n v="0"/>
    <s v=""/>
    <s v=""/>
  </r>
  <r>
    <x v="15"/>
    <x v="0"/>
    <n v="3810"/>
    <n v="236146.7532297835"/>
    <n v="-1.8339009693476571E-3"/>
    <n v="1.8646249340817045E-2"/>
  </r>
  <r>
    <x v="15"/>
    <x v="1"/>
    <n v="4742"/>
    <n v="303562.77174101147"/>
    <n v="-2.9273285568065521E-2"/>
    <n v="1.5249247713708725E-2"/>
  </r>
  <r>
    <x v="15"/>
    <x v="2"/>
    <n v="998"/>
    <n v="185143.76767959961"/>
    <n v="-0.13217391304347825"/>
    <n v="8.0617978892862929E-2"/>
  </r>
  <r>
    <x v="15"/>
    <x v="3"/>
    <n v="3991"/>
    <n v="270519.52216606628"/>
    <n v="8.3375442142497036E-3"/>
    <n v="2.9240974021877975E-2"/>
  </r>
  <r>
    <x v="15"/>
    <x v="4"/>
    <n v="3734"/>
    <n v="242760"/>
    <n v="-1.1384696849351283E-2"/>
    <n v="4.3361656588057906E-2"/>
  </r>
  <r>
    <x v="15"/>
    <x v="5"/>
    <n v="2330"/>
    <n v="264259.30843595619"/>
    <n v="-4.2735042735042583E-3"/>
    <n v="1.6492295593113049E-2"/>
  </r>
  <r>
    <x v="15"/>
    <x v="6"/>
    <n v="473"/>
    <n v="142362.58756016791"/>
    <n v="0.12085308056872046"/>
    <n v="2.0820223007498972E-2"/>
  </r>
  <r>
    <x v="15"/>
    <x v="7"/>
    <n v="6427"/>
    <n v="517047.08268324181"/>
    <n v="-4.7851851851851812E-2"/>
    <n v="2.0719445141859971E-2"/>
  </r>
  <r>
    <x v="15"/>
    <x v="8"/>
    <n v="4149"/>
    <n v="223160.25658915259"/>
    <n v="6.7944673622906127E-3"/>
    <n v="3.961807072316903E-2"/>
  </r>
  <r>
    <x v="15"/>
    <x v="9"/>
    <n v="4379"/>
    <n v="267496.63666675298"/>
    <n v="-1.4182800540297191E-2"/>
    <n v="1.6884152068102898E-2"/>
  </r>
  <r>
    <x v="15"/>
    <x v="10"/>
    <n v="4106"/>
    <n v="243481.25289579309"/>
    <n v="2.3429710867397757E-2"/>
    <n v="1.4018148040057632E-2"/>
  </r>
  <r>
    <x v="15"/>
    <x v="11"/>
    <n v="0"/>
    <n v="180670.98838977399"/>
    <s v=""/>
    <s v=""/>
  </r>
  <r>
    <x v="16"/>
    <x v="0"/>
    <n v="4015"/>
    <n v="230983.15311796564"/>
    <n v="5.3805774278215202E-2"/>
    <n v="-2.1866064390872242E-2"/>
  </r>
  <r>
    <x v="16"/>
    <x v="1"/>
    <n v="4716"/>
    <n v="307644.74547330698"/>
    <n v="-5.4829185997469221E-3"/>
    <n v="1.3446885166070732E-2"/>
  </r>
  <r>
    <x v="16"/>
    <x v="2"/>
    <n v="1045"/>
    <n v="185631.433362765"/>
    <n v="4.7094188376753499E-2"/>
    <n v="2.6339837915005937E-3"/>
  </r>
  <r>
    <x v="16"/>
    <x v="3"/>
    <n v="3984"/>
    <n v="271639.90676165489"/>
    <n v="-1.7539463793535548E-3"/>
    <n v="4.1416034843533289E-3"/>
  </r>
  <r>
    <x v="16"/>
    <x v="4"/>
    <n v="3643"/>
    <n v="250087.87851045234"/>
    <n v="-2.4370648098553827E-2"/>
    <n v="3.0185691672649284E-2"/>
  </r>
  <r>
    <x v="16"/>
    <x v="5"/>
    <n v="2457"/>
    <n v="263638.9330597294"/>
    <n v="5.4506437768240268E-2"/>
    <n v="-2.3476008466779552E-3"/>
  </r>
  <r>
    <x v="16"/>
    <x v="6"/>
    <n v="490"/>
    <n v="143498.26577306702"/>
    <n v="3.5940803382663811E-2"/>
    <n v="7.9773642244254095E-3"/>
  </r>
  <r>
    <x v="16"/>
    <x v="7"/>
    <n v="6281"/>
    <n v="523622.43571524927"/>
    <n v="-2.2716664073440196E-2"/>
    <n v="1.27171262583754E-2"/>
  </r>
  <r>
    <x v="16"/>
    <x v="8"/>
    <n v="4061"/>
    <n v="221907.45513157058"/>
    <n v="-2.1209930103639474E-2"/>
    <n v="-5.6139093794307371E-3"/>
  </r>
  <r>
    <x v="16"/>
    <x v="9"/>
    <n v="4293"/>
    <n v="267714.09157880186"/>
    <n v="-1.9639187029002025E-2"/>
    <n v="8.1292578014657835E-4"/>
  </r>
  <r>
    <x v="16"/>
    <x v="10"/>
    <n v="4265"/>
    <n v="238147.17446186498"/>
    <n v="3.8723818801753573E-2"/>
    <n v="-2.1907552924458784E-2"/>
  </r>
  <r>
    <x v="16"/>
    <x v="11"/>
    <n v="0"/>
    <n v="181631.4333627655"/>
    <s v=""/>
    <n v="5.3159889230220969E-3"/>
  </r>
  <r>
    <x v="17"/>
    <x v="0"/>
    <n v="3909"/>
    <n v="239462"/>
    <n v="-2.6400996264009935E-2"/>
    <n v="3.6707641953887871E-2"/>
  </r>
  <r>
    <x v="17"/>
    <x v="1"/>
    <n v="4686"/>
    <n v="307365.87509837101"/>
    <n v="-6.3613231552163141E-3"/>
    <n v="-9.0646883796741129E-4"/>
  </r>
  <r>
    <x v="17"/>
    <x v="2"/>
    <n v="1083"/>
    <n v="189270"/>
    <n v="3.6363636363636376E-2"/>
    <n v="1.9601026460450921E-2"/>
  </r>
  <r>
    <x v="17"/>
    <x v="3"/>
    <n v="3998"/>
    <n v="279829.87249036401"/>
    <n v="3.5140562248996421E-3"/>
    <n v="3.0150082976929005E-2"/>
  </r>
  <r>
    <x v="17"/>
    <x v="4"/>
    <n v="3669"/>
    <n v="258704"/>
    <n v="7.1369750205874105E-3"/>
    <n v="3.4452375464441243E-2"/>
  </r>
  <r>
    <x v="17"/>
    <x v="5"/>
    <n v="2411"/>
    <n v="270586.86449560802"/>
    <n v="-1.872201872201873E-2"/>
    <n v="2.635396583972871E-2"/>
  </r>
  <r>
    <x v="17"/>
    <x v="6"/>
    <n v="480"/>
    <n v="147506.88143227229"/>
    <n v="-2.0408163265306145E-2"/>
    <n v="2.7934941496398524E-2"/>
  </r>
  <r>
    <x v="17"/>
    <x v="7"/>
    <n v="6230"/>
    <n v="537692.18327814108"/>
    <n v="-8.1197261582550695E-3"/>
    <n v="2.6870024283189853E-2"/>
  </r>
  <r>
    <x v="17"/>
    <x v="8"/>
    <n v="4012"/>
    <n v="231525.01908459191"/>
    <n v="-1.2065993597636049E-2"/>
    <n v="4.3340427419705341E-2"/>
  </r>
  <r>
    <x v="17"/>
    <x v="9"/>
    <n v="4190"/>
    <n v="274500.01690092351"/>
    <n v="-2.3992546005124571E-2"/>
    <n v="2.5347658324979205E-2"/>
  </r>
  <r>
    <x v="17"/>
    <x v="10"/>
    <n v="4278"/>
    <n v="251078.98626123049"/>
    <n v="3.04806565064486E-3"/>
    <n v="5.4301764564652855E-2"/>
  </r>
  <r>
    <x v="17"/>
    <x v="11"/>
    <n v="0"/>
    <n v="0"/>
    <s v=""/>
    <n v="-1"/>
  </r>
  <r>
    <x v="18"/>
    <x v="0"/>
    <n v="3911"/>
    <n v="243817.904226457"/>
    <n v="5.1163980557689115E-4"/>
    <n v="1.8190377706930549E-2"/>
  </r>
  <r>
    <x v="18"/>
    <x v="1"/>
    <n v="4497"/>
    <n v="313986.35700671421"/>
    <n v="-4.0332906530089585E-2"/>
    <n v="2.1539417497874025E-2"/>
  </r>
  <r>
    <x v="18"/>
    <x v="2"/>
    <n v="1029"/>
    <n v="190978.5946016557"/>
    <n v="-4.9861495844875314E-2"/>
    <n v="9.0272869533243316E-3"/>
  </r>
  <r>
    <x v="18"/>
    <x v="3"/>
    <n v="3932"/>
    <n v="285267.26389235689"/>
    <n v="-1.6508254127063582E-2"/>
    <n v="1.94310612859252E-2"/>
  </r>
  <r>
    <x v="18"/>
    <x v="4"/>
    <n v="3694"/>
    <n v="262066.97207549991"/>
    <n v="6.8138457345325865E-3"/>
    <n v="1.2999304515971533E-2"/>
  </r>
  <r>
    <x v="18"/>
    <x v="5"/>
    <n v="2442"/>
    <n v="273464.63700159639"/>
    <n v="1.2857735379510515E-2"/>
    <n v="1.0635300096154765E-2"/>
  </r>
  <r>
    <x v="18"/>
    <x v="6"/>
    <n v="477"/>
    <n v="151436.4457790372"/>
    <n v="-6.2499999999999778E-3"/>
    <n v="2.6639871364707579E-2"/>
  </r>
  <r>
    <x v="18"/>
    <x v="7"/>
    <n v="5895"/>
    <n v="542877.9800446697"/>
    <n v="-5.3772070626003199E-2"/>
    <n v="9.6445455742213415E-3"/>
  </r>
  <r>
    <x v="18"/>
    <x v="8"/>
    <n v="3774"/>
    <n v="236217.4435711597"/>
    <n v="-5.9322033898305038E-2"/>
    <n v="2.0267461828189504E-2"/>
  </r>
  <r>
    <x v="18"/>
    <x v="9"/>
    <n v="3973"/>
    <n v="279971.03003293643"/>
    <n v="-5.178997613365155E-2"/>
    <n v="1.9930829854876153E-2"/>
  </r>
  <r>
    <x v="18"/>
    <x v="10"/>
    <n v="4053"/>
    <n v="255337.31070487079"/>
    <n v="-5.2594670406732158E-2"/>
    <n v="1.6960098919667432E-2"/>
  </r>
  <r>
    <x v="18"/>
    <x v="11"/>
    <n v="0"/>
    <n v="0"/>
    <s v=""/>
    <s v=""/>
  </r>
  <r>
    <x v="19"/>
    <x v="0"/>
    <n v="4049"/>
    <n v="249485.8436743115"/>
    <n v="3.5285093326514971E-2"/>
    <n v="2.3246608840465477E-2"/>
  </r>
  <r>
    <x v="19"/>
    <x v="1"/>
    <n v="4608"/>
    <n v="318405.32816914219"/>
    <n v="2.4683122081387676E-2"/>
    <n v="1.407376805971694E-2"/>
  </r>
  <r>
    <x v="19"/>
    <x v="2"/>
    <n v="1036"/>
    <n v="191949.76357757431"/>
    <n v="6.8027210884353817E-3"/>
    <n v="5.0852242260148728E-3"/>
  </r>
  <r>
    <x v="19"/>
    <x v="3"/>
    <n v="4049.96"/>
    <n v="288234.28745723149"/>
    <n v="3.0000000000000027E-2"/>
    <n v="1.0400855409733234E-2"/>
  </r>
  <r>
    <x v="19"/>
    <x v="4"/>
    <n v="3908"/>
    <n v="267543.33263386798"/>
    <n v="5.7931781266919335E-2"/>
    <n v="2.089679792534227E-2"/>
  </r>
  <r>
    <x v="19"/>
    <x v="5"/>
    <n v="2514"/>
    <n v="278765.98798666633"/>
    <n v="2.9484029484029506E-2"/>
    <n v="1.9385873958682964E-2"/>
  </r>
  <r>
    <x v="19"/>
    <x v="6"/>
    <n v="528"/>
    <n v="155868.4950546629"/>
    <n v="0.10691823899371067"/>
    <n v="2.9266728051003943E-2"/>
  </r>
  <r>
    <x v="19"/>
    <x v="7"/>
    <n v="6071.85"/>
    <n v="543264.80966320937"/>
    <n v="3.0000000000000027E-2"/>
    <n v="7.1255352539401073E-4"/>
  </r>
  <r>
    <x v="19"/>
    <x v="8"/>
    <n v="3827"/>
    <n v="240456.28294197639"/>
    <n v="1.4043455219925782E-2"/>
    <n v="1.7944650093293157E-2"/>
  </r>
  <r>
    <x v="19"/>
    <x v="9"/>
    <n v="4204"/>
    <n v="284425.09842203389"/>
    <n v="5.8142461615907415E-2"/>
    <n v="1.5909033118796101E-2"/>
  </r>
  <r>
    <x v="19"/>
    <x v="10"/>
    <n v="4134.0600000000004"/>
    <n v="257160.38414682401"/>
    <n v="2.0000000000000018E-2"/>
    <n v="7.1398630968602106E-3"/>
  </r>
  <r>
    <x v="19"/>
    <x v="11"/>
    <n v="442"/>
    <n v="0"/>
    <s v=""/>
    <s v=""/>
  </r>
  <r>
    <x v="20"/>
    <x v="0"/>
    <n v="4337"/>
    <n v="253346.3276842862"/>
    <n v="7.1128673746604143E-2"/>
    <n v="1.5473759765761708E-2"/>
  </r>
  <r>
    <x v="20"/>
    <x v="1"/>
    <n v="4784"/>
    <n v="321496.05009821663"/>
    <n v="3.819444444444442E-2"/>
    <n v="9.7068787976832827E-3"/>
  </r>
  <r>
    <x v="20"/>
    <x v="2"/>
    <n v="1172"/>
    <n v="199505.4179037796"/>
    <n v="0.13127413127413123"/>
    <n v="3.9362665446325273E-2"/>
  </r>
  <r>
    <x v="20"/>
    <x v="3"/>
    <n v="3949"/>
    <n v="290471.21689291118"/>
    <n v="-2.4928641270531071E-2"/>
    <n v="7.7608026977415978E-3"/>
  </r>
  <r>
    <x v="20"/>
    <x v="4"/>
    <n v="4163"/>
    <n v="271461.21226723271"/>
    <n v="6.5250767656090058E-2"/>
    <n v="1.4643906819858277E-2"/>
  </r>
  <r>
    <x v="20"/>
    <x v="5"/>
    <n v="2540"/>
    <n v="285228.90836500551"/>
    <n v="1.0342084327764622E-2"/>
    <n v="2.3184034842329115E-2"/>
  </r>
  <r>
    <x v="20"/>
    <x v="6"/>
    <n v="530"/>
    <n v="157390.60041545649"/>
    <n v="3.7878787878788955E-3"/>
    <n v="9.7653176176479839E-3"/>
  </r>
  <r>
    <x v="20"/>
    <x v="7"/>
    <n v="5722"/>
    <n v="542715.61971284903"/>
    <n v="-5.7618353549577228E-2"/>
    <n v="-1.0109065424296348E-3"/>
  </r>
  <r>
    <x v="20"/>
    <x v="8"/>
    <n v="4050"/>
    <n v="244291.873544584"/>
    <n v="5.8270185523909168E-2"/>
    <n v="1.5951301233135817E-2"/>
  </r>
  <r>
    <x v="20"/>
    <x v="9"/>
    <n v="4348"/>
    <n v="287414.23817491438"/>
    <n v="3.4253092293054177E-2"/>
    <n v="1.0509409223953714E-2"/>
  </r>
  <r>
    <x v="20"/>
    <x v="10"/>
    <n v="4258"/>
    <n v="260881.01090544171"/>
    <n v="2.998021315607402E-2"/>
    <n v="1.4468117906113465E-2"/>
  </r>
  <r>
    <x v="20"/>
    <x v="11"/>
    <n v="467"/>
    <n v="0"/>
    <n v="5.65610859728507E-2"/>
    <s v=""/>
  </r>
  <r>
    <x v="21"/>
    <x v="0"/>
    <n v="4287"/>
    <n v="256232"/>
    <n v="-1.1528706479133066E-2"/>
    <n v="1.1390227528025765E-2"/>
  </r>
  <r>
    <x v="21"/>
    <x v="1"/>
    <n v="4565"/>
    <n v="326170"/>
    <n v="-4.5777591973244158E-2"/>
    <n v="1.4538125430640481E-2"/>
  </r>
  <r>
    <x v="21"/>
    <x v="2"/>
    <n v="1255"/>
    <n v="204239.18979340579"/>
    <n v="7.0819112627986458E-2"/>
    <n v="2.3727535519407539E-2"/>
  </r>
  <r>
    <x v="21"/>
    <x v="3"/>
    <n v="3838"/>
    <n v="293787"/>
    <n v="-2.8108381868827581E-2"/>
    <n v="1.1415186477189865E-2"/>
  </r>
  <r>
    <x v="21"/>
    <x v="4"/>
    <n v="3956"/>
    <n v="275176.24553046102"/>
    <n v="-4.9723756906077332E-2"/>
    <n v="1.3685318916100364E-2"/>
  </r>
  <r>
    <x v="21"/>
    <x v="5"/>
    <n v="2434"/>
    <n v="289711.73171745968"/>
    <n v="-4.1732283464566922E-2"/>
    <n v="1.5716581387737572E-2"/>
  </r>
  <r>
    <x v="21"/>
    <x v="6"/>
    <n v="476"/>
    <n v="159785.937546264"/>
    <n v="-0.10188679245283017"/>
    <n v="1.5219060887274427E-2"/>
  </r>
  <r>
    <x v="21"/>
    <x v="7"/>
    <n v="5276"/>
    <n v="555672.40852921503"/>
    <n v="-7.794477455435167E-2"/>
    <n v="2.3873992834813729E-2"/>
  </r>
  <r>
    <x v="21"/>
    <x v="8"/>
    <n v="3936"/>
    <n v="248434.6984776"/>
    <n v="-2.8148148148148144E-2"/>
    <n v="1.6958504893777926E-2"/>
  </r>
  <r>
    <x v="21"/>
    <x v="9"/>
    <n v="4211"/>
    <n v="291686.34427841782"/>
    <n v="-3.1508739650414008E-2"/>
    <n v="1.4863933431521703E-2"/>
  </r>
  <r>
    <x v="21"/>
    <x v="10"/>
    <n v="3965"/>
    <n v="265469.06839972612"/>
    <n v="-6.8811648661343372E-2"/>
    <n v="1.7586782105606602E-2"/>
  </r>
  <r>
    <x v="21"/>
    <x v="11"/>
    <n v="455"/>
    <n v="0"/>
    <n v="-2.5695931477516032E-2"/>
    <s v=""/>
  </r>
  <r>
    <x v="22"/>
    <x v="0"/>
    <n v="4143"/>
    <n v="258976.40443368099"/>
    <n v="-3.3589923023093049E-2"/>
    <n v="1.0710623316685597E-2"/>
  </r>
  <r>
    <x v="22"/>
    <x v="1"/>
    <n v="4438"/>
    <n v="330302.86080593202"/>
    <n v="-2.7820372398685622E-2"/>
    <n v="1.2670879620848119E-2"/>
  </r>
  <r>
    <x v="22"/>
    <x v="2"/>
    <n v="1214"/>
    <n v="207782.7273838"/>
    <n v="-3.266932270916334E-2"/>
    <n v="1.7349939519338164E-2"/>
  </r>
  <r>
    <x v="22"/>
    <x v="3"/>
    <n v="3729"/>
    <n v="298124.974818199"/>
    <n v="-2.8400208441896835E-2"/>
    <n v="1.4765713997552554E-2"/>
  </r>
  <r>
    <x v="22"/>
    <x v="4"/>
    <n v="3794"/>
    <n v="279581.36686801759"/>
    <n v="-4.0950455005055564E-2"/>
    <n v="1.6008363400208392E-2"/>
  </r>
  <r>
    <x v="22"/>
    <x v="5"/>
    <n v="2334"/>
    <n v="292388.12739667401"/>
    <n v="-4.1084634346754356E-2"/>
    <n v="9.2381335866111858E-3"/>
  </r>
  <r>
    <x v="22"/>
    <x v="6"/>
    <n v="465"/>
    <n v="161645.5357903064"/>
    <n v="-2.3109243697479021E-2"/>
    <n v="1.1638059472561357E-2"/>
  </r>
  <r>
    <x v="22"/>
    <x v="7"/>
    <n v="5051"/>
    <n v="556712.36456874479"/>
    <n v="-4.264594389689158E-2"/>
    <n v="1.8715272228153612E-3"/>
  </r>
  <r>
    <x v="22"/>
    <x v="8"/>
    <n v="3787"/>
    <n v="250776.498061486"/>
    <n v="-3.7855691056910556E-2"/>
    <n v="9.4262178280106745E-3"/>
  </r>
  <r>
    <x v="22"/>
    <x v="9"/>
    <n v="4120"/>
    <n v="295671.37932612142"/>
    <n v="-2.1610068867252474E-2"/>
    <n v="1.3662055580839327E-2"/>
  </r>
  <r>
    <x v="22"/>
    <x v="10"/>
    <n v="3864"/>
    <n v="271211.70766656921"/>
    <n v="-2.5472887767969743E-2"/>
    <n v="2.1632046631497648E-2"/>
  </r>
  <r>
    <x v="22"/>
    <x v="11"/>
    <n v="0"/>
    <n v="217795.9708053146"/>
    <n v="-1"/>
    <s v=""/>
  </r>
  <r>
    <x v="23"/>
    <x v="0"/>
    <n v="3736"/>
    <n v="267946.63172765332"/>
    <n v="-9.8237991793386437E-2"/>
    <n v="3.4637237757578987E-2"/>
  </r>
  <r>
    <x v="23"/>
    <x v="1"/>
    <n v="4084"/>
    <n v="340527.33672739542"/>
    <n v="-7.9765660207300582E-2"/>
    <n v="3.095485124323738E-2"/>
  </r>
  <r>
    <x v="23"/>
    <x v="2"/>
    <n v="1018"/>
    <n v="209952.13364457179"/>
    <n v="-0.16144975288303132"/>
    <n v="1.0440743983327616E-2"/>
  </r>
  <r>
    <x v="23"/>
    <x v="3"/>
    <n v="3454"/>
    <n v="301307.60404216993"/>
    <n v="-7.3746312684365822E-2"/>
    <n v="1.0675486768298326E-2"/>
  </r>
  <r>
    <x v="23"/>
    <x v="4"/>
    <n v="3524"/>
    <n v="283948.77177602582"/>
    <n v="-7.1164997364259408E-2"/>
    <n v="1.5621230259132313E-2"/>
  </r>
  <r>
    <x v="23"/>
    <x v="5"/>
    <n v="2076"/>
    <n v="301531.94290582743"/>
    <n v="-0.11053984575835474"/>
    <n v="3.1272868671402332E-2"/>
  </r>
  <r>
    <x v="23"/>
    <x v="6"/>
    <n v="435"/>
    <n v="170210.68660550661"/>
    <n v="-6.4516129032258118E-2"/>
    <n v="5.2987240094964916E-2"/>
  </r>
  <r>
    <x v="23"/>
    <x v="7"/>
    <n v="4645"/>
    <n v="566412.42145575269"/>
    <n v="-8.0380122747970684E-2"/>
    <n v="1.7423821535780037E-2"/>
  </r>
  <r>
    <x v="23"/>
    <x v="8"/>
    <n v="3421"/>
    <n v="257687.7018565388"/>
    <n v="-9.6646421969897034E-2"/>
    <n v="2.7559216467558656E-2"/>
  </r>
  <r>
    <x v="23"/>
    <x v="9"/>
    <n v="3707"/>
    <n v="301752.70797902631"/>
    <n v="-0.10024271844660193"/>
    <n v="2.0567863777566586E-2"/>
  </r>
  <r>
    <x v="23"/>
    <x v="10"/>
    <n v="3497"/>
    <n v="276059.69586917787"/>
    <n v="-9.497929606625255E-2"/>
    <n v="1.7875291020138517E-2"/>
  </r>
  <r>
    <x v="23"/>
    <x v="11"/>
    <n v="458"/>
    <n v="221735.64023842389"/>
    <s v=""/>
    <n v="1.8088807697140163E-2"/>
  </r>
  <r>
    <x v="24"/>
    <x v="0"/>
    <n v="4066"/>
    <n v="270974.11240620178"/>
    <n v="8.8329764453961346E-2"/>
    <n v="1.1298819690428674E-2"/>
  </r>
  <r>
    <x v="24"/>
    <x v="1"/>
    <n v="4474"/>
    <n v="346948.1862733243"/>
    <n v="9.5494613124387895E-2"/>
    <n v="1.8855606741108755E-2"/>
  </r>
  <r>
    <x v="24"/>
    <x v="2"/>
    <n v="1187"/>
    <n v="212581.93896508319"/>
    <n v="0.16601178781925352"/>
    <n v="1.2525737532933956E-2"/>
  </r>
  <r>
    <x v="24"/>
    <x v="3"/>
    <n v="3790"/>
    <n v="306540.32746884797"/>
    <n v="9.7278517660683184E-2"/>
    <n v="1.7366715464458338E-2"/>
  </r>
  <r>
    <x v="24"/>
    <x v="4"/>
    <n v="3808"/>
    <n v="287890.35994628642"/>
    <n v="8.0590238365493727E-2"/>
    <n v="1.3881335515582682E-2"/>
  </r>
  <r>
    <x v="24"/>
    <x v="5"/>
    <n v="2350"/>
    <n v="306505.3299040483"/>
    <n v="0.13198458574181116"/>
    <n v="1.6493731809283485E-2"/>
  </r>
  <r>
    <x v="24"/>
    <x v="6"/>
    <n v="462"/>
    <n v="174859.56953524469"/>
    <n v="6.2068965517241281E-2"/>
    <n v="2.7312520867227796E-2"/>
  </r>
  <r>
    <x v="24"/>
    <x v="7"/>
    <n v="4969"/>
    <n v="581480.31554015295"/>
    <n v="6.9752421959095701E-2"/>
    <n v="2.6602336943236216E-2"/>
  </r>
  <r>
    <x v="24"/>
    <x v="8"/>
    <n v="3763"/>
    <n v="262051.61598266201"/>
    <n v="9.9970768781058261E-2"/>
    <n v="1.6934894815247015E-2"/>
  </r>
  <r>
    <x v="24"/>
    <x v="9"/>
    <n v="3960"/>
    <n v="307307.36865101598"/>
    <n v="6.8249258160237414E-2"/>
    <n v="1.8407989473207209E-2"/>
  </r>
  <r>
    <x v="24"/>
    <x v="10"/>
    <n v="4004"/>
    <n v="279253.82993361098"/>
    <n v="0.14498141263940512"/>
    <n v="1.1570446944007218E-2"/>
  </r>
  <r>
    <x v="24"/>
    <x v="11"/>
    <n v="518"/>
    <n v="223597.34755542799"/>
    <n v="0.13100436681222716"/>
    <n v="8.3960671139844401E-3"/>
  </r>
  <r>
    <x v="25"/>
    <x v="0"/>
    <n v="3814"/>
    <n v="278463.86159667029"/>
    <n v="-6.1977373339891839E-2"/>
    <n v="2.7640091239568454E-2"/>
  </r>
  <r>
    <x v="25"/>
    <x v="1"/>
    <n v="4342"/>
    <n v="363085.50828029233"/>
    <n v="-2.9503799731783631E-2"/>
    <n v="4.6512195899635289E-2"/>
  </r>
  <r>
    <x v="25"/>
    <x v="2"/>
    <n v="1035"/>
    <n v="221724.66943999371"/>
    <n v="-0.12805391743892169"/>
    <n v="4.3008030312547962E-2"/>
  </r>
  <r>
    <x v="25"/>
    <x v="3"/>
    <n v="3672"/>
    <n v="320968.52090053831"/>
    <n v="-3.1134564643799489E-2"/>
    <n v="4.7067847649365557E-2"/>
  </r>
  <r>
    <x v="25"/>
    <x v="4"/>
    <n v="3632"/>
    <n v="296364.80183482671"/>
    <n v="-4.621848739495793E-2"/>
    <n v="2.9436351707370134E-2"/>
  </r>
  <r>
    <x v="25"/>
    <x v="5"/>
    <n v="2221"/>
    <n v="317477.79596749821"/>
    <n v="-5.4893617021276597E-2"/>
    <n v="3.579861422600672E-2"/>
  </r>
  <r>
    <x v="25"/>
    <x v="6"/>
    <n v="491"/>
    <n v="179453.84332747641"/>
    <n v="6.277056277056281E-2"/>
    <n v="2.6274076988995976E-2"/>
  </r>
  <r>
    <x v="25"/>
    <x v="7"/>
    <n v="4989"/>
    <n v="614649.65555774572"/>
    <n v="4.0249547192594548E-3"/>
    <n v="5.7042928421026318E-2"/>
  </r>
  <r>
    <x v="25"/>
    <x v="8"/>
    <n v="3548"/>
    <n v="270818.45032309112"/>
    <n v="-5.7135264416688814E-2"/>
    <n v="3.3454608961499988E-2"/>
  </r>
  <r>
    <x v="25"/>
    <x v="9"/>
    <n v="3645"/>
    <n v="320210.02967514237"/>
    <n v="-7.9545454545454586E-2"/>
    <n v="4.1986175212020083E-2"/>
  </r>
  <r>
    <x v="25"/>
    <x v="10"/>
    <n v="3818"/>
    <n v="289946.48951570521"/>
    <n v="-4.645354645354649E-2"/>
    <n v="3.8290108983057625E-2"/>
  </r>
  <r>
    <x v="25"/>
    <x v="11"/>
    <n v="542"/>
    <n v="226435.23676572871"/>
    <n v="4.6332046332046239E-2"/>
    <n v="1.2691962768463627E-2"/>
  </r>
  <r>
    <x v="26"/>
    <x v="0"/>
    <n v="3544"/>
    <n v="280226.01933808258"/>
    <n v="-7.0791819611955908E-2"/>
    <n v="6.3281379900010926E-3"/>
  </r>
  <r>
    <x v="26"/>
    <x v="1"/>
    <n v="3957"/>
    <n v="367420.52702621918"/>
    <n v="-8.8668816213726354E-2"/>
    <n v="1.1939387959764902E-2"/>
  </r>
  <r>
    <x v="26"/>
    <x v="2"/>
    <n v="893"/>
    <n v="224159.74462695079"/>
    <n v="-0.13719806763285025"/>
    <n v="1.0982427860225519E-2"/>
  </r>
  <r>
    <x v="26"/>
    <x v="3"/>
    <n v="3319"/>
    <n v="327258.34607007517"/>
    <n v="-9.6132897603485867E-2"/>
    <n v="1.9596392667696971E-2"/>
  </r>
  <r>
    <x v="26"/>
    <x v="4"/>
    <n v="3131"/>
    <n v="297827.46372484748"/>
    <n v="-0.13794052863436124"/>
    <n v="4.9353427970031394E-3"/>
  </r>
  <r>
    <x v="26"/>
    <x v="5"/>
    <n v="2045"/>
    <n v="317865.33061718981"/>
    <n v="-7.9243583971184139E-2"/>
    <n v="1.2206669399055237E-3"/>
  </r>
  <r>
    <x v="26"/>
    <x v="6"/>
    <n v="430"/>
    <n v="179428.2809239756"/>
    <n v="-0.12423625254582482"/>
    <n v="-1.4244556163756084E-4"/>
  </r>
  <r>
    <x v="26"/>
    <x v="7"/>
    <n v="4684"/>
    <n v="611145.75765048899"/>
    <n v="-6.1134495890960094E-2"/>
    <n v="-5.7006424319513416E-3"/>
  </r>
  <r>
    <x v="26"/>
    <x v="8"/>
    <n v="3190"/>
    <n v="273327.71999100369"/>
    <n v="-0.10090191657271708"/>
    <n v="9.2655048609833202E-3"/>
  </r>
  <r>
    <x v="26"/>
    <x v="9"/>
    <n v="3243"/>
    <n v="324283.56090027408"/>
    <n v="-0.11028806584362139"/>
    <n v="1.2721435456797936E-2"/>
  </r>
  <r>
    <x v="26"/>
    <x v="10"/>
    <n v="3297"/>
    <n v="293908.62513073621"/>
    <n v="-0.13645887899423781"/>
    <n v="1.3665058065193136E-2"/>
  </r>
  <r>
    <x v="26"/>
    <x v="11"/>
    <n v="494"/>
    <n v="227738.3632656353"/>
    <n v="-8.856088560885611E-2"/>
    <n v="5.7549633993352334E-3"/>
  </r>
  <r>
    <x v="27"/>
    <x v="0"/>
    <n v="3839"/>
    <n v="275858.12621868192"/>
    <n v="8.3239277652370269E-2"/>
    <n v="-1.5587036242094787E-2"/>
  </r>
  <r>
    <x v="27"/>
    <x v="1"/>
    <n v="4248"/>
    <n v="359294.42630135908"/>
    <n v="7.3540561031084195E-2"/>
    <n v="-2.2116621492626165E-2"/>
  </r>
  <r>
    <x v="27"/>
    <x v="2"/>
    <n v="963"/>
    <n v="224950.51592621111"/>
    <n v="7.838745800671898E-2"/>
    <n v="3.527713241181285E-3"/>
  </r>
  <r>
    <x v="27"/>
    <x v="3"/>
    <n v="3715"/>
    <n v="321220.19261946628"/>
    <n v="0.11931304609822235"/>
    <n v="-1.8450724093422965E-2"/>
  </r>
  <r>
    <x v="27"/>
    <x v="4"/>
    <n v="3500"/>
    <n v="293393.42577519623"/>
    <n v="0.11785372085595647"/>
    <n v="-1.4887941810993288E-2"/>
  </r>
  <r>
    <x v="27"/>
    <x v="5"/>
    <n v="2324"/>
    <n v="314491.06933455681"/>
    <n v="0.13643031784841075"/>
    <n v="-1.06153800292762E-2"/>
  </r>
  <r>
    <x v="27"/>
    <x v="6"/>
    <n v="505"/>
    <n v="177505.728807262"/>
    <n v="0.17441860465116288"/>
    <n v="-1.0714877871054185E-2"/>
  </r>
  <r>
    <x v="27"/>
    <x v="7"/>
    <n v="5078"/>
    <n v="582476.15835085395"/>
    <n v="8.4116140051238242E-2"/>
    <n v="-4.6911230161939543E-2"/>
  </r>
  <r>
    <x v="27"/>
    <x v="8"/>
    <n v="3566"/>
    <n v="270054.66578569799"/>
    <n v="0.11786833855799372"/>
    <n v="-1.1974834478601148E-2"/>
  </r>
  <r>
    <x v="27"/>
    <x v="9"/>
    <n v="3657"/>
    <n v="318190.26654221967"/>
    <n v="0.12765957446808507"/>
    <n v="-1.8790019269364855E-2"/>
  </r>
  <r>
    <x v="27"/>
    <x v="10"/>
    <n v="3710"/>
    <n v="290264.32717697421"/>
    <n v="0.12526539278131632"/>
    <n v="-1.2399424998640107E-2"/>
  </r>
  <r>
    <x v="27"/>
    <x v="11"/>
    <n v="501"/>
    <n v="223917.70895399069"/>
    <n v="1.4170040485830038E-2"/>
    <n v="-1.6776507290465537E-2"/>
  </r>
  <r>
    <x v="28"/>
    <x v="0"/>
    <n v="4363"/>
    <n v="272522.22327429499"/>
    <n v="0.13649387861422246"/>
    <n v="-1.2092821009530241E-2"/>
  </r>
  <r>
    <x v="28"/>
    <x v="1"/>
    <n v="4886"/>
    <n v="348500.65509742312"/>
    <n v="0.15018832391713755"/>
    <n v="-3.0041577084980009E-2"/>
  </r>
  <r>
    <x v="28"/>
    <x v="2"/>
    <n v="1088"/>
    <n v="223068.0169433133"/>
    <n v="0.12980269989615789"/>
    <n v="-8.3685026244407767E-3"/>
  </r>
  <r>
    <x v="28"/>
    <x v="3"/>
    <n v="4146"/>
    <n v="314573.90563794709"/>
    <n v="0.11601615074024219"/>
    <n v="-2.0690750875032027E-2"/>
  </r>
  <r>
    <x v="28"/>
    <x v="4"/>
    <n v="4008"/>
    <n v="294060.66383427603"/>
    <n v="0.14514285714285724"/>
    <n v="2.2742093055316825E-3"/>
  </r>
  <r>
    <x v="28"/>
    <x v="5"/>
    <n v="2578"/>
    <n v="306747.44519740611"/>
    <n v="0.10929432013769369"/>
    <n v="-2.4622715530637218E-2"/>
  </r>
  <r>
    <x v="28"/>
    <x v="6"/>
    <n v="558"/>
    <n v="172695.16443705879"/>
    <n v="0.10495049504950504"/>
    <n v="-2.7100896419104181E-2"/>
  </r>
  <r>
    <x v="28"/>
    <x v="7"/>
    <n v="5504"/>
    <n v="561015.95666451391"/>
    <n v="8.3891295785742503E-2"/>
    <n v="-3.68430559408639E-2"/>
  </r>
  <r>
    <x v="28"/>
    <x v="8"/>
    <n v="4048"/>
    <n v="265723.44464542938"/>
    <n v="0.13516545148625903"/>
    <n v="-1.6038312567817847E-2"/>
  </r>
  <r>
    <x v="28"/>
    <x v="9"/>
    <n v="4314"/>
    <n v="312344.65072477132"/>
    <n v="0.1796554552912224"/>
    <n v="-1.837144762777565E-2"/>
  </r>
  <r>
    <x v="28"/>
    <x v="10"/>
    <n v="4269"/>
    <n v="285898.24451545969"/>
    <n v="0.1506738544474393"/>
    <n v="-1.50417473065938E-2"/>
  </r>
  <r>
    <x v="28"/>
    <x v="11"/>
    <n v="605"/>
    <n v="220589.88778040101"/>
    <n v="0.20758483033932129"/>
    <n v="-1.4861804317020111E-2"/>
  </r>
  <r>
    <x v="29"/>
    <x v="0"/>
    <n v="4660"/>
    <n v="269980.5322232318"/>
    <n v="6.8072427228971E-2"/>
    <n v="-9.3265459988008947E-3"/>
  </r>
  <r>
    <x v="29"/>
    <x v="1"/>
    <n v="5282"/>
    <n v="343912.83252685261"/>
    <n v="8.1047891936144145E-2"/>
    <n v="-1.3164458957151681E-2"/>
  </r>
  <r>
    <x v="29"/>
    <x v="2"/>
    <n v="1210"/>
    <n v="218829.20562310121"/>
    <n v="0.11213235294117641"/>
    <n v="-1.9002326636943456E-2"/>
  </r>
  <r>
    <x v="29"/>
    <x v="3"/>
    <n v="4412"/>
    <n v="308423.61822482687"/>
    <n v="6.415822479498301E-2"/>
    <n v="-1.9551168430984811E-2"/>
  </r>
  <r>
    <x v="29"/>
    <x v="4"/>
    <n v="4259"/>
    <n v="288945.80174840608"/>
    <n v="6.2624750499002069E-2"/>
    <n v="-1.7393901037891069E-2"/>
  </r>
  <r>
    <x v="29"/>
    <x v="5"/>
    <n v="2799"/>
    <n v="302028.76333584398"/>
    <n v="8.5725368502715282E-2"/>
    <n v="-1.5382954073261956E-2"/>
  </r>
  <r>
    <x v="29"/>
    <x v="6"/>
    <n v="597"/>
    <n v="173119.69770832741"/>
    <n v="6.9892473118279508E-2"/>
    <n v="2.4582811722173581E-3"/>
  </r>
  <r>
    <x v="29"/>
    <x v="7"/>
    <n v="5763"/>
    <n v="560227.79481246381"/>
    <n v="4.7056686046511587E-2"/>
    <n v="-1.4048831279881435E-3"/>
  </r>
  <r>
    <x v="29"/>
    <x v="8"/>
    <n v="4381"/>
    <n v="263884.01689317689"/>
    <n v="8.2262845849802479E-2"/>
    <n v="-6.9223389554766701E-3"/>
  </r>
  <r>
    <x v="29"/>
    <x v="9"/>
    <n v="4756"/>
    <n v="309244.1348849741"/>
    <n v="0.10245711636532229"/>
    <n v="-9.9265853684470384E-3"/>
  </r>
  <r>
    <x v="29"/>
    <x v="10"/>
    <n v="4581"/>
    <n v="283666.13279055618"/>
    <n v="7.3085031623330909E-2"/>
    <n v="-7.8073642203941862E-3"/>
  </r>
  <r>
    <x v="29"/>
    <x v="11"/>
    <n v="664"/>
    <n v="216946.6580796089"/>
    <n v="9.7520661157024735E-2"/>
    <n v="-1.651585091887342E-2"/>
  </r>
  <r>
    <x v="30"/>
    <x v="0"/>
    <n v="4854"/>
    <n v="268038.24546257441"/>
    <n v="4.1630901287553757E-2"/>
    <n v="-7.1941733896998539E-3"/>
  </r>
  <r>
    <x v="30"/>
    <x v="1"/>
    <n v="5343"/>
    <n v="340004.22844694433"/>
    <n v="1.1548655812192443E-2"/>
    <n v="-1.1365101008852574E-2"/>
  </r>
  <r>
    <x v="30"/>
    <x v="2"/>
    <n v="1262"/>
    <n v="217394.79671944631"/>
    <n v="4.2975206611570282E-2"/>
    <n v="-6.5549244195742817E-3"/>
  </r>
  <r>
    <x v="30"/>
    <x v="3"/>
    <n v="4509"/>
    <n v="308092.55807605002"/>
    <n v="2.1985494106981029E-2"/>
    <n v="-1.0733942837527488E-3"/>
  </r>
  <r>
    <x v="30"/>
    <x v="4"/>
    <n v="4356"/>
    <n v="286930.18072477228"/>
    <n v="2.2775299366048385E-2"/>
    <n v="-6.9757754272161687E-3"/>
  </r>
  <r>
    <x v="30"/>
    <x v="5"/>
    <n v="2901"/>
    <n v="301502.58819331578"/>
    <n v="3.6441586280814509E-2"/>
    <n v="-1.7421358704936551E-3"/>
  </r>
  <r>
    <x v="30"/>
    <x v="6"/>
    <n v="613"/>
    <n v="173425.58342890229"/>
    <n v="2.6800670016750461E-2"/>
    <n v="1.7669030423692611E-3"/>
  </r>
  <r>
    <x v="30"/>
    <x v="7"/>
    <n v="5700"/>
    <n v="556845.13157476194"/>
    <n v="-1.0931806350858886E-2"/>
    <n v="-6.0380139454420112E-3"/>
  </r>
  <r>
    <x v="30"/>
    <x v="8"/>
    <n v="4489"/>
    <n v="263479.18276773021"/>
    <n v="2.4651905957543851E-2"/>
    <n v="-1.5341365885398472E-3"/>
  </r>
  <r>
    <x v="30"/>
    <x v="9"/>
    <n v="4923"/>
    <n v="308834.37533444568"/>
    <n v="3.5113540790580267E-2"/>
    <n v="-1.3250358027997455E-3"/>
  </r>
  <r>
    <x v="30"/>
    <x v="10"/>
    <n v="4833"/>
    <n v="282502.1327105618"/>
    <n v="5.5009823182711193E-2"/>
    <n v="-4.1034157604348254E-3"/>
  </r>
  <r>
    <x v="30"/>
    <x v="11"/>
    <n v="703"/>
    <n v="217039.433850556"/>
    <n v="5.8734939759036209E-2"/>
    <n v="4.2764323621469202E-4"/>
  </r>
  <r>
    <x v="31"/>
    <x v="0"/>
    <n v="5392"/>
    <n v="266117.43562820752"/>
    <n v="0.11083642356819112"/>
    <n v="-7.1661782110683525E-3"/>
  </r>
  <r>
    <x v="31"/>
    <x v="1"/>
    <n v="5886"/>
    <n v="336424.29970319528"/>
    <n v="0.10162829870859058"/>
    <n v="-1.0529071241558552E-2"/>
  </r>
  <r>
    <x v="31"/>
    <x v="2"/>
    <n v="1442"/>
    <n v="219142.34026592321"/>
    <n v="0.14263074484944527"/>
    <n v="8.0385711748756083E-3"/>
  </r>
  <r>
    <x v="31"/>
    <x v="3"/>
    <n v="4984"/>
    <n v="307037.0851852576"/>
    <n v="0.10534486582390779"/>
    <n v="-3.4258305276295697E-3"/>
  </r>
  <r>
    <x v="31"/>
    <x v="4"/>
    <n v="4848"/>
    <n v="285504.26702068438"/>
    <n v="0.11294765840220378"/>
    <n v="-4.9695493882383479E-3"/>
  </r>
  <r>
    <x v="31"/>
    <x v="5"/>
    <n v="3264"/>
    <n v="299742.17782187578"/>
    <n v="0.12512926577042394"/>
    <n v="-5.838790247171155E-3"/>
  </r>
  <r>
    <x v="31"/>
    <x v="6"/>
    <n v="649"/>
    <n v="172950.42462868241"/>
    <n v="5.8727569331158191E-2"/>
    <n v="-2.7398425931470793E-3"/>
  </r>
  <r>
    <x v="31"/>
    <x v="7"/>
    <n v="6098"/>
    <n v="546331.8309059419"/>
    <n v="6.9824561403508678E-2"/>
    <n v="-1.8880115983214818E-2"/>
  </r>
  <r>
    <x v="31"/>
    <x v="8"/>
    <n v="4962"/>
    <n v="262155.09597327432"/>
    <n v="0.10536867899309432"/>
    <n v="-5.0253943425319081E-3"/>
  </r>
  <r>
    <x v="31"/>
    <x v="9"/>
    <n v="5460"/>
    <n v="306233.1175945258"/>
    <n v="0.10907982937233385"/>
    <n v="-8.4228244899969829E-3"/>
  </r>
  <r>
    <x v="31"/>
    <x v="10"/>
    <n v="5354"/>
    <n v="283201.69586318691"/>
    <n v="0.10780053796813571"/>
    <n v="2.4763110490986229E-3"/>
  </r>
  <r>
    <x v="31"/>
    <x v="11"/>
    <n v="752"/>
    <n v="213455.49847557559"/>
    <n v="6.970128022759603E-2"/>
    <n v="-1.6512830463095263E-2"/>
  </r>
  <r>
    <x v="32"/>
    <x v="0"/>
    <n v="5520"/>
    <n v="261889.18829567861"/>
    <n v="2.3738872403560762E-2"/>
    <n v="-1.5888652025176531E-2"/>
  </r>
  <r>
    <x v="32"/>
    <x v="1"/>
    <n v="6034"/>
    <n v="330306.84382925881"/>
    <n v="2.5144410465511413E-2"/>
    <n v="-1.8183751528452308E-2"/>
  </r>
  <r>
    <x v="32"/>
    <x v="2"/>
    <n v="1461"/>
    <n v="218235.13738975261"/>
    <n v="1.3176144244105403E-2"/>
    <n v="-4.1397882082929716E-3"/>
  </r>
  <r>
    <x v="32"/>
    <x v="3"/>
    <n v="5141"/>
    <n v="301857.90412314358"/>
    <n v="3.1500802568218189E-2"/>
    <n v="-1.686825895637023E-2"/>
  </r>
  <r>
    <x v="32"/>
    <x v="4"/>
    <n v="5071"/>
    <n v="281794.19893284788"/>
    <n v="4.599834983498341E-2"/>
    <n v="-1.2994790328537231E-2"/>
  </r>
  <r>
    <x v="32"/>
    <x v="5"/>
    <n v="3390"/>
    <n v="295218.10880760069"/>
    <n v="3.8602941176470562E-2"/>
    <n v="-1.5093201254324562E-2"/>
  </r>
  <r>
    <x v="32"/>
    <x v="6"/>
    <n v="653"/>
    <n v="171117.59397983059"/>
    <n v="6.1633281972264253E-3"/>
    <n v="-1.0597433644854215E-2"/>
  </r>
  <r>
    <x v="32"/>
    <x v="7"/>
    <n v="6450"/>
    <n v="540294.95933754591"/>
    <n v="5.7723843883240367E-2"/>
    <n v="-1.1049825814442249E-2"/>
  </r>
  <r>
    <x v="32"/>
    <x v="8"/>
    <n v="5129"/>
    <n v="259166.2479942012"/>
    <n v="3.3655783958081331E-2"/>
    <n v="-1.1401067631269024E-2"/>
  </r>
  <r>
    <x v="32"/>
    <x v="9"/>
    <n v="5771"/>
    <n v="301531.71527971758"/>
    <n v="5.6959706959706979E-2"/>
    <n v="-1.5352364080468917E-2"/>
  </r>
  <r>
    <x v="32"/>
    <x v="10"/>
    <n v="5459"/>
    <n v="278112.6184314813"/>
    <n v="1.961150541651091E-2"/>
    <n v="-1.7969798578339358E-2"/>
  </r>
  <r>
    <x v="32"/>
    <x v="11"/>
    <n v="772"/>
    <n v="208951.3651929319"/>
    <n v="2.659574468085113E-2"/>
    <n v="-2.1101041270010001E-2"/>
  </r>
  <r>
    <x v="33"/>
    <x v="0"/>
    <n v="5411"/>
    <n v="258588.9765727123"/>
    <n v="-1.9746376811594191E-2"/>
    <n v="-1.2601557721582224E-2"/>
  </r>
  <r>
    <x v="33"/>
    <x v="1"/>
    <n v="5864"/>
    <n v="326518.66673538182"/>
    <n v="-2.8173682466025807E-2"/>
    <n v="-1.1468660624649907E-2"/>
  </r>
  <r>
    <x v="33"/>
    <x v="2"/>
    <n v="1383"/>
    <n v="213383.53864553969"/>
    <n v="-5.3388090349075989E-2"/>
    <n v="-2.2231061424120235E-2"/>
  </r>
  <r>
    <x v="33"/>
    <x v="3"/>
    <n v="5135"/>
    <n v="298853.75503415312"/>
    <n v="-1.167088115152648E-3"/>
    <n v="-9.9521962087331106E-3"/>
  </r>
  <r>
    <x v="33"/>
    <x v="4"/>
    <n v="4985"/>
    <n v="278597.23265815148"/>
    <n v="-1.6959179648984413E-2"/>
    <n v="-1.1345039347166463E-2"/>
  </r>
  <r>
    <x v="33"/>
    <x v="5"/>
    <n v="3374"/>
    <n v="290013.10981768259"/>
    <n v="-4.71976401179941E-3"/>
    <n v="-1.7631028838106633E-2"/>
  </r>
  <r>
    <x v="33"/>
    <x v="6"/>
    <n v="652"/>
    <n v="169378.69014830299"/>
    <n v="-1.5313935681470214E-3"/>
    <n v="-1.016203998130405E-2"/>
  </r>
  <r>
    <x v="33"/>
    <x v="7"/>
    <n v="6518"/>
    <n v="537600.66520599893"/>
    <n v="1.0542635658914667E-2"/>
    <n v="-4.9867097313853748E-3"/>
  </r>
  <r>
    <x v="33"/>
    <x v="8"/>
    <n v="5121"/>
    <n v="255999.51713306949"/>
    <n v="-1.5597582374732299E-3"/>
    <n v="-1.2218916952498216E-2"/>
  </r>
  <r>
    <x v="33"/>
    <x v="9"/>
    <n v="5673"/>
    <n v="299035.41672953381"/>
    <n v="-1.6981459019234091E-2"/>
    <n v="-8.2787263285656332E-3"/>
  </r>
  <r>
    <x v="33"/>
    <x v="10"/>
    <n v="5331"/>
    <n v="274615.69143664488"/>
    <n v="-2.3447517860413991E-2"/>
    <n v="-1.2573780415137681E-2"/>
  </r>
  <r>
    <x v="33"/>
    <x v="11"/>
    <n v="739"/>
    <n v="204943.3550358896"/>
    <n v="-4.2746113989637347E-2"/>
    <n v="-1.9181545683329526E-2"/>
  </r>
  <r>
    <x v="34"/>
    <x v="0"/>
    <n v="5176"/>
    <n v="258297.76694470219"/>
    <n v="-4.3430049898355194E-2"/>
    <n v="-1.1261486544003052E-3"/>
  </r>
  <r>
    <x v="34"/>
    <x v="1"/>
    <n v="5684"/>
    <n v="324768.07093273278"/>
    <n v="-3.0695770804911371E-2"/>
    <n v="-5.3613957822135072E-3"/>
  </r>
  <r>
    <x v="34"/>
    <x v="2"/>
    <n v="1450"/>
    <n v="213351.93392868809"/>
    <n v="4.8445408532176382E-2"/>
    <n v="-1.4811225388899896E-4"/>
  </r>
  <r>
    <x v="34"/>
    <x v="3"/>
    <n v="5116"/>
    <n v="296416.32505120052"/>
    <n v="-3.700097370983424E-3"/>
    <n v="-8.1559289180557215E-3"/>
  </r>
  <r>
    <x v="34"/>
    <x v="4"/>
    <n v="4728"/>
    <n v="275840.2238329539"/>
    <n v="-5.1554663991975946E-2"/>
    <n v="-9.8960380865682485E-3"/>
  </r>
  <r>
    <x v="34"/>
    <x v="5"/>
    <n v="3261"/>
    <n v="289305.56698198023"/>
    <n v="-3.3491404860699459E-2"/>
    <n v="-2.4396925923354518E-3"/>
  </r>
  <r>
    <x v="34"/>
    <x v="6"/>
    <n v="632"/>
    <n v="166884.05761793401"/>
    <n v="-3.0674846625766916E-2"/>
    <n v="-1.4728136864116448E-2"/>
  </r>
  <r>
    <x v="34"/>
    <x v="7"/>
    <n v="6326"/>
    <n v="536836.10728846374"/>
    <n v="-2.9456888616139931E-2"/>
    <n v="-1.4221669856793184E-3"/>
  </r>
  <r>
    <x v="34"/>
    <x v="8"/>
    <n v="4901"/>
    <n v="253290.11788260931"/>
    <n v="-4.2960359304823226E-2"/>
    <n v="-1.0583610784905551E-2"/>
  </r>
  <r>
    <x v="34"/>
    <x v="9"/>
    <n v="5370"/>
    <n v="296629.6945765338"/>
    <n v="-5.3410893707033336E-2"/>
    <n v="-8.0449405602543989E-3"/>
  </r>
  <r>
    <x v="34"/>
    <x v="10"/>
    <n v="5019"/>
    <n v="272147.78095598659"/>
    <n v="-5.8525604952166521E-2"/>
    <n v="-8.9867788244272218E-3"/>
  </r>
  <r>
    <x v="34"/>
    <x v="11"/>
    <n v="691"/>
    <n v="204795.37573730879"/>
    <n v="-6.4952638700947252E-2"/>
    <n v="-7.2204975152723172E-4"/>
  </r>
  <r>
    <x v="35"/>
    <x v="0"/>
    <n v="4868"/>
    <n v="259332.9226559925"/>
    <n v="-5.950540958268935E-2"/>
    <n v="4.0076061188401013E-3"/>
  </r>
  <r>
    <x v="35"/>
    <x v="1"/>
    <n v="5442"/>
    <n v="326279.82855966821"/>
    <n v="-4.2575650950035238E-2"/>
    <n v="4.6548837839681667E-3"/>
  </r>
  <r>
    <x v="35"/>
    <x v="2"/>
    <n v="1426"/>
    <n v="214267.87892695851"/>
    <n v="-1.6551724137931045E-2"/>
    <n v="4.2931178611982368E-3"/>
  </r>
  <r>
    <x v="35"/>
    <x v="3"/>
    <n v="5001"/>
    <n v="296895.23621274339"/>
    <n v="-2.2478498827208759E-2"/>
    <n v="1.6156706667898035E-3"/>
  </r>
  <r>
    <x v="35"/>
    <x v="4"/>
    <n v="4540"/>
    <n v="275615.10457874852"/>
    <n v="-3.9763113367174308E-2"/>
    <n v="-8.1612192405156048E-4"/>
  </r>
  <r>
    <x v="35"/>
    <x v="5"/>
    <n v="3060"/>
    <n v="290651.04610973608"/>
    <n v="-6.1637534498620083E-2"/>
    <n v="4.6507197970360181E-3"/>
  </r>
  <r>
    <x v="35"/>
    <x v="6"/>
    <n v="590"/>
    <n v="166417.40270443531"/>
    <n v="-6.6455696202531667E-2"/>
    <n v="-2.7962821623565004E-3"/>
  </r>
  <r>
    <x v="35"/>
    <x v="7"/>
    <n v="6012"/>
    <n v="538747.59144121234"/>
    <n v="-4.9636421119190643E-2"/>
    <n v="3.560647517551363E-3"/>
  </r>
  <r>
    <x v="35"/>
    <x v="8"/>
    <n v="4681"/>
    <n v="252980.29083724669"/>
    <n v="-4.4888798204448022E-2"/>
    <n v="-1.2232101589775279E-3"/>
  </r>
  <r>
    <x v="35"/>
    <x v="9"/>
    <n v="5119"/>
    <n v="295773.71667826647"/>
    <n v="-4.6741154562383591E-2"/>
    <n v="-2.8856783859394497E-3"/>
  </r>
  <r>
    <x v="35"/>
    <x v="10"/>
    <n v="4865"/>
    <n v="271771.28308731172"/>
    <n v="-3.0683403068340276E-2"/>
    <n v="-1.3834317052019429E-3"/>
  </r>
  <r>
    <x v="35"/>
    <x v="11"/>
    <n v="686"/>
    <n v="206752.47721249229"/>
    <n v="-7.2358900144717797E-3"/>
    <n v="9.5563753240888172E-3"/>
  </r>
  <r>
    <x v="36"/>
    <x v="0"/>
    <n v="5206"/>
    <n v="259473.58519021151"/>
    <n v="6.9433032046014809E-2"/>
    <n v="5.4240137649474995E-4"/>
  </r>
  <r>
    <x v="36"/>
    <x v="1"/>
    <n v="5638"/>
    <n v="322496.14762979379"/>
    <n v="3.6016170525542179E-2"/>
    <n v="-1.1596429195691038E-2"/>
  </r>
  <r>
    <x v="36"/>
    <x v="2"/>
    <n v="1521"/>
    <n v="215088.57304761501"/>
    <n v="6.6619915848527445E-2"/>
    <n v="3.8302246924106775E-3"/>
  </r>
  <r>
    <x v="36"/>
    <x v="3"/>
    <n v="5188"/>
    <n v="297406.94574075512"/>
    <n v="3.7392521495700937E-2"/>
    <n v="1.7235356637552712E-3"/>
  </r>
  <r>
    <x v="36"/>
    <x v="4"/>
    <n v="4691"/>
    <n v="276820.27551149769"/>
    <n v="3.3259911894273131E-2"/>
    <n v="4.3726592364781158E-3"/>
  </r>
  <r>
    <x v="36"/>
    <x v="5"/>
    <n v="3207"/>
    <n v="289313.35217759508"/>
    <n v="4.8039215686274561E-2"/>
    <n v="-4.6024053587474523E-3"/>
  </r>
  <r>
    <x v="36"/>
    <x v="6"/>
    <n v="639"/>
    <n v="167266.13257967349"/>
    <n v="8.3050847457627031E-2"/>
    <n v="5.1000067387516612E-3"/>
  </r>
  <r>
    <x v="36"/>
    <x v="7"/>
    <n v="6277"/>
    <n v="536305.76087202888"/>
    <n v="4.4078509647371922E-2"/>
    <n v="-4.5324203912471273E-3"/>
  </r>
  <r>
    <x v="36"/>
    <x v="8"/>
    <n v="5084"/>
    <n v="252497.7358589184"/>
    <n v="8.6092715231788075E-2"/>
    <n v="-1.9074805263732397E-3"/>
  </r>
  <r>
    <x v="36"/>
    <x v="9"/>
    <n v="5405"/>
    <n v="294978.52411132469"/>
    <n v="5.587028716546194E-2"/>
    <n v="-2.6885166669720073E-3"/>
  </r>
  <r>
    <x v="36"/>
    <x v="10"/>
    <n v="5112"/>
    <n v="271944.71502837329"/>
    <n v="5.0770811921891035E-2"/>
    <n v="6.3815403559708272E-4"/>
  </r>
  <r>
    <x v="36"/>
    <x v="11"/>
    <n v="737"/>
    <n v="207768.78421852109"/>
    <n v="7.4344023323615227E-2"/>
    <n v="4.9155735386148258E-3"/>
  </r>
  <r>
    <x v="37"/>
    <x v="0"/>
    <n v="5434"/>
    <n v="259217.51369044819"/>
    <n v="4.3795620437956151E-2"/>
    <n v="-9.8688850957839858E-4"/>
  </r>
  <r>
    <x v="37"/>
    <x v="1"/>
    <n v="5901"/>
    <n v="325831.62776930293"/>
    <n v="4.6647747428165909E-2"/>
    <n v="1.0342697622974573E-2"/>
  </r>
  <r>
    <x v="37"/>
    <x v="2"/>
    <n v="1674"/>
    <n v="216997.25024225019"/>
    <n v="0.10059171597633143"/>
    <n v="8.8739125821093445E-3"/>
  </r>
  <r>
    <x v="37"/>
    <x v="3"/>
    <n v="5408"/>
    <n v="298460.60393010598"/>
    <n v="4.2405551272166608E-2"/>
    <n v="3.5428163479049868E-3"/>
  </r>
  <r>
    <x v="37"/>
    <x v="4"/>
    <n v="5008"/>
    <n v="277437.93456249143"/>
    <n v="6.7576209763376749E-2"/>
    <n v="2.2312637679897662E-3"/>
  </r>
  <r>
    <x v="37"/>
    <x v="5"/>
    <n v="3337"/>
    <n v="291927.00474655448"/>
    <n v="4.0536326785157506E-2"/>
    <n v="9.0339852941008214E-3"/>
  </r>
  <r>
    <x v="37"/>
    <x v="6"/>
    <n v="677"/>
    <n v="167153.23560872281"/>
    <n v="5.946791862284817E-2"/>
    <n v="-6.7495415365625977E-4"/>
  </r>
  <r>
    <x v="37"/>
    <x v="7"/>
    <n v="6617"/>
    <n v="536010.63663105911"/>
    <n v="5.4166002867611862E-2"/>
    <n v="-5.5029101401016245E-4"/>
  </r>
  <r>
    <x v="37"/>
    <x v="8"/>
    <n v="5343"/>
    <n v="251723.6431670411"/>
    <n v="5.0944138473642875E-2"/>
    <n v="-3.0657411213771413E-3"/>
  </r>
  <r>
    <x v="37"/>
    <x v="9"/>
    <n v="5717"/>
    <n v="293915.58188242093"/>
    <n v="5.7724329324699397E-2"/>
    <n v="-3.6034563265446851E-3"/>
  </r>
  <r>
    <x v="37"/>
    <x v="10"/>
    <n v="5483"/>
    <n v="271339.62750437472"/>
    <n v="7.2574334898278581E-2"/>
    <n v="-2.2250387323594634E-3"/>
  </r>
  <r>
    <x v="37"/>
    <x v="11"/>
    <n v="755"/>
    <n v="207448.00638234589"/>
    <n v="2.4423337856173788E-2"/>
    <n v="-1.5439173761435665E-3"/>
  </r>
  <r>
    <x v="38"/>
    <x v="0"/>
    <n v="5111"/>
    <n v="260149.9673409111"/>
    <n v="-5.9440559440559482E-2"/>
    <n v="3.5971861514589865E-3"/>
  </r>
  <r>
    <x v="38"/>
    <x v="1"/>
    <n v="5624"/>
    <n v="326518.58120994607"/>
    <n v="-4.6941196407388586E-2"/>
    <n v="2.1083080404016297E-3"/>
  </r>
  <r>
    <x v="38"/>
    <x v="2"/>
    <n v="1776"/>
    <n v="216056.46931929531"/>
    <n v="6.0931899641577081E-2"/>
    <n v="-4.3354508958275417E-3"/>
  </r>
  <r>
    <x v="38"/>
    <x v="3"/>
    <n v="5135"/>
    <n v="299938.94214565807"/>
    <n v="-5.0480769230769273E-2"/>
    <n v="4.9532105614122912E-3"/>
  </r>
  <r>
    <x v="38"/>
    <x v="4"/>
    <n v="4709"/>
    <n v="277858.91699838708"/>
    <n v="-5.9704472843450485E-2"/>
    <n v="1.5173932020491332E-3"/>
  </r>
  <r>
    <x v="38"/>
    <x v="5"/>
    <n v="3148"/>
    <n v="294542.43336894322"/>
    <n v="-5.6637698531615266E-2"/>
    <n v="8.9591869880603081E-3"/>
  </r>
  <r>
    <x v="38"/>
    <x v="6"/>
    <n v="632"/>
    <n v="169292.30333286771"/>
    <n v="-6.6469719350073841E-2"/>
    <n v="1.2797046472687423E-2"/>
  </r>
  <r>
    <x v="38"/>
    <x v="7"/>
    <n v="6266"/>
    <n v="543077.44689871592"/>
    <n v="-5.3045186640471531E-2"/>
    <n v="1.3184085883207963E-2"/>
  </r>
  <r>
    <x v="38"/>
    <x v="8"/>
    <n v="5061"/>
    <n v="253205.29192346189"/>
    <n v="-5.2779337450870267E-2"/>
    <n v="5.8860134780329698E-3"/>
  </r>
  <r>
    <x v="38"/>
    <x v="9"/>
    <n v="5388"/>
    <n v="295572.76397545612"/>
    <n v="-5.7547664859191938E-2"/>
    <n v="5.6382927452214293E-3"/>
  </r>
  <r>
    <x v="38"/>
    <x v="10"/>
    <n v="5270"/>
    <n v="271537.54008447792"/>
    <n v="-3.8847346343242717E-2"/>
    <n v="7.2939062356458528E-4"/>
  </r>
  <r>
    <x v="38"/>
    <x v="11"/>
    <n v="697"/>
    <n v="207419.9378333916"/>
    <n v="-7.6821192052980103E-2"/>
    <n v="-1.3530401879380261E-4"/>
  </r>
  <r>
    <x v="39"/>
    <x v="0"/>
    <n v="4977"/>
    <n v="262704.28325107589"/>
    <n v="-2.62179612600274E-2"/>
    <n v="9.8186286020844893E-3"/>
  </r>
  <r>
    <x v="39"/>
    <x v="1"/>
    <n v="5481"/>
    <n v="327429.4116643655"/>
    <n v="-2.5426742532005719E-2"/>
    <n v="2.789521046686616E-3"/>
  </r>
  <r>
    <x v="39"/>
    <x v="2"/>
    <n v="1781"/>
    <n v="213370.62512897881"/>
    <n v="2.8153153153154253E-3"/>
    <n v="-1.2431213926518803E-2"/>
  </r>
  <r>
    <x v="39"/>
    <x v="3"/>
    <n v="4966"/>
    <n v="300379.37446483312"/>
    <n v="-3.2911392405063244E-2"/>
    <n v="1.4684065897689891E-3"/>
  </r>
  <r>
    <x v="39"/>
    <x v="4"/>
    <n v="4642"/>
    <n v="279150.40118053567"/>
    <n v="-1.4228073901040528E-2"/>
    <n v="4.6479853736567378E-3"/>
  </r>
  <r>
    <x v="39"/>
    <x v="5"/>
    <n v="2995"/>
    <n v="297107.98577907193"/>
    <n v="-4.8602287166454872E-2"/>
    <n v="8.7102981420510428E-3"/>
  </r>
  <r>
    <x v="39"/>
    <x v="6"/>
    <n v="641"/>
    <n v="169224.4777980012"/>
    <n v="1.4240506329114E-2"/>
    <n v="-4.0064157395947042E-4"/>
  </r>
  <r>
    <x v="39"/>
    <x v="7"/>
    <n v="6052"/>
    <n v="544627.00601036567"/>
    <n v="-3.4152569422278956E-2"/>
    <n v="2.8532930625246866E-3"/>
  </r>
  <r>
    <x v="39"/>
    <x v="8"/>
    <n v="5004"/>
    <n v="255249.24178488849"/>
    <n v="-1.1262596324836949E-2"/>
    <n v="8.0723030940619278E-3"/>
  </r>
  <r>
    <x v="39"/>
    <x v="9"/>
    <n v="5285"/>
    <n v="296021.71554492629"/>
    <n v="-1.9116555308092087E-2"/>
    <n v="1.5189206320358473E-3"/>
  </r>
  <r>
    <x v="39"/>
    <x v="10"/>
    <n v="5150"/>
    <n v="271854.90477099549"/>
    <n v="-2.2770398481973486E-2"/>
    <n v="1.1687691006512235E-3"/>
  </r>
  <r>
    <x v="39"/>
    <x v="11"/>
    <n v="686"/>
    <n v="208176.0339897844"/>
    <n v="-1.5781922525107572E-2"/>
    <n v="3.6452433854268218E-3"/>
  </r>
  <r>
    <x v="40"/>
    <x v="0"/>
    <n v="4803"/>
    <n v="265501.56664034212"/>
    <n v="-3.4960819770946339E-2"/>
    <n v="1.0648031142274084E-2"/>
  </r>
  <r>
    <x v="40"/>
    <x v="1"/>
    <n v="5316"/>
    <n v="328390.28514200193"/>
    <n v="-3.0103995621237001E-2"/>
    <n v="2.9345973312300266E-3"/>
  </r>
  <r>
    <x v="40"/>
    <x v="2"/>
    <n v="1846"/>
    <n v="214974.22752841661"/>
    <n v="3.649635036496357E-2"/>
    <n v="7.5155724855211492E-3"/>
  </r>
  <r>
    <x v="40"/>
    <x v="3"/>
    <n v="4837"/>
    <n v="303225.98987913458"/>
    <n v="-2.5976641159887182E-2"/>
    <n v="9.4767339447758836E-3"/>
  </r>
  <r>
    <x v="40"/>
    <x v="4"/>
    <n v="4484"/>
    <n v="279539.77466396021"/>
    <n v="-3.4037052994398964E-2"/>
    <n v="1.3948519571451712E-3"/>
  </r>
  <r>
    <x v="40"/>
    <x v="5"/>
    <n v="2857"/>
    <n v="301766.00375931652"/>
    <n v="-4.6076794657762932E-2"/>
    <n v="1.5677861933028892E-2"/>
  </r>
  <r>
    <x v="40"/>
    <x v="6"/>
    <n v="616"/>
    <n v="168786.20138819891"/>
    <n v="-3.9001560062402518E-2"/>
    <n v="-2.5899114330578676E-3"/>
  </r>
  <r>
    <x v="40"/>
    <x v="7"/>
    <n v="5945"/>
    <n v="557314.28719865577"/>
    <n v="-1.7680105750165209E-2"/>
    <n v="2.3295358196116833E-2"/>
  </r>
  <r>
    <x v="40"/>
    <x v="8"/>
    <n v="4873"/>
    <n v="256861.97509712071"/>
    <n v="-2.6179056754596308E-2"/>
    <n v="6.3182687672440618E-3"/>
  </r>
  <r>
    <x v="40"/>
    <x v="9"/>
    <n v="5051"/>
    <n v="301770.70533518039"/>
    <n v="-4.4276253547776756E-2"/>
    <n v="1.9420838027612852E-2"/>
  </r>
  <r>
    <x v="40"/>
    <x v="10"/>
    <n v="4985"/>
    <n v="273530.18825430929"/>
    <n v="-3.2038834951456319E-2"/>
    <n v="6.1624177232522115E-3"/>
  </r>
  <r>
    <x v="40"/>
    <x v="11"/>
    <n v="639"/>
    <n v="209095.04178709551"/>
    <n v="-6.8513119533527678E-2"/>
    <n v="4.4145705905618282E-3"/>
  </r>
  <r>
    <x v="41"/>
    <x v="0"/>
    <n v="4490"/>
    <n v="266289.44816882262"/>
    <n v="-6.516760358109519E-2"/>
    <n v="2.9675212031716747E-3"/>
  </r>
  <r>
    <x v="41"/>
    <x v="1"/>
    <n v="4966"/>
    <n v="333528.81317852531"/>
    <n v="-6.5838976674191141E-2"/>
    <n v="1.5647625002978893E-2"/>
  </r>
  <r>
    <x v="41"/>
    <x v="2"/>
    <n v="1713"/>
    <n v="218059.79304317909"/>
    <n v="-7.2047670639219907E-2"/>
    <n v="1.4353188055319821E-2"/>
  </r>
  <r>
    <x v="41"/>
    <x v="3"/>
    <n v="4496"/>
    <n v="307368.10369987052"/>
    <n v="-7.0498242712425108E-2"/>
    <n v="1.3660154336991415E-2"/>
  </r>
  <r>
    <x v="41"/>
    <x v="4"/>
    <n v="4116"/>
    <n v="284347.03525877051"/>
    <n v="-8.2069580731489733E-2"/>
    <n v="1.7197053981277577E-2"/>
  </r>
  <r>
    <x v="41"/>
    <x v="5"/>
    <n v="2689"/>
    <n v="307084.6799054633"/>
    <n v="-5.8802940147007376E-2"/>
    <n v="1.7625166784489332E-2"/>
  </r>
  <r>
    <x v="41"/>
    <x v="6"/>
    <n v="600"/>
    <n v="169405.6820692218"/>
    <n v="-2.5974025974025983E-2"/>
    <n v="3.6702092702360911E-3"/>
  </r>
  <r>
    <x v="41"/>
    <x v="7"/>
    <n v="5708"/>
    <n v="562979.3614458685"/>
    <n v="-3.9865433137090012E-2"/>
    <n v="1.0164954276855598E-2"/>
  </r>
  <r>
    <x v="41"/>
    <x v="8"/>
    <n v="4668"/>
    <n v="259040.205839884"/>
    <n v="-4.2068540939872778E-2"/>
    <n v="8.4801603738338116E-3"/>
  </r>
  <r>
    <x v="41"/>
    <x v="9"/>
    <n v="4622"/>
    <n v="300685.82013446209"/>
    <n v="-8.493367649970307E-2"/>
    <n v="-3.5950646684319576E-3"/>
  </r>
  <r>
    <x v="41"/>
    <x v="10"/>
    <n v="4632"/>
    <n v="279327.91056812921"/>
    <n v="-7.0812437311935761E-2"/>
    <n v="2.1195913880005079E-2"/>
  </r>
  <r>
    <x v="41"/>
    <x v="11"/>
    <n v="580"/>
    <n v="212092.43740156849"/>
    <n v="-9.2331768388106417E-2"/>
    <n v="1.4335086996108526E-2"/>
  </r>
  <r>
    <x v="42"/>
    <x v="0"/>
    <n v="4217"/>
    <n v="271753.43139286892"/>
    <n v="-6.080178173719375E-2"/>
    <n v="2.0518962586088874E-2"/>
  </r>
  <r>
    <x v="42"/>
    <x v="1"/>
    <n v="4721"/>
    <n v="340731.0975671148"/>
    <n v="-4.933548127265408E-2"/>
    <n v="2.1594189479319015E-2"/>
  </r>
  <r>
    <x v="42"/>
    <x v="2"/>
    <n v="1650"/>
    <n v="220945.6460367316"/>
    <n v="-3.677758318739055E-2"/>
    <n v="1.3234227884372451E-2"/>
  </r>
  <r>
    <x v="42"/>
    <x v="3"/>
    <n v="4167"/>
    <n v="314128.71891417587"/>
    <n v="-7.3176156583629859E-2"/>
    <n v="2.1995174947972984E-2"/>
  </r>
  <r>
    <x v="42"/>
    <x v="4"/>
    <n v="3883"/>
    <n v="291580.60943401378"/>
    <n v="-5.6608357628765815E-2"/>
    <n v="2.5439245985668046E-2"/>
  </r>
  <r>
    <x v="42"/>
    <x v="5"/>
    <n v="2507"/>
    <n v="315410.97976804298"/>
    <n v="-6.76831535886947E-2"/>
    <n v="2.7114019055404892E-2"/>
  </r>
  <r>
    <x v="42"/>
    <x v="6"/>
    <n v="611"/>
    <n v="170438.21435076979"/>
    <n v="1.8333333333333313E-2"/>
    <n v="6.0950274449831365E-3"/>
  </r>
  <r>
    <x v="42"/>
    <x v="7"/>
    <n v="5480"/>
    <n v="574623.85455811245"/>
    <n v="-3.9943938332165363E-2"/>
    <n v="2.0683694482756865E-2"/>
  </r>
  <r>
    <x v="42"/>
    <x v="8"/>
    <n v="4454"/>
    <n v="265768.53769819078"/>
    <n v="-4.5844044558697505E-2"/>
    <n v="2.5974083198751163E-2"/>
  </r>
  <r>
    <x v="42"/>
    <x v="9"/>
    <n v="4380"/>
    <n v="307525.38589723379"/>
    <n v="-5.235828645607965E-2"/>
    <n v="2.2746552397160391E-2"/>
  </r>
  <r>
    <x v="42"/>
    <x v="10"/>
    <n v="4444"/>
    <n v="286060.81074433221"/>
    <n v="-4.0587219343696024E-2"/>
    <n v="2.4103929186699791E-2"/>
  </r>
  <r>
    <x v="42"/>
    <x v="11"/>
    <n v="536"/>
    <n v="214908.09874068011"/>
    <n v="-7.5862068965517282E-2"/>
    <n v="1.3275632896709855E-2"/>
  </r>
  <r>
    <x v="43"/>
    <x v="0"/>
    <n v="4035"/>
    <n v="277235.93367614498"/>
    <n v="-4.3158643585487266E-2"/>
    <n v="2.0174546665981508E-2"/>
  </r>
  <r>
    <x v="43"/>
    <x v="1"/>
    <n v="4516"/>
    <n v="349255.28392081911"/>
    <n v="-4.3423003600931986E-2"/>
    <n v="2.5017341870374077E-2"/>
  </r>
  <r>
    <x v="43"/>
    <x v="2"/>
    <n v="1548"/>
    <n v="224057.94029980301"/>
    <n v="-6.1818181818181772E-2"/>
    <n v="1.4086243919710473E-2"/>
  </r>
  <r>
    <x v="43"/>
    <x v="3"/>
    <n v="3942"/>
    <n v="321168.53584189608"/>
    <n v="-5.3995680345572339E-2"/>
    <n v="2.2410612286753562E-2"/>
  </r>
  <r>
    <x v="43"/>
    <x v="4"/>
    <n v="3659"/>
    <n v="294447.35008345579"/>
    <n v="-5.7687355137780116E-2"/>
    <n v="9.8317259676719004E-3"/>
  </r>
  <r>
    <x v="43"/>
    <x v="5"/>
    <n v="2374"/>
    <n v="319495.38175727188"/>
    <n v="-5.3051455923414426E-2"/>
    <n v="1.2949460390480505E-2"/>
  </r>
  <r>
    <x v="43"/>
    <x v="6"/>
    <n v="579"/>
    <n v="169604.45126178401"/>
    <n v="-5.2373158756137461E-2"/>
    <n v="-4.8918788087620735E-3"/>
  </r>
  <r>
    <x v="43"/>
    <x v="7"/>
    <n v="5223"/>
    <n v="595010.14708373242"/>
    <n v="-4.6897810218978098E-2"/>
    <n v="3.5477630042520802E-2"/>
  </r>
  <r>
    <x v="43"/>
    <x v="8"/>
    <n v="4111"/>
    <n v="271223.36272102938"/>
    <n v="-7.7009429726088929E-2"/>
    <n v="2.0524720759208748E-2"/>
  </r>
  <r>
    <x v="43"/>
    <x v="9"/>
    <n v="4094"/>
    <n v="311274.0379918635"/>
    <n v="-6.5296803652968083E-2"/>
    <n v="1.2189732186475233E-2"/>
  </r>
  <r>
    <x v="43"/>
    <x v="10"/>
    <n v="4067"/>
    <n v="290822.91353305808"/>
    <n v="-8.4833483348334848E-2"/>
    <n v="1.6647169447415289E-2"/>
  </r>
  <r>
    <x v="43"/>
    <x v="11"/>
    <n v="484"/>
    <n v="219956.47351063031"/>
    <n v="-9.7014925373134275E-2"/>
    <n v="2.3490853995417948E-2"/>
  </r>
  <r>
    <x v="44"/>
    <x v="0"/>
    <n v="3969"/>
    <n v="282293.97338899889"/>
    <n v="-1.635687732342006E-2"/>
    <n v="1.8244531456598656E-2"/>
  </r>
  <r>
    <x v="44"/>
    <x v="1"/>
    <n v="4334"/>
    <n v="352808.01997684769"/>
    <n v="-4.0301151461470286E-2"/>
    <n v="1.0172318700936378E-2"/>
  </r>
  <r>
    <x v="44"/>
    <x v="2"/>
    <n v="1537"/>
    <n v="224930.65665679009"/>
    <n v="-7.10594315245483E-3"/>
    <n v="3.8950476640966514E-3"/>
  </r>
  <r>
    <x v="44"/>
    <x v="3"/>
    <n v="3857"/>
    <n v="323237.1142766329"/>
    <n v="-2.156265854895989E-2"/>
    <n v="6.4407879474068785E-3"/>
  </r>
  <r>
    <x v="44"/>
    <x v="4"/>
    <n v="3624"/>
    <n v="297704.71835918742"/>
    <n v="-9.5654550423612816E-3"/>
    <n v="1.1062651013189262E-2"/>
  </r>
  <r>
    <x v="44"/>
    <x v="5"/>
    <n v="2255"/>
    <n v="322172.24541405181"/>
    <n v="-5.0126368997472581E-2"/>
    <n v="8.3784111121005811E-3"/>
  </r>
  <r>
    <x v="44"/>
    <x v="6"/>
    <n v="560"/>
    <n v="171082.35500495299"/>
    <n v="-3.2815198618307395E-2"/>
    <n v="8.7138263894255275E-3"/>
  </r>
  <r>
    <x v="44"/>
    <x v="7"/>
    <n v="5134"/>
    <n v="605411.52182038175"/>
    <n v="-1.7040015316867718E-2"/>
    <n v="1.7481003958720098E-2"/>
  </r>
  <r>
    <x v="44"/>
    <x v="8"/>
    <n v="3868"/>
    <n v="274114.74802020751"/>
    <n v="-5.910970566772078E-2"/>
    <n v="1.0660531858946554E-2"/>
  </r>
  <r>
    <x v="44"/>
    <x v="9"/>
    <n v="3999"/>
    <n v="316408.24935934541"/>
    <n v="-2.3204689789936506E-2"/>
    <n v="1.6494184354739261E-2"/>
  </r>
  <r>
    <x v="44"/>
    <x v="10"/>
    <n v="3960"/>
    <n v="298066.19404510548"/>
    <n v="-2.630931890828625E-2"/>
    <n v="2.4906154828216565E-2"/>
  </r>
  <r>
    <x v="44"/>
    <x v="11"/>
    <n v="455"/>
    <n v="223456.54631500141"/>
    <n v="-5.9917355371900793E-2"/>
    <n v="1.5912570103111534E-2"/>
  </r>
  <r>
    <x v="45"/>
    <x v="0"/>
    <n v="3959"/>
    <n v="283897.2503487455"/>
    <n v="-2.5195263290501702E-3"/>
    <n v="5.6794586880439812E-3"/>
  </r>
  <r>
    <x v="45"/>
    <x v="1"/>
    <n v="4372"/>
    <n v="358307.04182195792"/>
    <n v="8.7678818643286416E-3"/>
    <n v="1.5586442296496195E-2"/>
  </r>
  <r>
    <x v="45"/>
    <x v="2"/>
    <n v="1498"/>
    <n v="225511.9671450966"/>
    <n v="-2.5374105400130076E-2"/>
    <n v="2.5843986628888427E-3"/>
  </r>
  <r>
    <x v="45"/>
    <x v="3"/>
    <n v="3813"/>
    <n v="326254.4047485473"/>
    <n v="-1.1407829919626633E-2"/>
    <n v="9.3346040372459527E-3"/>
  </r>
  <r>
    <x v="45"/>
    <x v="4"/>
    <n v="3725"/>
    <n v="299211.42835346819"/>
    <n v="2.7869757174392884E-2"/>
    <n v="5.061088727733587E-3"/>
  </r>
  <r>
    <x v="45"/>
    <x v="5"/>
    <n v="2403"/>
    <n v="330385.81442517339"/>
    <n v="6.5631929046563231E-2"/>
    <n v="2.5494340769688595E-2"/>
  </r>
  <r>
    <x v="45"/>
    <x v="6"/>
    <n v="574"/>
    <n v="175058.3183724765"/>
    <n v="2.4999999999999911E-2"/>
    <n v="2.3240055161786843E-2"/>
  </r>
  <r>
    <x v="45"/>
    <x v="7"/>
    <n v="5021"/>
    <n v="606601.23705547978"/>
    <n v="-2.2010128554733166E-2"/>
    <n v="1.9651347756328708E-3"/>
  </r>
  <r>
    <x v="45"/>
    <x v="8"/>
    <n v="3932"/>
    <n v="277276.17125937139"/>
    <n v="1.6546018614270963E-2"/>
    <n v="1.1533211043905034E-2"/>
  </r>
  <r>
    <x v="45"/>
    <x v="9"/>
    <n v="4053"/>
    <n v="320151.12423298409"/>
    <n v="1.3503375843960885E-2"/>
    <n v="1.1829258185325875E-2"/>
  </r>
  <r>
    <x v="45"/>
    <x v="10"/>
    <n v="4057"/>
    <n v="303855.39928112749"/>
    <n v="2.4494949494949569E-2"/>
    <n v="1.9422548922626071E-2"/>
  </r>
  <r>
    <x v="45"/>
    <x v="11"/>
    <n v="458"/>
    <n v="225234.24934580029"/>
    <n v="6.59340659340657E-3"/>
    <n v="7.955475281949953E-3"/>
  </r>
  <r>
    <x v="46"/>
    <x v="0"/>
    <n v="3579"/>
    <n v="284566.58050260629"/>
    <n v="-9.5983834301591298E-2"/>
    <n v="2.3576493010712962E-3"/>
  </r>
  <r>
    <x v="46"/>
    <x v="1"/>
    <n v="4021"/>
    <n v="361334.5781139374"/>
    <n v="-8.0283623055809716E-2"/>
    <n v="8.4495584473716079E-3"/>
  </r>
  <r>
    <x v="46"/>
    <x v="2"/>
    <n v="1372"/>
    <n v="225208.20038814619"/>
    <n v="-8.411214953271029E-2"/>
    <n v="-1.3470094771288466E-3"/>
  </r>
  <r>
    <x v="46"/>
    <x v="3"/>
    <n v="3514"/>
    <n v="328426.97070733021"/>
    <n v="-7.8415945449777036E-2"/>
    <n v="6.6591160982405473E-3"/>
  </r>
  <r>
    <x v="46"/>
    <x v="4"/>
    <n v="3379"/>
    <n v="301104.78862383508"/>
    <n v="-9.2885906040268473E-2"/>
    <n v="6.3278340696606428E-3"/>
  </r>
  <r>
    <x v="46"/>
    <x v="5"/>
    <n v="2227"/>
    <n v="331229.33674344502"/>
    <n v="-7.3241781106949677E-2"/>
    <n v="2.5531432689966937E-3"/>
  </r>
  <r>
    <x v="46"/>
    <x v="6"/>
    <n v="531"/>
    <n v="173276.8953003163"/>
    <n v="-7.4912891986062768E-2"/>
    <n v="-1.0176169225902254E-2"/>
  </r>
  <r>
    <x v="46"/>
    <x v="7"/>
    <n v="4644"/>
    <n v="608292.30991363106"/>
    <n v="-7.5084644493128905E-2"/>
    <n v="2.7877833984644163E-3"/>
  </r>
  <r>
    <x v="46"/>
    <x v="8"/>
    <n v="3549"/>
    <n v="279706.17179711262"/>
    <n v="-9.7405900305188253E-2"/>
    <n v="8.7638275106884933E-3"/>
  </r>
  <r>
    <x v="46"/>
    <x v="9"/>
    <n v="3755"/>
    <n v="322882.27017838153"/>
    <n v="-7.352578337034299E-2"/>
    <n v="8.5308022951369189E-3"/>
  </r>
  <r>
    <x v="46"/>
    <x v="10"/>
    <n v="3797"/>
    <n v="303967.25541657058"/>
    <n v="-6.4086763618437237E-2"/>
    <n v="3.6812291539889408E-4"/>
  </r>
  <r>
    <x v="46"/>
    <x v="11"/>
    <n v="431"/>
    <n v="226777.4156291993"/>
    <n v="-5.8951965065502154E-2"/>
    <n v="6.8513837832442359E-3"/>
  </r>
  <r>
    <x v="47"/>
    <x v="0"/>
    <n v="3611"/>
    <n v="289262.51425630139"/>
    <n v="8.9410449846325513E-3"/>
    <n v="1.6502056374297691E-2"/>
  </r>
  <r>
    <x v="47"/>
    <x v="1"/>
    <n v="4015"/>
    <n v="363757.26054850942"/>
    <n v="-1.4921661278288756E-3"/>
    <n v="6.7048175882244987E-3"/>
  </r>
  <r>
    <x v="47"/>
    <x v="2"/>
    <n v="1330"/>
    <n v="227814.4215212173"/>
    <n v="-3.0612244897959218E-2"/>
    <n v="1.1572496599054904E-2"/>
  </r>
  <r>
    <x v="47"/>
    <x v="3"/>
    <n v="3513"/>
    <n v="328810.32795796858"/>
    <n v="-2.8457598178710519E-4"/>
    <n v="1.1672526461901089E-3"/>
  </r>
  <r>
    <x v="47"/>
    <x v="4"/>
    <n v="3468"/>
    <n v="303900.31270526722"/>
    <n v="2.6339153595738463E-2"/>
    <n v="9.2842232573211447E-3"/>
  </r>
  <r>
    <x v="47"/>
    <x v="5"/>
    <n v="2268"/>
    <n v="331327.5585186574"/>
    <n v="1.8410417602155338E-2"/>
    <n v="2.9653706455490259E-4"/>
  </r>
  <r>
    <x v="47"/>
    <x v="6"/>
    <n v="543"/>
    <n v="173619.68782866441"/>
    <n v="2.2598870056497189E-2"/>
    <n v="1.9782933423062588E-3"/>
  </r>
  <r>
    <x v="47"/>
    <x v="7"/>
    <n v="4523"/>
    <n v="615847.26275145845"/>
    <n v="-2.6055124892334192E-2"/>
    <n v="1.2419938103278128E-2"/>
  </r>
  <r>
    <x v="47"/>
    <x v="8"/>
    <n v="3507"/>
    <n v="281744.10480363289"/>
    <n v="-1.1834319526627168E-2"/>
    <n v="7.285977972622204E-3"/>
  </r>
  <r>
    <x v="47"/>
    <x v="9"/>
    <n v="3732"/>
    <n v="325473.74666206271"/>
    <n v="-6.1251664447403709E-3"/>
    <n v="8.0260724202956268E-3"/>
  </r>
  <r>
    <x v="47"/>
    <x v="10"/>
    <n v="3757"/>
    <n v="303769.06009649101"/>
    <n v="-1.0534632604687899E-2"/>
    <n v="-6.5202852132195677E-4"/>
  </r>
  <r>
    <x v="47"/>
    <x v="11"/>
    <n v="455"/>
    <n v="230182.9635345304"/>
    <n v="5.5684454756380619E-2"/>
    <n v="1.5017138703527166E-2"/>
  </r>
  <r>
    <x v="48"/>
    <x v="0"/>
    <n v="4098"/>
    <n v="289294.03604298149"/>
    <n v="0.13486568817502076"/>
    <n v="1.089729402412587E-4"/>
  </r>
  <r>
    <x v="48"/>
    <x v="1"/>
    <n v="4441"/>
    <n v="365488.45612006949"/>
    <n v="0.10610211706102124"/>
    <n v="4.7592055453398174E-3"/>
  </r>
  <r>
    <x v="48"/>
    <x v="2"/>
    <n v="1528"/>
    <n v="229921.2919516268"/>
    <n v="0.14887218045112771"/>
    <n v="9.2481872584755376E-3"/>
  </r>
  <r>
    <x v="48"/>
    <x v="3"/>
    <n v="4039"/>
    <n v="330143.52980276878"/>
    <n v="0.14972957586108748"/>
    <n v="4.0546227762365827E-3"/>
  </r>
  <r>
    <x v="48"/>
    <x v="4"/>
    <n v="3779"/>
    <n v="304797.91739474999"/>
    <n v="8.9677047289504097E-2"/>
    <n v="2.9536155507456918E-3"/>
  </r>
  <r>
    <x v="48"/>
    <x v="5"/>
    <n v="2574"/>
    <n v="332830.33556204388"/>
    <n v="0.13492063492063489"/>
    <n v="4.5356234480020685E-3"/>
  </r>
  <r>
    <x v="48"/>
    <x v="6"/>
    <n v="597"/>
    <n v="175328.29291796251"/>
    <n v="9.9447513812154664E-2"/>
    <n v="9.8410791464169645E-3"/>
  </r>
  <r>
    <x v="48"/>
    <x v="7"/>
    <n v="4969"/>
    <n v="616123.2832791314"/>
    <n v="9.8607119168693247E-2"/>
    <n v="4.4819640252957704E-4"/>
  </r>
  <r>
    <x v="48"/>
    <x v="8"/>
    <n v="3955"/>
    <n v="283273.20011927688"/>
    <n v="0.12774451097804396"/>
    <n v="5.4272486613684556E-3"/>
  </r>
  <r>
    <x v="48"/>
    <x v="9"/>
    <n v="4250"/>
    <n v="326709.71713019809"/>
    <n v="0.1387995712754555"/>
    <n v="3.7974505803033409E-3"/>
  </r>
  <r>
    <x v="48"/>
    <x v="10"/>
    <n v="4116"/>
    <n v="306396.68392163911"/>
    <n v="9.5554964067074755E-2"/>
    <n v="8.6500706303447306E-3"/>
  </r>
  <r>
    <x v="48"/>
    <x v="11"/>
    <n v="501"/>
    <n v="230612.0646253484"/>
    <n v="0.10109890109890118"/>
    <n v="1.864173978078254E-3"/>
  </r>
  <r>
    <x v="49"/>
    <x v="0"/>
    <n v="4345"/>
    <n v="288247.75322451221"/>
    <n v="6.0273304050756371E-2"/>
    <n v="-3.6166760738677306E-3"/>
  </r>
  <r>
    <x v="49"/>
    <x v="1"/>
    <n v="4535"/>
    <n v="364124.99397040351"/>
    <n v="2.1166403963071456E-2"/>
    <n v="-3.7305204222867205E-3"/>
  </r>
  <r>
    <x v="49"/>
    <x v="2"/>
    <n v="1552"/>
    <n v="229030.49457631609"/>
    <n v="1.5706806282722585E-2"/>
    <n v="-3.8743579063487132E-3"/>
  </r>
  <r>
    <x v="49"/>
    <x v="3"/>
    <n v="4273"/>
    <n v="330494.80886684521"/>
    <n v="5.7935132458529326E-2"/>
    <n v="1.0640192291100359E-3"/>
  </r>
  <r>
    <x v="49"/>
    <x v="4"/>
    <n v="3891"/>
    <n v="305786.89972633158"/>
    <n v="2.9637470230219565E-2"/>
    <n v="3.2447148590610819E-3"/>
  </r>
  <r>
    <x v="49"/>
    <x v="5"/>
    <n v="2758"/>
    <n v="332550.31321326829"/>
    <n v="7.1484071484071432E-2"/>
    <n v="-8.4133661765750656E-4"/>
  </r>
  <r>
    <x v="49"/>
    <x v="6"/>
    <n v="626"/>
    <n v="176039.49770234569"/>
    <n v="4.8576214405360085E-2"/>
    <n v="4.0564176639532601E-3"/>
  </r>
  <r>
    <x v="49"/>
    <x v="7"/>
    <n v="5057"/>
    <n v="621741.88222202507"/>
    <n v="1.7709800764741379E-2"/>
    <n v="9.1192770917378763E-3"/>
  </r>
  <r>
    <x v="49"/>
    <x v="8"/>
    <n v="4108"/>
    <n v="283523.30342770729"/>
    <n v="3.8685208596713094E-2"/>
    <n v="8.8290494238463246E-4"/>
  </r>
  <r>
    <x v="49"/>
    <x v="9"/>
    <n v="4542"/>
    <n v="327963.09834628343"/>
    <n v="6.8705882352941172E-2"/>
    <n v="3.8363756887764833E-3"/>
  </r>
  <r>
    <x v="49"/>
    <x v="10"/>
    <n v="4422"/>
    <n v="304233.77453044592"/>
    <n v="7.4344023323615227E-2"/>
    <n v="-7.0591801566179946E-3"/>
  </r>
  <r>
    <x v="49"/>
    <x v="11"/>
    <n v="586"/>
    <n v="232579.11563815709"/>
    <n v="0.16966067864271461"/>
    <n v="8.5296969003090251E-3"/>
  </r>
  <r>
    <x v="50"/>
    <x v="0"/>
    <n v="4504"/>
    <n v="288479.34075166669"/>
    <n v="3.6593785960874481E-2"/>
    <n v="8.0343220220724376E-4"/>
  </r>
  <r>
    <x v="50"/>
    <x v="1"/>
    <n v="4636"/>
    <n v="368219.18854266661"/>
    <n v="2.2271223814773977E-2"/>
    <n v="1.124392623428605E-2"/>
  </r>
  <r>
    <x v="50"/>
    <x v="2"/>
    <n v="1552"/>
    <n v="227357.98053028231"/>
    <n v="0"/>
    <n v="-7.3025823444505811E-3"/>
  </r>
  <r>
    <x v="50"/>
    <x v="3"/>
    <n v="4324"/>
    <n v="329507.20153990138"/>
    <n v="1.1935408378188628E-2"/>
    <n v="-2.988268803162164E-3"/>
  </r>
  <r>
    <x v="50"/>
    <x v="4"/>
    <n v="3960"/>
    <n v="303756.42641210521"/>
    <n v="1.7733230531996824E-2"/>
    <n v="-6.6401579532791022E-3"/>
  </r>
  <r>
    <x v="50"/>
    <x v="5"/>
    <n v="2807"/>
    <n v="335124.97603968438"/>
    <n v="1.7766497461928932E-2"/>
    <n v="7.7421753163855467E-3"/>
  </r>
  <r>
    <x v="50"/>
    <x v="6"/>
    <n v="600"/>
    <n v="176361.32521656499"/>
    <n v="-4.1533546325878579E-2"/>
    <n v="1.8281551493828374E-3"/>
  </r>
  <r>
    <x v="50"/>
    <x v="7"/>
    <n v="5086"/>
    <n v="625378.28355069715"/>
    <n v="5.7346252719003843E-3"/>
    <n v="5.8487314955781855E-3"/>
  </r>
  <r>
    <x v="50"/>
    <x v="8"/>
    <n v="4256"/>
    <n v="283163.00037090998"/>
    <n v="3.6027263875365145E-2"/>
    <n v="-1.2708057942375506E-3"/>
  </r>
  <r>
    <x v="50"/>
    <x v="9"/>
    <n v="4679"/>
    <n v="327066.62273190613"/>
    <n v="3.0162923822104837E-2"/>
    <n v="-2.7334648894881131E-3"/>
  </r>
  <r>
    <x v="50"/>
    <x v="10"/>
    <n v="4493"/>
    <n v="302940.21188891242"/>
    <n v="1.6056083220262307E-2"/>
    <n v="-4.2518706002644402E-3"/>
  </r>
  <r>
    <x v="50"/>
    <x v="11"/>
    <n v="566"/>
    <n v="234785.75366820849"/>
    <n v="-3.4129692832764458E-2"/>
    <n v="9.4876877659317849E-3"/>
  </r>
  <r>
    <x v="51"/>
    <x v="0"/>
    <n v="4588"/>
    <n v="288968.10491984768"/>
    <n v="1.8650088809946785E-2"/>
    <n v="1.6942778880022491E-3"/>
  </r>
  <r>
    <x v="51"/>
    <x v="1"/>
    <n v="4632"/>
    <n v="368799.48439855588"/>
    <n v="-8.6281276962896225E-4"/>
    <n v="1.5759522424292349E-3"/>
  </r>
  <r>
    <x v="51"/>
    <x v="2"/>
    <n v="1532"/>
    <n v="226554.22661148949"/>
    <n v="-1.2886597938144284E-2"/>
    <n v="-3.5351911418203263E-3"/>
  </r>
  <r>
    <x v="51"/>
    <x v="3"/>
    <n v="4222"/>
    <n v="329242.58834747411"/>
    <n v="-2.3589269195189666E-2"/>
    <n v="-8.0305738748842614E-4"/>
  </r>
  <r>
    <x v="51"/>
    <x v="4"/>
    <n v="3978"/>
    <n v="302621.59237596218"/>
    <n v="4.5454545454546302E-3"/>
    <n v="-3.736000089108904E-3"/>
  </r>
  <r>
    <x v="51"/>
    <x v="5"/>
    <n v="2760"/>
    <n v="333732.1697959337"/>
    <n v="-1.6743854649091561E-2"/>
    <n v="-4.1560800994604463E-3"/>
  </r>
  <r>
    <x v="51"/>
    <x v="6"/>
    <n v="567"/>
    <n v="179780.3444011519"/>
    <n v="-5.5000000000000049E-2"/>
    <n v="1.9386445301363464E-2"/>
  </r>
  <r>
    <x v="51"/>
    <x v="7"/>
    <n v="4908"/>
    <n v="619613.0278825399"/>
    <n v="-3.4998033818324781E-2"/>
    <n v="-9.2188293386588072E-3"/>
  </r>
  <r>
    <x v="51"/>
    <x v="8"/>
    <n v="4282"/>
    <n v="283544.86647466029"/>
    <n v="6.1090225563908973E-3"/>
    <n v="1.3485734479790068E-3"/>
  </r>
  <r>
    <x v="51"/>
    <x v="9"/>
    <n v="4600"/>
    <n v="324951.84754883748"/>
    <n v="-1.6883949561872225E-2"/>
    <n v="-6.4658850401928536E-3"/>
  </r>
  <r>
    <x v="51"/>
    <x v="10"/>
    <n v="4523"/>
    <n v="301699.60501795658"/>
    <n v="6.6770531938571409E-3"/>
    <n v="-4.0952201862549664E-3"/>
  </r>
  <r>
    <x v="51"/>
    <x v="11"/>
    <n v="599"/>
    <n v="235753.91006093341"/>
    <n v="5.8303886925795023E-2"/>
    <n v="4.1235738438076819E-3"/>
  </r>
  <r>
    <x v="52"/>
    <x v="0"/>
    <n v="4665"/>
    <n v="287676.32622962177"/>
    <n v="1.6782911944202228E-2"/>
    <n v="-4.4703158176720992E-3"/>
  </r>
  <r>
    <x v="52"/>
    <x v="1"/>
    <n v="4673"/>
    <n v="365693.23202531482"/>
    <n v="8.8514680483593455E-3"/>
    <n v="-8.4226049781679357E-3"/>
  </r>
  <r>
    <x v="52"/>
    <x v="2"/>
    <n v="2308"/>
    <n v="237888.0335267788"/>
    <n v="0.50652741514360322"/>
    <n v="5.0026905632289509E-2"/>
  </r>
  <r>
    <x v="52"/>
    <x v="3"/>
    <n v="4288"/>
    <n v="330942.83815609728"/>
    <n v="1.563240170535285E-2"/>
    <n v="5.1641247785014777E-3"/>
  </r>
  <r>
    <x v="52"/>
    <x v="4"/>
    <n v="4056"/>
    <n v="303820.5387852781"/>
    <n v="1.9607843137254832E-2"/>
    <n v="3.9618666992751184E-3"/>
  </r>
  <r>
    <x v="52"/>
    <x v="5"/>
    <n v="2845"/>
    <n v="333764.65117828222"/>
    <n v="3.0797101449275388E-2"/>
    <n v="9.7327693546533922E-5"/>
  </r>
  <r>
    <x v="52"/>
    <x v="6"/>
    <n v="584"/>
    <n v="179802.7370713735"/>
    <n v="2.9982363315696592E-2"/>
    <n v="1.245557199047731E-4"/>
  </r>
  <r>
    <x v="52"/>
    <x v="7"/>
    <n v="5056"/>
    <n v="615668.10828646296"/>
    <n v="3.0154849225753955E-2"/>
    <n v="-6.3667473383480777E-3"/>
  </r>
  <r>
    <x v="52"/>
    <x v="8"/>
    <n v="4308"/>
    <n v="284380.36858578888"/>
    <n v="6.071929005137866E-3"/>
    <n v="2.9466310623658121E-3"/>
  </r>
  <r>
    <x v="52"/>
    <x v="9"/>
    <n v="4675"/>
    <n v="324925.25636285031"/>
    <n v="1.6304347826086918E-2"/>
    <n v="-8.1831158024625594E-5"/>
  </r>
  <r>
    <x v="52"/>
    <x v="10"/>
    <n v="4688"/>
    <n v="304341.83995830722"/>
    <n v="3.6480212248507726E-2"/>
    <n v="8.75783360801341E-3"/>
  </r>
  <r>
    <x v="52"/>
    <x v="11"/>
    <n v="605"/>
    <n v="232613.27200984239"/>
    <n v="1.001669449081799E-2"/>
    <n v="-1.3321679586477675E-2"/>
  </r>
  <r>
    <x v="53"/>
    <x v="0"/>
    <n v="4661"/>
    <n v="286793.21137159038"/>
    <n v="-8.5744908896034921E-4"/>
    <n v="-3.0698211062611946E-3"/>
  </r>
  <r>
    <x v="53"/>
    <x v="1"/>
    <n v="4621"/>
    <n v="365502.5866583098"/>
    <n v="-1.1127755189385802E-2"/>
    <n v="-5.2132593745080058E-4"/>
  </r>
  <r>
    <x v="53"/>
    <x v="2"/>
    <n v="3477"/>
    <n v="247623.3037515528"/>
    <n v="0.50649913344887354"/>
    <n v="4.0923749212791405E-2"/>
  </r>
  <r>
    <x v="53"/>
    <x v="3"/>
    <n v="4257"/>
    <n v="330336.17872488959"/>
    <n v="-7.2294776119402604E-3"/>
    <n v="-1.8331245195931656E-3"/>
  </r>
  <r>
    <x v="53"/>
    <x v="4"/>
    <n v="3997"/>
    <n v="305159.31251833541"/>
    <n v="-1.4546351084812614E-2"/>
    <n v="4.4064622438295675E-3"/>
  </r>
  <r>
    <x v="53"/>
    <x v="5"/>
    <n v="2823"/>
    <n v="336614.32469798689"/>
    <n v="-7.7328646748682228E-3"/>
    <n v="8.5379728190044801E-3"/>
  </r>
  <r>
    <x v="53"/>
    <x v="6"/>
    <n v="720"/>
    <n v="177297.80959032101"/>
    <n v="0.23287671232876717"/>
    <n v="-1.3931531420782295E-2"/>
  </r>
  <r>
    <x v="53"/>
    <x v="7"/>
    <n v="5069"/>
    <n v="618441.30236516264"/>
    <n v="2.5712025316455556E-3"/>
    <n v="4.504365325041837E-3"/>
  </r>
  <r>
    <x v="53"/>
    <x v="8"/>
    <n v="4403"/>
    <n v="282743.66138014442"/>
    <n v="2.2051996285979536E-2"/>
    <n v="-5.7553452574231612E-3"/>
  </r>
  <r>
    <x v="53"/>
    <x v="9"/>
    <n v="4690"/>
    <n v="327895.29192146711"/>
    <n v="3.2085561497325887E-3"/>
    <n v="9.1406731254528584E-3"/>
  </r>
  <r>
    <x v="53"/>
    <x v="10"/>
    <n v="4627"/>
    <n v="304079.88072100829"/>
    <n v="-1.3011945392491508E-2"/>
    <n v="-8.6074013791470616E-4"/>
  </r>
  <r>
    <x v="53"/>
    <x v="11"/>
    <n v="575"/>
    <n v="232129.09019327589"/>
    <n v="-4.9586776859504078E-2"/>
    <n v="-2.0814883535364981E-3"/>
  </r>
  <r>
    <x v="54"/>
    <x v="0"/>
    <n v="4820"/>
    <n v="286025.57234542491"/>
    <n v="3.4112851319459292E-2"/>
    <n v="-2.6766289986231984E-3"/>
  </r>
  <r>
    <x v="54"/>
    <x v="1"/>
    <n v="4673"/>
    <n v="365128.20366535801"/>
    <n v="1.1252975546418575E-2"/>
    <n v="-1.0242964252993314E-3"/>
  </r>
  <r>
    <x v="54"/>
    <x v="2"/>
    <n v="3926"/>
    <n v="246027.25758545179"/>
    <n v="0.12913431118780561"/>
    <n v="-6.4454602693709839E-3"/>
  </r>
  <r>
    <x v="54"/>
    <x v="3"/>
    <n v="4213"/>
    <n v="331132.64062906388"/>
    <n v="-1.033591731266148E-2"/>
    <n v="2.4110647136763586E-3"/>
  </r>
  <r>
    <x v="54"/>
    <x v="4"/>
    <n v="4129"/>
    <n v="304370.83287192642"/>
    <n v="3.3024768576432217E-2"/>
    <n v="-2.583829541042193E-3"/>
  </r>
  <r>
    <x v="54"/>
    <x v="5"/>
    <n v="2777"/>
    <n v="332583.65265418711"/>
    <n v="-1.6294721927027966E-2"/>
    <n v="-1.1974154835555861E-2"/>
  </r>
  <r>
    <x v="54"/>
    <x v="6"/>
    <n v="802"/>
    <n v="176451.65824309239"/>
    <n v="0.11388888888888893"/>
    <n v="-4.7724861868502222E-3"/>
  </r>
  <r>
    <x v="54"/>
    <x v="7"/>
    <n v="5117"/>
    <n v="619052.451207601"/>
    <n v="9.469323337936375E-3"/>
    <n v="9.8820832324930663E-4"/>
  </r>
  <r>
    <x v="54"/>
    <x v="8"/>
    <n v="4341"/>
    <n v="282380.45405822009"/>
    <n v="-1.4081308198955256E-2"/>
    <n v="-1.2845816601207982E-3"/>
  </r>
  <r>
    <x v="54"/>
    <x v="9"/>
    <n v="4759"/>
    <n v="326994.16273948271"/>
    <n v="1.4712153518123605E-2"/>
    <n v="-2.748222387408461E-3"/>
  </r>
  <r>
    <x v="54"/>
    <x v="10"/>
    <n v="4629"/>
    <n v="303447.717979501"/>
    <n v="4.3224551545284484E-4"/>
    <n v="-2.0789364294946377E-3"/>
  </r>
  <r>
    <x v="54"/>
    <x v="11"/>
    <n v="585"/>
    <n v="231044.55183440389"/>
    <n v="1.7391304347825987E-2"/>
    <n v="-4.6721346211670012E-3"/>
  </r>
  <r>
    <x v="55"/>
    <x v="0"/>
    <n v="4873"/>
    <n v="287409.28199236043"/>
    <n v="1.09958506224066E-2"/>
    <n v="4.8377130603709517E-3"/>
  </r>
  <r>
    <x v="55"/>
    <x v="1"/>
    <n v="4721"/>
    <n v="363986.05242072273"/>
    <n v="1.0271774020971458E-2"/>
    <n v="-3.1280827752272478E-3"/>
  </r>
  <r>
    <x v="55"/>
    <x v="2"/>
    <n v="3468"/>
    <n v="240619.63308372049"/>
    <n v="-0.11665817626082531"/>
    <n v="-2.1979777992091387E-2"/>
  </r>
  <r>
    <x v="55"/>
    <x v="3"/>
    <n v="4308"/>
    <n v="330487.43833048351"/>
    <n v="2.2549252314265411E-2"/>
    <n v="-1.9484708525099315E-3"/>
  </r>
  <r>
    <x v="55"/>
    <x v="4"/>
    <n v="4236"/>
    <n v="304404.80976587272"/>
    <n v="2.5914264955194888E-2"/>
    <n v="1.116299273018484E-4"/>
  </r>
  <r>
    <x v="55"/>
    <x v="5"/>
    <n v="2881"/>
    <n v="333453.58297836472"/>
    <n v="3.7450486136118011E-2"/>
    <n v="2.6156737327138746E-3"/>
  </r>
  <r>
    <x v="55"/>
    <x v="6"/>
    <n v="783"/>
    <n v="179482.84446282289"/>
    <n v="-2.3690773067331694E-2"/>
    <n v="1.7178564655677686E-2"/>
  </r>
  <r>
    <x v="55"/>
    <x v="7"/>
    <n v="5198"/>
    <n v="623394.61502750486"/>
    <n v="1.5829587649013099E-2"/>
    <n v="7.0142098806547093E-3"/>
  </r>
  <r>
    <x v="55"/>
    <x v="8"/>
    <n v="4512"/>
    <n v="281875.81664987578"/>
    <n v="3.9391845196959263E-2"/>
    <n v="-1.7870833518819351E-3"/>
  </r>
  <r>
    <x v="55"/>
    <x v="9"/>
    <n v="4950"/>
    <n v="327112.91615573713"/>
    <n v="4.0134482034040797E-2"/>
    <n v="3.6316677722791901E-4"/>
  </r>
  <r>
    <x v="55"/>
    <x v="10"/>
    <n v="4753"/>
    <n v="302361.06314639049"/>
    <n v="2.6787643119464244E-2"/>
    <n v="-3.5810281927508569E-3"/>
  </r>
  <r>
    <x v="55"/>
    <x v="11"/>
    <n v="614"/>
    <n v="229631.84345599191"/>
    <n v="4.9572649572649619E-2"/>
    <n v="-6.1144414235073663E-3"/>
  </r>
  <r>
    <x v="56"/>
    <x v="0"/>
    <n v="4960.5200000000004"/>
    <n v="288992.82439911942"/>
    <n v="1.7960188795403287E-2"/>
    <n v="5.5097121282292605E-3"/>
  </r>
  <r>
    <x v="56"/>
    <x v="1"/>
    <n v="4821.42"/>
    <n v="362538.29923184903"/>
    <n v="2.1270917178563886E-2"/>
    <n v="-3.9774963332943614E-3"/>
  </r>
  <r>
    <x v="56"/>
    <x v="2"/>
    <n v="3478.57"/>
    <n v="241863.84205128581"/>
    <n v="3.047866205305727E-3"/>
    <n v="5.1708538975803187E-3"/>
  </r>
  <r>
    <x v="56"/>
    <x v="3"/>
    <n v="4441.5700000000006"/>
    <n v="330183.04751504032"/>
    <n v="3.1005106778087432E-2"/>
    <n v="-9.2103596124826215E-4"/>
  </r>
  <r>
    <x v="56"/>
    <x v="4"/>
    <n v="4393.42"/>
    <n v="306631.17917172652"/>
    <n v="3.7162417374881906E-2"/>
    <n v="7.3138443757383431E-3"/>
  </r>
  <r>
    <x v="56"/>
    <x v="5"/>
    <n v="2996"/>
    <n v="328142.68042187352"/>
    <n v="3.9916695591808438E-2"/>
    <n v="-1.5926962034880199E-2"/>
  </r>
  <r>
    <x v="56"/>
    <x v="6"/>
    <n v="761.84"/>
    <n v="182515.90208325029"/>
    <n v="-2.7024265644955303E-2"/>
    <n v="1.6898872031503087E-2"/>
  </r>
  <r>
    <x v="56"/>
    <x v="7"/>
    <n v="5519.06"/>
    <n v="632447.93427811598"/>
    <n v="6.176606387071959E-2"/>
    <n v="1.4522613818554797E-2"/>
  </r>
  <r>
    <x v="56"/>
    <x v="8"/>
    <n v="4558.2"/>
    <n v="280412.24142864317"/>
    <n v="1.0239361702127692E-2"/>
    <n v="-5.1922695555346454E-3"/>
  </r>
  <r>
    <x v="56"/>
    <x v="9"/>
    <n v="5019.37"/>
    <n v="326178.79508298071"/>
    <n v="1.4014141414141479E-2"/>
    <n v="-2.8556532824637326E-3"/>
  </r>
  <r>
    <x v="56"/>
    <x v="10"/>
    <n v="4916.6500000000005"/>
    <n v="301726.02739388688"/>
    <n v="3.4430885756364438E-2"/>
    <n v="-2.1002563818746101E-3"/>
  </r>
  <r>
    <x v="56"/>
    <x v="11"/>
    <n v="636.65000000000009"/>
    <n v="229642.62650701861"/>
    <n v="3.6889250814332364E-2"/>
    <n v="4.6957995304186539E-5"/>
  </r>
  <r>
    <x v="57"/>
    <x v="0"/>
    <n v="4960"/>
    <n v="289091.93327233038"/>
    <n v="-1.0482771967468274E-4"/>
    <n v="3.4294579257121427E-4"/>
  </r>
  <r>
    <x v="57"/>
    <x v="1"/>
    <n v="4833"/>
    <n v="364445.73021905182"/>
    <n v="2.401782047612544E-3"/>
    <n v="5.261322710577776E-3"/>
  </r>
  <r>
    <x v="57"/>
    <x v="2"/>
    <n v="3174"/>
    <n v="244208.32468270959"/>
    <n v="-8.7556093452194506E-2"/>
    <n v="9.6933986144429607E-3"/>
  </r>
  <r>
    <x v="57"/>
    <x v="3"/>
    <n v="4324"/>
    <n v="331672.086974354"/>
    <n v="-2.6470369711611097E-2"/>
    <n v="4.5097392810449222E-3"/>
  </r>
  <r>
    <x v="57"/>
    <x v="4"/>
    <n v="4381"/>
    <n v="305179.86040978582"/>
    <n v="-2.8269548552153356E-3"/>
    <n v="-4.7331088960391732E-3"/>
  </r>
  <r>
    <x v="57"/>
    <x v="5"/>
    <n v="2898"/>
    <n v="327399.52271234401"/>
    <n v="-3.2710280373831724E-2"/>
    <n v="-2.2647395595539743E-3"/>
  </r>
  <r>
    <x v="57"/>
    <x v="6"/>
    <n v="765"/>
    <n v="181365.07183546119"/>
    <n v="4.147852567468302E-3"/>
    <n v="-6.3053697494488414E-3"/>
  </r>
  <r>
    <x v="57"/>
    <x v="7"/>
    <n v="5599"/>
    <n v="652096"/>
    <n v="1.448435059593467E-2"/>
    <n v="3.1066692856401845E-2"/>
  </r>
  <r>
    <x v="57"/>
    <x v="8"/>
    <n v="4512"/>
    <n v="279884.08645021811"/>
    <n v="-1.0135579834145036E-2"/>
    <n v="-1.8834947280982339E-3"/>
  </r>
  <r>
    <x v="57"/>
    <x v="9"/>
    <n v="4879"/>
    <n v="326766.01225446421"/>
    <n v="-2.7965661029172972E-2"/>
    <n v="1.8002922947033539E-3"/>
  </r>
  <r>
    <x v="57"/>
    <x v="10"/>
    <n v="4773"/>
    <n v="301663.86230100982"/>
    <n v="-2.9217048193383777E-2"/>
    <n v="-2.0603158903453878E-4"/>
  </r>
  <r>
    <x v="57"/>
    <x v="11"/>
    <n v="683"/>
    <n v="231908.98119454121"/>
    <n v="7.2802952956883438E-2"/>
    <n v="9.8690505416829666E-3"/>
  </r>
  <r>
    <x v="58"/>
    <x v="0"/>
    <n v="4286"/>
    <n v="289980.25083942019"/>
    <n v="-0.13588709677419353"/>
    <n v="3.0727857295589356E-3"/>
  </r>
  <r>
    <x v="58"/>
    <x v="1"/>
    <n v="4408"/>
    <n v="369502.27569141809"/>
    <n v="-8.7937099110283468E-2"/>
    <n v="1.3874618504453373E-2"/>
  </r>
  <r>
    <x v="58"/>
    <x v="2"/>
    <n v="2419"/>
    <n v="238674.71645041919"/>
    <n v="-0.23787019533711407"/>
    <n v="-2.2659375922094327E-2"/>
  </r>
  <r>
    <x v="58"/>
    <x v="3"/>
    <n v="3836"/>
    <n v="336113.39543653611"/>
    <n v="-0.11285846438482883"/>
    <n v="1.3390660946772881E-2"/>
  </r>
  <r>
    <x v="58"/>
    <x v="4"/>
    <n v="3781"/>
    <n v="306243.98326348321"/>
    <n v="-0.13695503309746637"/>
    <n v="3.4868711594158164E-3"/>
  </r>
  <r>
    <x v="58"/>
    <x v="5"/>
    <n v="2615"/>
    <n v="328521.9967413015"/>
    <n v="-9.7653554175293311E-2"/>
    <n v="3.4284534676725098E-3"/>
  </r>
  <r>
    <x v="58"/>
    <x v="6"/>
    <n v="642"/>
    <n v="178473.17653709589"/>
    <n v="-0.16078431372549018"/>
    <n v="-1.5945161155334842E-2"/>
  </r>
  <r>
    <x v="58"/>
    <x v="7"/>
    <n v="5113"/>
    <n v="668882.37539405178"/>
    <n v="-8.6801214502589708E-2"/>
    <n v="2.5742184270493684E-2"/>
  </r>
  <r>
    <x v="58"/>
    <x v="8"/>
    <n v="3871"/>
    <n v="279876.37696030119"/>
    <n v="-0.14206560283687941"/>
    <n v="-2.7545295678277348E-5"/>
  </r>
  <r>
    <x v="58"/>
    <x v="9"/>
    <n v="4313"/>
    <n v="327798.26951923181"/>
    <n v="-0.1160073785611806"/>
    <n v="3.159010503098969E-3"/>
  </r>
  <r>
    <x v="58"/>
    <x v="10"/>
    <n v="4238"/>
    <n v="303084.11864721822"/>
    <n v="-0.11208883301906558"/>
    <n v="4.708075854280569E-3"/>
  </r>
  <r>
    <x v="58"/>
    <x v="11"/>
    <n v="583"/>
    <n v="235089.08099880279"/>
    <n v="-0.14641288433382138"/>
    <n v="1.3712706544960929E-2"/>
  </r>
  <r>
    <x v="59"/>
    <x v="0"/>
    <n v="3874"/>
    <n v="292003.78639468091"/>
    <n v="-9.6126924871675179E-2"/>
    <n v="6.9781840294402819E-3"/>
  </r>
  <r>
    <x v="59"/>
    <x v="1"/>
    <n v="4008"/>
    <n v="368329.72741063911"/>
    <n v="-9.0744101633393859E-2"/>
    <n v="-3.1733181577431324E-3"/>
  </r>
  <r>
    <x v="59"/>
    <x v="2"/>
    <n v="2007"/>
    <n v="240406.9260083765"/>
    <n v="-0.17031831335262504"/>
    <n v="7.2576164904218921E-3"/>
  </r>
  <r>
    <x v="59"/>
    <x v="3"/>
    <n v="3469"/>
    <n v="338682.9193765801"/>
    <n v="-9.5672575599582865E-2"/>
    <n v="7.6448126582600029E-3"/>
  </r>
  <r>
    <x v="59"/>
    <x v="4"/>
    <n v="3397"/>
    <n v="310326.18845235859"/>
    <n v="-0.10156043374768575"/>
    <n v="1.332991148225493E-2"/>
  </r>
  <r>
    <x v="59"/>
    <x v="5"/>
    <n v="2373"/>
    <n v="334847.28011468862"/>
    <n v="-9.254302103250478E-2"/>
    <n v="1.9253759066757636E-2"/>
  </r>
  <r>
    <x v="59"/>
    <x v="6"/>
    <n v="598"/>
    <n v="180703.00025535861"/>
    <n v="-6.8535825545171347E-2"/>
    <n v="1.249388710128807E-2"/>
  </r>
  <r>
    <x v="59"/>
    <x v="7"/>
    <n v="4645"/>
    <n v="687136.88857030531"/>
    <n v="-9.1531390573049043E-2"/>
    <n v="2.7291066184094603E-2"/>
  </r>
  <r>
    <x v="59"/>
    <x v="8"/>
    <n v="3480"/>
    <n v="283657.11184294149"/>
    <n v="-0.10100749160423661"/>
    <n v="1.3508588769450158E-2"/>
  </r>
  <r>
    <x v="59"/>
    <x v="9"/>
    <n v="3764"/>
    <n v="332381.78182822512"/>
    <n v="-0.12728958961279857"/>
    <n v="1.3982722714539486E-2"/>
  </r>
  <r>
    <x v="59"/>
    <x v="10"/>
    <n v="3835"/>
    <n v="306610.88333045557"/>
    <n v="-9.5092024539877307E-2"/>
    <n v="1.1636256953939661E-2"/>
  </r>
  <r>
    <x v="59"/>
    <x v="11"/>
    <n v="538"/>
    <n v="237678.0265019311"/>
    <n v="-7.7186963979416823E-2"/>
    <n v="1.1012614844249091E-2"/>
  </r>
  <r>
    <x v="60"/>
    <x v="0"/>
    <n v="3995"/>
    <n v="295857.63627712522"/>
    <n v="3.1233866804336596E-2"/>
    <n v="1.3197944896629954E-2"/>
  </r>
  <r>
    <x v="60"/>
    <x v="1"/>
    <n v="4055"/>
    <n v="368955.45423507312"/>
    <n v="1.1726546906187574E-2"/>
    <n v="1.6988224893843551E-3"/>
  </r>
  <r>
    <x v="60"/>
    <x v="2"/>
    <n v="2021"/>
    <n v="239605.44126146811"/>
    <n v="6.9755854509216952E-3"/>
    <n v="-3.3338671236138318E-3"/>
  </r>
  <r>
    <x v="60"/>
    <x v="3"/>
    <n v="3577"/>
    <n v="338935.99935681309"/>
    <n v="3.1132891323147893E-2"/>
    <n v="7.4724754557697892E-4"/>
  </r>
  <r>
    <x v="60"/>
    <x v="4"/>
    <n v="3476"/>
    <n v="313831.97483090812"/>
    <n v="2.3255813953488413E-2"/>
    <n v="1.1297101272803811E-2"/>
  </r>
  <r>
    <x v="60"/>
    <x v="5"/>
    <n v="2462"/>
    <n v="335102.60702170612"/>
    <n v="3.750526759376327E-2"/>
    <n v="7.6251748836075883E-4"/>
  </r>
  <r>
    <x v="60"/>
    <x v="6"/>
    <n v="590"/>
    <n v="183225.25019643709"/>
    <n v="-1.3377926421404673E-2"/>
    <n v="1.3957985963233499E-2"/>
  </r>
  <r>
    <x v="60"/>
    <x v="7"/>
    <n v="4680"/>
    <n v="675010.44577401597"/>
    <n v="7.5349838536060698E-3"/>
    <n v="-1.7647783138990403E-2"/>
  </r>
  <r>
    <x v="60"/>
    <x v="8"/>
    <n v="3564"/>
    <n v="286213.87438602129"/>
    <n v="2.4137931034482696E-2"/>
    <n v="9.0135675656721759E-3"/>
  </r>
  <r>
    <x v="60"/>
    <x v="9"/>
    <n v="4001"/>
    <n v="336469.0688223911"/>
    <n v="6.2964930924548357E-2"/>
    <n v="1.2296964567926505E-2"/>
  </r>
  <r>
    <x v="60"/>
    <x v="10"/>
    <n v="4035"/>
    <n v="308569.71740717988"/>
    <n v="5.2151238591916504E-2"/>
    <n v="6.3886645361284078E-3"/>
  </r>
  <r>
    <x v="60"/>
    <x v="11"/>
    <n v="566"/>
    <n v="241788.4998186747"/>
    <n v="5.2044609665427455E-2"/>
    <n v="1.7294292523546417E-2"/>
  </r>
  <r>
    <x v="61"/>
    <x v="0"/>
    <n v="4031"/>
    <n v="296711.33436988131"/>
    <n v="9.011264080100112E-3"/>
    <n v="2.8855029854846226E-3"/>
  </r>
  <r>
    <x v="61"/>
    <x v="1"/>
    <n v="4060"/>
    <n v="371943.62034706899"/>
    <n v="1.2330456226881115E-3"/>
    <n v="8.0989888554188205E-3"/>
  </r>
  <r>
    <x v="61"/>
    <x v="2"/>
    <n v="1979"/>
    <n v="241066.2104217906"/>
    <n v="-2.0781791192478916E-2"/>
    <n v="6.0965608820562345E-3"/>
  </r>
  <r>
    <x v="61"/>
    <x v="3"/>
    <n v="3676"/>
    <n v="341724.35932565929"/>
    <n v="2.7676824154319268E-2"/>
    <n v="8.2268038040738123E-3"/>
  </r>
  <r>
    <x v="61"/>
    <x v="4"/>
    <n v="3467"/>
    <n v="316327.06470858649"/>
    <n v="-2.5891829689298484E-3"/>
    <n v="7.950400461975704E-3"/>
  </r>
  <r>
    <x v="61"/>
    <x v="5"/>
    <n v="2467"/>
    <n v="336597.12595187902"/>
    <n v="2.0308692120227789E-3"/>
    <n v="4.4598845215073624E-3"/>
  </r>
  <r>
    <x v="61"/>
    <x v="6"/>
    <n v="587"/>
    <n v="181176.34098034751"/>
    <n v="-5.0847457627118953E-3"/>
    <n v="-1.1182461008474198E-2"/>
  </r>
  <r>
    <x v="61"/>
    <x v="7"/>
    <n v="4783"/>
    <n v="675566.28607855435"/>
    <n v="2.200854700854693E-2"/>
    <n v="8.2345437469633076E-4"/>
  </r>
  <r>
    <x v="61"/>
    <x v="8"/>
    <n v="3757"/>
    <n v="285943.1054842883"/>
    <n v="5.4152637485970878E-2"/>
    <n v="-9.4603695335815363E-4"/>
  </r>
  <r>
    <x v="61"/>
    <x v="9"/>
    <n v="4041"/>
    <n v="335447.96066498052"/>
    <n v="9.9975006248438358E-3"/>
    <n v="-3.0347757105411155E-3"/>
  </r>
  <r>
    <x v="61"/>
    <x v="10"/>
    <n v="3996"/>
    <n v="311004.03813215619"/>
    <n v="-9.665427509293667E-3"/>
    <n v="7.8890460976897003E-3"/>
  </r>
  <r>
    <x v="61"/>
    <x v="11"/>
    <n v="593"/>
    <n v="244944.74664733041"/>
    <n v="4.7703180212014029E-2"/>
    <n v="1.3053750823644128E-2"/>
  </r>
  <r>
    <x v="62"/>
    <x v="0"/>
    <n v="3945"/>
    <n v="297368.20961400057"/>
    <n v="-2.1334656412800745E-2"/>
    <n v="2.2138528867265972E-3"/>
  </r>
  <r>
    <x v="62"/>
    <x v="1"/>
    <n v="4053"/>
    <n v="376505.26851884701"/>
    <n v="-1.7241379310344307E-3"/>
    <n v="1.2264353848901788E-2"/>
  </r>
  <r>
    <x v="62"/>
    <x v="2"/>
    <n v="1946"/>
    <n v="240027.5228364263"/>
    <n v="-1.6675088428499296E-2"/>
    <n v="-4.3087232488822069E-3"/>
  </r>
  <r>
    <x v="62"/>
    <x v="3"/>
    <n v="3600"/>
    <n v="343250.62477042607"/>
    <n v="-2.0674646354733373E-2"/>
    <n v="4.466364200019779E-3"/>
  </r>
  <r>
    <x v="62"/>
    <x v="4"/>
    <n v="3406"/>
    <n v="314724.05188943259"/>
    <n v="-1.7594462070954719E-2"/>
    <n v="-5.0675803558910548E-3"/>
  </r>
  <r>
    <x v="62"/>
    <x v="5"/>
    <n v="2420"/>
    <n v="335750.1813191523"/>
    <n v="-1.9051479529793247E-2"/>
    <n v="-2.5161968639263455E-3"/>
  </r>
  <r>
    <x v="62"/>
    <x v="6"/>
    <n v="578"/>
    <n v="182244.0329244571"/>
    <n v="-1.5332197614991494E-2"/>
    <n v="5.8931091020621995E-3"/>
  </r>
  <r>
    <x v="62"/>
    <x v="7"/>
    <n v="4702"/>
    <n v="677386.18006543163"/>
    <n v="-1.6934978047250637E-2"/>
    <n v="2.6938792304767034E-3"/>
  </r>
  <r>
    <x v="62"/>
    <x v="8"/>
    <n v="3640"/>
    <n v="286221.31953163189"/>
    <n v="-3.114186851211076E-2"/>
    <n v="9.7296994404660886E-4"/>
  </r>
  <r>
    <x v="62"/>
    <x v="9"/>
    <n v="3947"/>
    <n v="337436.08787011681"/>
    <n v="-2.3261568918584552E-2"/>
    <n v="5.9267828046862814E-3"/>
  </r>
  <r>
    <x v="62"/>
    <x v="10"/>
    <n v="3898"/>
    <n v="312715.54204088531"/>
    <n v="-2.4524524524524471E-2"/>
    <n v="5.503156547445931E-3"/>
  </r>
  <r>
    <x v="62"/>
    <x v="11"/>
    <n v="562"/>
    <n v="244519.15104437791"/>
    <n v="-5.227655986509272E-2"/>
    <n v="-1.7375167615465426E-3"/>
  </r>
  <r>
    <x v="63"/>
    <x v="0"/>
    <n v="3937"/>
    <n v="299179.8334931166"/>
    <n v="-2.0278833967046772E-3"/>
    <n v="6.0921908278883663E-3"/>
  </r>
  <r>
    <x v="63"/>
    <x v="1"/>
    <n v="4124"/>
    <n v="379696.244495266"/>
    <n v="1.7517887984209279E-2"/>
    <n v="8.4752492016171299E-3"/>
  </r>
  <r>
    <x v="63"/>
    <x v="2"/>
    <n v="1912"/>
    <n v="240633.21552951471"/>
    <n v="-1.7471736896197299E-2"/>
    <n v="2.5234301713856766E-3"/>
  </r>
  <r>
    <x v="63"/>
    <x v="3"/>
    <n v="3642"/>
    <n v="344838.07020641002"/>
    <n v="1.1666666666666714E-2"/>
    <n v="4.6247415778066792E-3"/>
  </r>
  <r>
    <x v="63"/>
    <x v="4"/>
    <n v="3420"/>
    <n v="315255.15594688873"/>
    <n v="4.1103934233706063E-3"/>
    <n v="1.6875229403907621E-3"/>
  </r>
  <r>
    <x v="63"/>
    <x v="5"/>
    <n v="2404"/>
    <n v="336790.17124595778"/>
    <n v="-6.6115702479339067E-3"/>
    <n v="3.0975111397391064E-3"/>
  </r>
  <r>
    <x v="63"/>
    <x v="6"/>
    <n v="587"/>
    <n v="180956.4947770311"/>
    <n v="1.5570934256055269E-2"/>
    <n v="-7.0649125064067286E-3"/>
  </r>
  <r>
    <x v="63"/>
    <x v="7"/>
    <n v="4706"/>
    <n v="690909.15392881958"/>
    <n v="8.5070182900892632E-4"/>
    <n v="1.9963462883287209E-2"/>
  </r>
  <r>
    <x v="63"/>
    <x v="8"/>
    <n v="3673"/>
    <n v="288195.5116936898"/>
    <n v="9.0659340659340337E-3"/>
    <n v="6.8974322572772362E-3"/>
  </r>
  <r>
    <x v="63"/>
    <x v="9"/>
    <n v="4015"/>
    <n v="340908.6453013721"/>
    <n v="1.7228274638966257E-2"/>
    <n v="1.0291007856254808E-2"/>
  </r>
  <r>
    <x v="63"/>
    <x v="10"/>
    <n v="3987"/>
    <n v="314571.80840825947"/>
    <n v="2.2832221652129281E-2"/>
    <n v="5.9359581402944617E-3"/>
  </r>
  <r>
    <x v="63"/>
    <x v="11"/>
    <n v="534"/>
    <n v="244800.52604605441"/>
    <n v="-4.9822064056939452E-2"/>
    <n v="1.1507278692679535E-3"/>
  </r>
  <r>
    <x v="64"/>
    <x v="0"/>
    <n v="3717"/>
    <n v="300411.15172712231"/>
    <n v="-5.5880111760223561E-2"/>
    <n v="4.1156458295643628E-3"/>
  </r>
  <r>
    <x v="64"/>
    <x v="1"/>
    <n v="3981"/>
    <n v="386488.58184481232"/>
    <n v="-3.4675072744907887E-2"/>
    <n v="1.7888871559884612E-2"/>
  </r>
  <r>
    <x v="64"/>
    <x v="2"/>
    <n v="1678"/>
    <n v="238893.6730041714"/>
    <n v="-0.12238493723849375"/>
    <n v="-7.2290208212337781E-3"/>
  </r>
  <r>
    <x v="64"/>
    <x v="3"/>
    <n v="3479"/>
    <n v="344945.80126026628"/>
    <n v="-4.4755628775398182E-2"/>
    <n v="3.1241055777786464E-4"/>
  </r>
  <r>
    <x v="64"/>
    <x v="4"/>
    <n v="3280"/>
    <n v="319672.09024320153"/>
    <n v="-4.0935672514619936E-2"/>
    <n v="1.4010664736144429E-2"/>
  </r>
  <r>
    <x v="64"/>
    <x v="5"/>
    <n v="2190"/>
    <n v="336678.29908251087"/>
    <n v="-8.9018302828619E-2"/>
    <n v="-3.3217169917110212E-4"/>
  </r>
  <r>
    <x v="64"/>
    <x v="6"/>
    <n v="543"/>
    <n v="180581.59659172891"/>
    <n v="-7.4957410562180526E-2"/>
    <n v="-2.071758660909695E-3"/>
  </r>
  <r>
    <x v="64"/>
    <x v="7"/>
    <n v="4414"/>
    <n v="700027.13102242816"/>
    <n v="-6.2048448788780242E-2"/>
    <n v="1.3197070905428987E-2"/>
  </r>
  <r>
    <x v="64"/>
    <x v="8"/>
    <n v="3446"/>
    <n v="288286.60095405392"/>
    <n v="-6.1802341410291284E-2"/>
    <n v="3.1606758838398363E-4"/>
  </r>
  <r>
    <x v="64"/>
    <x v="9"/>
    <n v="3693"/>
    <n v="344135.97311972751"/>
    <n v="-8.0199252801992582E-2"/>
    <n v="9.4668406414344375E-3"/>
  </r>
  <r>
    <x v="64"/>
    <x v="10"/>
    <n v="3796"/>
    <n v="313996.77878630348"/>
    <n v="-4.7905693503887625E-2"/>
    <n v="-1.8279757008921038E-3"/>
  </r>
  <r>
    <x v="64"/>
    <x v="11"/>
    <n v="491"/>
    <n v="247106.66289453721"/>
    <n v="-8.0524344569288364E-2"/>
    <n v="9.4204734186271732E-3"/>
  </r>
  <r>
    <x v="65"/>
    <x v="0"/>
    <n v="3894"/>
    <n v="301769.6113086734"/>
    <n v="4.7619047619047672E-2"/>
    <n v="4.5220011765243484E-3"/>
  </r>
  <r>
    <x v="65"/>
    <x v="1"/>
    <n v="4124"/>
    <n v="382760.96188964648"/>
    <n v="3.5920622959055404E-2"/>
    <n v="-9.6448385030494244E-3"/>
  </r>
  <r>
    <x v="65"/>
    <x v="2"/>
    <n v="1473"/>
    <n v="237231.21085144891"/>
    <n v="-0.12216924910607863"/>
    <n v="-6.9590045304107617E-3"/>
  </r>
  <r>
    <x v="65"/>
    <x v="3"/>
    <n v="3606"/>
    <n v="347418.75309579581"/>
    <n v="3.6504742742167196E-2"/>
    <n v="7.1691025850859624E-3"/>
  </r>
  <r>
    <x v="65"/>
    <x v="4"/>
    <n v="3406"/>
    <n v="321520.85726986901"/>
    <n v="3.8414634146341387E-2"/>
    <n v="5.7833232336954588E-3"/>
  </r>
  <r>
    <x v="65"/>
    <x v="5"/>
    <n v="2255"/>
    <n v="340593.1035257433"/>
    <n v="2.9680365296803624E-2"/>
    <n v="1.1627730251402513E-2"/>
  </r>
  <r>
    <x v="65"/>
    <x v="6"/>
    <n v="571"/>
    <n v="182474.551632741"/>
    <n v="5.1565377532228451E-2"/>
    <n v="1.0482546819495786E-2"/>
  </r>
  <r>
    <x v="65"/>
    <x v="7"/>
    <n v="4498"/>
    <n v="696654.28967265761"/>
    <n v="1.9030357951971055E-2"/>
    <n v="-4.8181580403096058E-3"/>
  </r>
  <r>
    <x v="65"/>
    <x v="8"/>
    <n v="3544"/>
    <n v="289957.88657703123"/>
    <n v="2.8438769587928014E-2"/>
    <n v="5.7973059359899271E-3"/>
  </r>
  <r>
    <x v="65"/>
    <x v="9"/>
    <n v="3867"/>
    <n v="346148.28879103687"/>
    <n v="4.7116165718927627E-2"/>
    <n v="5.84744353537614E-3"/>
  </r>
  <r>
    <x v="65"/>
    <x v="10"/>
    <n v="3939"/>
    <n v="317123.17237117741"/>
    <n v="3.7671232876712368E-2"/>
    <n v="9.9567696106896975E-3"/>
  </r>
  <r>
    <x v="65"/>
    <x v="11"/>
    <n v="518"/>
    <n v="246169.1030635497"/>
    <n v="5.4989816700611094E-2"/>
    <n v="-3.7941503478911009E-3"/>
  </r>
  <r>
    <x v="66"/>
    <x v="0"/>
    <n v="3771"/>
    <n v="301401.5354857652"/>
    <n v="-3.1587057010785791E-2"/>
    <n v="-1.2197246147880314E-3"/>
  </r>
  <r>
    <x v="66"/>
    <x v="1"/>
    <n v="4115"/>
    <n v="390426.86223253259"/>
    <n v="-2.1823472356935492E-3"/>
    <n v="2.0027905419195413E-2"/>
  </r>
  <r>
    <x v="66"/>
    <x v="2"/>
    <n v="1327"/>
    <n v="237173.07507765331"/>
    <n v="-9.9117447386286472E-2"/>
    <n v="-2.4505955007747549E-4"/>
  </r>
  <r>
    <x v="66"/>
    <x v="3"/>
    <n v="3596"/>
    <n v="348719.96547182067"/>
    <n v="-2.7731558513588439E-3"/>
    <n v="3.7453717291595634E-3"/>
  </r>
  <r>
    <x v="66"/>
    <x v="4"/>
    <n v="3408"/>
    <n v="321601.43818400661"/>
    <n v="5.8719906048154691E-4"/>
    <n v="2.506242202195974E-4"/>
  </r>
  <r>
    <x v="66"/>
    <x v="5"/>
    <n v="2270"/>
    <n v="341954.07260854339"/>
    <n v="6.6518847006651338E-3"/>
    <n v="3.9958797424599624E-3"/>
  </r>
  <r>
    <x v="66"/>
    <x v="6"/>
    <n v="545"/>
    <n v="182007.55114424881"/>
    <n v="-4.5534150612959734E-2"/>
    <n v="-2.5592636579379047E-3"/>
  </r>
  <r>
    <x v="66"/>
    <x v="7"/>
    <n v="4466"/>
    <n v="691577.06056553405"/>
    <n v="-7.1142730102267127E-3"/>
    <n v="-7.2880181495893481E-3"/>
  </r>
  <r>
    <x v="66"/>
    <x v="8"/>
    <n v="3588"/>
    <n v="293796.85927651142"/>
    <n v="1.2415349887133109E-2"/>
    <n v="1.3239759555428776E-2"/>
  </r>
  <r>
    <x v="66"/>
    <x v="9"/>
    <n v="3801"/>
    <n v="347494.20654323848"/>
    <n v="-1.706749418153608E-2"/>
    <n v="3.8882692643156247E-3"/>
  </r>
  <r>
    <x v="66"/>
    <x v="10"/>
    <n v="3865"/>
    <n v="319461.35296923999"/>
    <n v="-1.8786494034018775E-2"/>
    <n v="7.3730991670513113E-3"/>
  </r>
  <r>
    <x v="66"/>
    <x v="11"/>
    <n v="522"/>
    <n v="245622.2141219851"/>
    <n v="7.7220077220077066E-3"/>
    <n v="-2.221598627766940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CC164-3C6F-4CFA-A20A-6CEDA0A58D31}" name="Изменение_объема" cacheId="53" applyNumberFormats="0" applyBorderFormats="0" applyFontFormats="0" applyPatternFormats="0" applyAlignmentFormats="0" applyWidthHeightFormats="1" dataCaption="Значения" updatedVersion="8" minRefreshableVersion="3" rowGrandTotals="0" colGrandTotals="0" itemPrintTitles="1" createdVersion="7" indent="0" compact="0" compactData="0" multipleFieldFilters="0" chartFormat="13">
  <location ref="B2:EF17" firstHeaderRow="1" firstDataRow="4" firstDataCol="1"/>
  <pivotFields count="8">
    <pivotField axis="axisCol" compact="0" numFmtId="14" outline="0" multipleItemSelectionAllowed="1" showAll="0" defaultSubtotal="0">
      <items count="14">
        <item h="1" x="0"/>
        <item x="1"/>
        <item x="2"/>
        <item x="3"/>
        <item x="4"/>
        <item x="5"/>
        <item x="6"/>
        <item x="7"/>
        <item x="8"/>
        <item x="9"/>
        <item x="10"/>
        <item x="11"/>
        <item x="12"/>
        <item h="1" x="13"/>
      </items>
    </pivotField>
    <pivotField axis="axisRow" compact="0" outline="0" showAll="0" defaultSubtotal="0">
      <items count="12">
        <item n="Восточный" x="0"/>
        <item n="Западный" x="1"/>
        <item n="Новомосковский" x="2"/>
        <item n="Северный" x="3"/>
        <item n="Северо-Восточный " x="4"/>
        <item n="Северо-Западный" x="5"/>
        <item n="Троицкий" x="6"/>
        <item n="Центральный" x="7"/>
        <item n="Юго-Восточный" x="8"/>
        <item n="Юго-Западный" x="9"/>
        <item n="Южный" x="10"/>
        <item x="11"/>
      </items>
    </pivotField>
    <pivotField dataField="1" compact="0" outline="0" showAll="0" defaultSubtotal="0"/>
    <pivotField compact="0" numFmtId="165" outline="0" showAll="0" defaultSubtotal="0"/>
    <pivotField dataField="1" compact="0" outline="0" subtotalTop="0" showAll="0" defaultSubtotal="0"/>
    <pivotField compact="0" outline="0" subtotalTop="0" showAll="0" defaultSubtotal="0"/>
    <pivotField compact="0" outline="0" showAll="0" defaultSubtotal="0">
      <items count="6">
        <item sd="0" x="1"/>
        <item sd="0" x="2"/>
        <item sd="0" x="3"/>
        <item sd="0" x="4"/>
        <item x="0"/>
        <item x="5"/>
      </items>
    </pivotField>
    <pivotField name="Год" axis="axisCol" compact="0" outline="0" multipleItemSelectionAllowed="1" showAll="0" sortType="ascending" defaultSubtotal="0">
      <items count="8">
        <item h="1" x="0"/>
        <item h="1" x="7"/>
        <item x="1"/>
        <item x="2"/>
        <item x="3"/>
        <item x="4"/>
        <item x="5"/>
        <item x="6"/>
      </items>
    </pivotField>
  </pivotFields>
  <rowFields count="1">
    <field x="1"/>
  </rowFields>
  <rowItems count="12">
    <i>
      <x/>
    </i>
    <i>
      <x v="1"/>
    </i>
    <i>
      <x v="2"/>
    </i>
    <i>
      <x v="3"/>
    </i>
    <i>
      <x v="4"/>
    </i>
    <i>
      <x v="5"/>
    </i>
    <i>
      <x v="6"/>
    </i>
    <i>
      <x v="7"/>
    </i>
    <i>
      <x v="8"/>
    </i>
    <i>
      <x v="9"/>
    </i>
    <i>
      <x v="10"/>
    </i>
    <i>
      <x v="11"/>
    </i>
  </rowItems>
  <colFields count="3">
    <field x="7"/>
    <field x="0"/>
    <field x="-2"/>
  </colFields>
  <colItems count="134">
    <i>
      <x v="2"/>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3"/>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4"/>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5"/>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6"/>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7"/>
      <x v="1"/>
      <x/>
    </i>
    <i r="2" i="1">
      <x v="1"/>
    </i>
    <i r="1">
      <x v="2"/>
      <x/>
    </i>
    <i r="2" i="1">
      <x v="1"/>
    </i>
    <i r="1">
      <x v="3"/>
      <x/>
    </i>
    <i r="2" i="1">
      <x v="1"/>
    </i>
    <i r="1">
      <x v="4"/>
      <x/>
    </i>
    <i r="2" i="1">
      <x v="1"/>
    </i>
    <i r="1">
      <x v="5"/>
      <x/>
    </i>
    <i r="2" i="1">
      <x v="1"/>
    </i>
    <i r="1">
      <x v="6"/>
      <x/>
    </i>
    <i r="2" i="1">
      <x v="1"/>
    </i>
    <i r="1">
      <x v="7"/>
      <x/>
    </i>
    <i r="2" i="1">
      <x v="1"/>
    </i>
    <i r="1">
      <x v="8"/>
      <x/>
    </i>
    <i r="2" i="1">
      <x v="1"/>
    </i>
  </colItems>
  <dataFields count="2">
    <dataField name="Объем" fld="2" baseField="0" baseItem="0" numFmtId="3"/>
    <dataField name="Изм объема" fld="4" baseField="1" baseItem="0"/>
  </dataFields>
  <formats count="115">
    <format dxfId="434">
      <pivotArea outline="0" fieldPosition="0">
        <references count="3">
          <reference field="4294967294" count="1" selected="0">
            <x v="0"/>
          </reference>
          <reference field="0" count="1" selected="0">
            <x v="1"/>
          </reference>
          <reference field="7" count="1" selected="0">
            <x v="4"/>
          </reference>
        </references>
      </pivotArea>
    </format>
    <format dxfId="433">
      <pivotArea outline="0" fieldPosition="0">
        <references count="3">
          <reference field="4294967294" count="1" selected="0">
            <x v="1"/>
          </reference>
          <reference field="0" count="1" selected="0">
            <x v="1"/>
          </reference>
          <reference field="7" count="1" selected="0">
            <x v="4"/>
          </reference>
        </references>
      </pivotArea>
    </format>
    <format dxfId="432">
      <pivotArea outline="0" fieldPosition="0">
        <references count="3">
          <reference field="4294967294" count="2" selected="0">
            <x v="0"/>
            <x v="1"/>
          </reference>
          <reference field="0" count="11" selected="0">
            <x v="2"/>
            <x v="3"/>
            <x v="4"/>
            <x v="5"/>
            <x v="6"/>
            <x v="7"/>
            <x v="8"/>
            <x v="9"/>
            <x v="10"/>
            <x v="11"/>
            <x v="12"/>
          </reference>
          <reference field="7" count="1" selected="0">
            <x v="4"/>
          </reference>
        </references>
      </pivotArea>
    </format>
    <format dxfId="431">
      <pivotArea outline="0" fieldPosition="0">
        <references count="1">
          <reference field="7" count="1" selected="0">
            <x v="5"/>
          </reference>
        </references>
      </pivotArea>
    </format>
    <format dxfId="430">
      <pivotArea dataOnly="0" labelOnly="1" outline="0" fieldPosition="0">
        <references count="3">
          <reference field="4294967294" count="1">
            <x v="1"/>
          </reference>
          <reference field="0" count="1" selected="0">
            <x v="1"/>
          </reference>
          <reference field="7" count="1" selected="0">
            <x v="4"/>
          </reference>
        </references>
      </pivotArea>
    </format>
    <format dxfId="429">
      <pivotArea dataOnly="0" labelOnly="1" outline="0" fieldPosition="0">
        <references count="3">
          <reference field="4294967294" count="2">
            <x v="0"/>
            <x v="1"/>
          </reference>
          <reference field="0" count="1" selected="0">
            <x v="2"/>
          </reference>
          <reference field="7" count="1" selected="0">
            <x v="4"/>
          </reference>
        </references>
      </pivotArea>
    </format>
    <format dxfId="428">
      <pivotArea dataOnly="0" labelOnly="1" outline="0" fieldPosition="0">
        <references count="3">
          <reference field="4294967294" count="2">
            <x v="0"/>
            <x v="1"/>
          </reference>
          <reference field="0" count="1" selected="0">
            <x v="3"/>
          </reference>
          <reference field="7" count="1" selected="0">
            <x v="4"/>
          </reference>
        </references>
      </pivotArea>
    </format>
    <format dxfId="427">
      <pivotArea dataOnly="0" labelOnly="1" outline="0" fieldPosition="0">
        <references count="3">
          <reference field="4294967294" count="2">
            <x v="0"/>
            <x v="1"/>
          </reference>
          <reference field="0" count="1" selected="0">
            <x v="4"/>
          </reference>
          <reference field="7" count="1" selected="0">
            <x v="4"/>
          </reference>
        </references>
      </pivotArea>
    </format>
    <format dxfId="426">
      <pivotArea dataOnly="0" labelOnly="1" outline="0" fieldPosition="0">
        <references count="3">
          <reference field="4294967294" count="2">
            <x v="0"/>
            <x v="1"/>
          </reference>
          <reference field="0" count="1" selected="0">
            <x v="5"/>
          </reference>
          <reference field="7" count="1" selected="0">
            <x v="4"/>
          </reference>
        </references>
      </pivotArea>
    </format>
    <format dxfId="425">
      <pivotArea dataOnly="0" labelOnly="1" outline="0" fieldPosition="0">
        <references count="3">
          <reference field="4294967294" count="2">
            <x v="0"/>
            <x v="1"/>
          </reference>
          <reference field="0" count="1" selected="0">
            <x v="6"/>
          </reference>
          <reference field="7" count="1" selected="0">
            <x v="4"/>
          </reference>
        </references>
      </pivotArea>
    </format>
    <format dxfId="424">
      <pivotArea dataOnly="0" labelOnly="1" outline="0" fieldPosition="0">
        <references count="3">
          <reference field="4294967294" count="2">
            <x v="0"/>
            <x v="1"/>
          </reference>
          <reference field="0" count="1" selected="0">
            <x v="7"/>
          </reference>
          <reference field="7" count="1" selected="0">
            <x v="4"/>
          </reference>
        </references>
      </pivotArea>
    </format>
    <format dxfId="423">
      <pivotArea dataOnly="0" labelOnly="1" outline="0" fieldPosition="0">
        <references count="3">
          <reference field="4294967294" count="2">
            <x v="0"/>
            <x v="1"/>
          </reference>
          <reference field="0" count="1" selected="0">
            <x v="8"/>
          </reference>
          <reference field="7" count="1" selected="0">
            <x v="4"/>
          </reference>
        </references>
      </pivotArea>
    </format>
    <format dxfId="422">
      <pivotArea dataOnly="0" labelOnly="1" outline="0" fieldPosition="0">
        <references count="3">
          <reference field="4294967294" count="2">
            <x v="0"/>
            <x v="1"/>
          </reference>
          <reference field="0" count="1" selected="0">
            <x v="9"/>
          </reference>
          <reference field="7" count="1" selected="0">
            <x v="4"/>
          </reference>
        </references>
      </pivotArea>
    </format>
    <format dxfId="421">
      <pivotArea dataOnly="0" labelOnly="1" outline="0" fieldPosition="0">
        <references count="3">
          <reference field="4294967294" count="2">
            <x v="0"/>
            <x v="1"/>
          </reference>
          <reference field="0" count="1" selected="0">
            <x v="10"/>
          </reference>
          <reference field="7" count="1" selected="0">
            <x v="4"/>
          </reference>
        </references>
      </pivotArea>
    </format>
    <format dxfId="420">
      <pivotArea dataOnly="0" labelOnly="1" outline="0" fieldPosition="0">
        <references count="3">
          <reference field="4294967294" count="2">
            <x v="0"/>
            <x v="1"/>
          </reference>
          <reference field="0" count="1" selected="0">
            <x v="11"/>
          </reference>
          <reference field="7" count="1" selected="0">
            <x v="4"/>
          </reference>
        </references>
      </pivotArea>
    </format>
    <format dxfId="419">
      <pivotArea dataOnly="0" labelOnly="1" outline="0" fieldPosition="0">
        <references count="3">
          <reference field="4294967294" count="2">
            <x v="0"/>
            <x v="1"/>
          </reference>
          <reference field="0" count="1" selected="0">
            <x v="12"/>
          </reference>
          <reference field="7" count="1" selected="0">
            <x v="4"/>
          </reference>
        </references>
      </pivotArea>
    </format>
    <format dxfId="418">
      <pivotArea dataOnly="0" labelOnly="1" outline="0" fieldPosition="0">
        <references count="3">
          <reference field="4294967294" count="2">
            <x v="0"/>
            <x v="1"/>
          </reference>
          <reference field="0" count="1" selected="0">
            <x v="1"/>
          </reference>
          <reference field="7" count="1" selected="0">
            <x v="5"/>
          </reference>
        </references>
      </pivotArea>
    </format>
    <format dxfId="417">
      <pivotArea dataOnly="0" labelOnly="1" outline="0" fieldPosition="0">
        <references count="3">
          <reference field="4294967294" count="2">
            <x v="0"/>
            <x v="1"/>
          </reference>
          <reference field="0" count="1" selected="0">
            <x v="2"/>
          </reference>
          <reference field="7" count="1" selected="0">
            <x v="5"/>
          </reference>
        </references>
      </pivotArea>
    </format>
    <format dxfId="416">
      <pivotArea dataOnly="0" labelOnly="1" outline="0" fieldPosition="0">
        <references count="3">
          <reference field="4294967294" count="2">
            <x v="0"/>
            <x v="1"/>
          </reference>
          <reference field="0" count="1" selected="0">
            <x v="3"/>
          </reference>
          <reference field="7" count="1" selected="0">
            <x v="5"/>
          </reference>
        </references>
      </pivotArea>
    </format>
    <format dxfId="415">
      <pivotArea dataOnly="0" labelOnly="1" outline="0" fieldPosition="0">
        <references count="3">
          <reference field="4294967294" count="2">
            <x v="0"/>
            <x v="1"/>
          </reference>
          <reference field="0" count="1" selected="0">
            <x v="4"/>
          </reference>
          <reference field="7" count="1" selected="0">
            <x v="5"/>
          </reference>
        </references>
      </pivotArea>
    </format>
    <format dxfId="414">
      <pivotArea outline="0" fieldPosition="0">
        <references count="3">
          <reference field="4294967294" count="1" selected="0">
            <x v="1"/>
          </reference>
          <reference field="0" count="1" selected="0">
            <x v="2"/>
          </reference>
          <reference field="7" count="1" selected="0">
            <x v="4"/>
          </reference>
        </references>
      </pivotArea>
    </format>
    <format dxfId="413">
      <pivotArea outline="0" fieldPosition="0">
        <references count="3">
          <reference field="4294967294" count="1" selected="0">
            <x v="1"/>
          </reference>
          <reference field="0" count="1" selected="0">
            <x v="3"/>
          </reference>
          <reference field="7" count="1" selected="0">
            <x v="4"/>
          </reference>
        </references>
      </pivotArea>
    </format>
    <format dxfId="412">
      <pivotArea outline="0" fieldPosition="0">
        <references count="3">
          <reference field="4294967294" count="1" selected="0">
            <x v="1"/>
          </reference>
          <reference field="0" count="1" selected="0">
            <x v="4"/>
          </reference>
          <reference field="7" count="1" selected="0">
            <x v="4"/>
          </reference>
        </references>
      </pivotArea>
    </format>
    <format dxfId="411">
      <pivotArea outline="0" fieldPosition="0">
        <references count="4">
          <reference field="4294967294" count="1" selected="0">
            <x v="1"/>
          </reference>
          <reference field="0" count="1" selected="0">
            <x v="4"/>
          </reference>
          <reference field="1" count="0" selected="0"/>
          <reference field="7" count="1" selected="0">
            <x v="5"/>
          </reference>
        </references>
      </pivotArea>
    </format>
    <format dxfId="410">
      <pivotArea outline="0" fieldPosition="0">
        <references count="4">
          <reference field="4294967294" count="1" selected="0">
            <x v="1"/>
          </reference>
          <reference field="0" count="1" selected="0">
            <x v="3"/>
          </reference>
          <reference field="1" count="0" selected="0"/>
          <reference field="7" count="1" selected="0">
            <x v="5"/>
          </reference>
        </references>
      </pivotArea>
    </format>
    <format dxfId="409">
      <pivotArea outline="0" fieldPosition="0">
        <references count="4">
          <reference field="4294967294" count="1" selected="0">
            <x v="1"/>
          </reference>
          <reference field="0" count="1" selected="0">
            <x v="2"/>
          </reference>
          <reference field="1" count="0" selected="0"/>
          <reference field="7" count="1" selected="0">
            <x v="5"/>
          </reference>
        </references>
      </pivotArea>
    </format>
    <format dxfId="408">
      <pivotArea outline="0" fieldPosition="0">
        <references count="4">
          <reference field="4294967294" count="1" selected="0">
            <x v="1"/>
          </reference>
          <reference field="0" count="1" selected="0">
            <x v="1"/>
          </reference>
          <reference field="1" count="0" selected="0"/>
          <reference field="7" count="1" selected="0">
            <x v="5"/>
          </reference>
        </references>
      </pivotArea>
    </format>
    <format dxfId="407">
      <pivotArea outline="0" fieldPosition="0">
        <references count="4">
          <reference field="4294967294" count="1" selected="0">
            <x v="1"/>
          </reference>
          <reference field="0" count="1" selected="0">
            <x v="12"/>
          </reference>
          <reference field="1" count="0" selected="0"/>
          <reference field="7" count="1" selected="0">
            <x v="4"/>
          </reference>
        </references>
      </pivotArea>
    </format>
    <format dxfId="406">
      <pivotArea outline="0" fieldPosition="0">
        <references count="4">
          <reference field="4294967294" count="1" selected="0">
            <x v="1"/>
          </reference>
          <reference field="0" count="1" selected="0">
            <x v="11"/>
          </reference>
          <reference field="1" count="0" selected="0"/>
          <reference field="7" count="1" selected="0">
            <x v="4"/>
          </reference>
        </references>
      </pivotArea>
    </format>
    <format dxfId="405">
      <pivotArea outline="0" fieldPosition="0">
        <references count="4">
          <reference field="4294967294" count="1" selected="0">
            <x v="1"/>
          </reference>
          <reference field="0" count="1" selected="0">
            <x v="10"/>
          </reference>
          <reference field="1" count="0" selected="0"/>
          <reference field="7" count="1" selected="0">
            <x v="4"/>
          </reference>
        </references>
      </pivotArea>
    </format>
    <format dxfId="404">
      <pivotArea outline="0" fieldPosition="0">
        <references count="4">
          <reference field="4294967294" count="1" selected="0">
            <x v="1"/>
          </reference>
          <reference field="0" count="1" selected="0">
            <x v="9"/>
          </reference>
          <reference field="1" count="0" selected="0"/>
          <reference field="7" count="1" selected="0">
            <x v="4"/>
          </reference>
        </references>
      </pivotArea>
    </format>
    <format dxfId="403">
      <pivotArea outline="0" fieldPosition="0">
        <references count="4">
          <reference field="4294967294" count="1" selected="0">
            <x v="1"/>
          </reference>
          <reference field="0" count="1" selected="0">
            <x v="8"/>
          </reference>
          <reference field="1" count="0" selected="0"/>
          <reference field="7" count="1" selected="0">
            <x v="4"/>
          </reference>
        </references>
      </pivotArea>
    </format>
    <format dxfId="402">
      <pivotArea outline="0" fieldPosition="0">
        <references count="4">
          <reference field="4294967294" count="1" selected="0">
            <x v="1"/>
          </reference>
          <reference field="0" count="1" selected="0">
            <x v="7"/>
          </reference>
          <reference field="1" count="0" selected="0"/>
          <reference field="7" count="1" selected="0">
            <x v="4"/>
          </reference>
        </references>
      </pivotArea>
    </format>
    <format dxfId="401">
      <pivotArea outline="0" fieldPosition="0">
        <references count="4">
          <reference field="4294967294" count="1" selected="0">
            <x v="1"/>
          </reference>
          <reference field="0" count="1" selected="0">
            <x v="6"/>
          </reference>
          <reference field="1" count="0" selected="0"/>
          <reference field="7" count="1" selected="0">
            <x v="4"/>
          </reference>
        </references>
      </pivotArea>
    </format>
    <format dxfId="400">
      <pivotArea outline="0" fieldPosition="0">
        <references count="4">
          <reference field="4294967294" count="1" selected="0">
            <x v="1"/>
          </reference>
          <reference field="0" count="1" selected="0">
            <x v="5"/>
          </reference>
          <reference field="1" count="0" selected="0"/>
          <reference field="7" count="1" selected="0">
            <x v="4"/>
          </reference>
        </references>
      </pivotArea>
    </format>
    <format dxfId="399">
      <pivotArea outline="0" fieldPosition="0">
        <references count="3">
          <reference field="4294967294" count="1" selected="0">
            <x v="1"/>
          </reference>
          <reference field="0" count="1" selected="0">
            <x v="1048832"/>
          </reference>
          <reference field="7" count="1" selected="0">
            <x v="2"/>
          </reference>
        </references>
      </pivotArea>
    </format>
    <format dxfId="398">
      <pivotArea outline="0" fieldPosition="0">
        <references count="3">
          <reference field="4294967294" count="1" selected="0">
            <x v="1"/>
          </reference>
          <reference field="0" count="1" selected="0">
            <x v="1048832"/>
          </reference>
          <reference field="7" count="1" selected="0">
            <x v="3"/>
          </reference>
        </references>
      </pivotArea>
    </format>
    <format dxfId="397">
      <pivotArea outline="0" fieldPosition="0">
        <references count="3">
          <reference field="4294967294" count="1" selected="0">
            <x v="1"/>
          </reference>
          <reference field="0" count="1" selected="0">
            <x v="1048832"/>
          </reference>
          <reference field="7" count="1" selected="0">
            <x v="4"/>
          </reference>
        </references>
      </pivotArea>
    </format>
    <format dxfId="396">
      <pivotArea outline="0" fieldPosition="0">
        <references count="3">
          <reference field="4294967294" count="1" selected="0">
            <x v="1"/>
          </reference>
          <reference field="0" count="1" selected="0">
            <x v="1048832"/>
          </reference>
          <reference field="7" count="1" selected="0">
            <x v="5"/>
          </reference>
        </references>
      </pivotArea>
    </format>
    <format dxfId="395">
      <pivotArea outline="0" fieldPosition="0">
        <references count="3">
          <reference field="4294967294" count="1" selected="0">
            <x v="1"/>
          </reference>
          <reference field="0" count="1" selected="0">
            <x v="2"/>
          </reference>
          <reference field="7" count="1" selected="0">
            <x v="2"/>
          </reference>
        </references>
      </pivotArea>
    </format>
    <format dxfId="394">
      <pivotArea outline="0" fieldPosition="0">
        <references count="3">
          <reference field="4294967294" count="1" selected="0">
            <x v="1"/>
          </reference>
          <reference field="0" count="1" selected="0">
            <x v="4"/>
          </reference>
          <reference field="7" count="1" selected="0">
            <x v="5"/>
          </reference>
        </references>
      </pivotArea>
    </format>
    <format dxfId="393">
      <pivotArea outline="0" fieldPosition="0">
        <references count="3">
          <reference field="4294967294" count="1" selected="0">
            <x v="1"/>
          </reference>
          <reference field="0" count="1" selected="0">
            <x v="3"/>
          </reference>
          <reference field="7" count="1" selected="0">
            <x v="5"/>
          </reference>
        </references>
      </pivotArea>
    </format>
    <format dxfId="392">
      <pivotArea outline="0" fieldPosition="0">
        <references count="3">
          <reference field="4294967294" count="1" selected="0">
            <x v="1"/>
          </reference>
          <reference field="0" count="1" selected="0">
            <x v="2"/>
          </reference>
          <reference field="7" count="1" selected="0">
            <x v="5"/>
          </reference>
        </references>
      </pivotArea>
    </format>
    <format dxfId="391">
      <pivotArea outline="0" fieldPosition="0">
        <references count="3">
          <reference field="4294967294" count="1" selected="0">
            <x v="1"/>
          </reference>
          <reference field="0" count="1" selected="0">
            <x v="1"/>
          </reference>
          <reference field="7" count="1" selected="0">
            <x v="5"/>
          </reference>
        </references>
      </pivotArea>
    </format>
    <format dxfId="390">
      <pivotArea outline="0" fieldPosition="0">
        <references count="4">
          <reference field="4294967294" count="1" selected="0">
            <x v="1"/>
          </reference>
          <reference field="0" count="1" selected="0">
            <x v="3"/>
          </reference>
          <reference field="1" count="1" selected="0">
            <x v="0"/>
          </reference>
          <reference field="7" count="1" selected="0">
            <x v="2"/>
          </reference>
        </references>
      </pivotArea>
    </format>
    <format dxfId="389">
      <pivotArea outline="0" fieldPosition="0">
        <references count="4">
          <reference field="4294967294" count="1" selected="0">
            <x v="1"/>
          </reference>
          <reference field="0" count="1" selected="0">
            <x v="3"/>
          </reference>
          <reference field="1" count="8" selected="0">
            <x v="1"/>
            <x v="2"/>
            <x v="3"/>
            <x v="4"/>
            <x v="5"/>
            <x v="6"/>
            <x v="7"/>
            <x v="11"/>
          </reference>
          <reference field="7" count="1" selected="0">
            <x v="2"/>
          </reference>
        </references>
      </pivotArea>
    </format>
    <format dxfId="388">
      <pivotArea outline="0" fieldPosition="0">
        <references count="4">
          <reference field="4294967294" count="1" selected="0">
            <x v="1"/>
          </reference>
          <reference field="0" count="1" selected="0">
            <x v="3"/>
          </reference>
          <reference field="1" count="3" selected="0">
            <x v="8"/>
            <x v="9"/>
            <x v="10"/>
          </reference>
          <reference field="7" count="1" selected="0">
            <x v="2"/>
          </reference>
        </references>
      </pivotArea>
    </format>
    <format dxfId="387">
      <pivotArea outline="0" fieldPosition="0">
        <references count="3">
          <reference field="4294967294" count="1" selected="0">
            <x v="1"/>
          </reference>
          <reference field="0" count="1" selected="0">
            <x v="4"/>
          </reference>
          <reference field="7" count="1" selected="0">
            <x v="2"/>
          </reference>
        </references>
      </pivotArea>
    </format>
    <format dxfId="386">
      <pivotArea outline="0" fieldPosition="0">
        <references count="3">
          <reference field="4294967294" count="1" selected="0">
            <x v="1"/>
          </reference>
          <reference field="0" count="1" selected="0">
            <x v="5"/>
          </reference>
          <reference field="7" count="1" selected="0">
            <x v="2"/>
          </reference>
        </references>
      </pivotArea>
    </format>
    <format dxfId="385">
      <pivotArea outline="0" fieldPosition="0">
        <references count="3">
          <reference field="4294967294" count="1" selected="0">
            <x v="1"/>
          </reference>
          <reference field="0" count="1" selected="0">
            <x v="6"/>
          </reference>
          <reference field="7" count="1" selected="0">
            <x v="2"/>
          </reference>
        </references>
      </pivotArea>
    </format>
    <format dxfId="384">
      <pivotArea outline="0" fieldPosition="0">
        <references count="3">
          <reference field="4294967294" count="1" selected="0">
            <x v="1"/>
          </reference>
          <reference field="0" count="1" selected="0">
            <x v="7"/>
          </reference>
          <reference field="7" count="1" selected="0">
            <x v="2"/>
          </reference>
        </references>
      </pivotArea>
    </format>
    <format dxfId="383">
      <pivotArea outline="0" fieldPosition="0">
        <references count="3">
          <reference field="4294967294" count="1" selected="0">
            <x v="1"/>
          </reference>
          <reference field="0" count="1" selected="0">
            <x v="8"/>
          </reference>
          <reference field="7" count="1" selected="0">
            <x v="2"/>
          </reference>
        </references>
      </pivotArea>
    </format>
    <format dxfId="382">
      <pivotArea outline="0" fieldPosition="0">
        <references count="3">
          <reference field="4294967294" count="1" selected="0">
            <x v="1"/>
          </reference>
          <reference field="0" count="1" selected="0">
            <x v="9"/>
          </reference>
          <reference field="7" count="1" selected="0">
            <x v="2"/>
          </reference>
        </references>
      </pivotArea>
    </format>
    <format dxfId="381">
      <pivotArea outline="0" fieldPosition="0">
        <references count="3">
          <reference field="4294967294" count="1" selected="0">
            <x v="1"/>
          </reference>
          <reference field="0" count="1" selected="0">
            <x v="10"/>
          </reference>
          <reference field="7" count="1" selected="0">
            <x v="2"/>
          </reference>
        </references>
      </pivotArea>
    </format>
    <format dxfId="380">
      <pivotArea outline="0" fieldPosition="0">
        <references count="3">
          <reference field="4294967294" count="1" selected="0">
            <x v="1"/>
          </reference>
          <reference field="0" count="1" selected="0">
            <x v="11"/>
          </reference>
          <reference field="7" count="1" selected="0">
            <x v="2"/>
          </reference>
        </references>
      </pivotArea>
    </format>
    <format dxfId="379">
      <pivotArea outline="0" fieldPosition="0">
        <references count="3">
          <reference field="4294967294" count="1" selected="0">
            <x v="1"/>
          </reference>
          <reference field="0" count="1" selected="0">
            <x v="12"/>
          </reference>
          <reference field="7" count="1" selected="0">
            <x v="2"/>
          </reference>
        </references>
      </pivotArea>
    </format>
    <format dxfId="378">
      <pivotArea outline="0" fieldPosition="0">
        <references count="3">
          <reference field="4294967294" count="1" selected="0">
            <x v="1"/>
          </reference>
          <reference field="0" count="1" selected="0">
            <x v="1"/>
          </reference>
          <reference field="7" count="1" selected="0">
            <x v="3"/>
          </reference>
        </references>
      </pivotArea>
    </format>
    <format dxfId="377">
      <pivotArea outline="0" fieldPosition="0">
        <references count="3">
          <reference field="4294967294" count="1" selected="0">
            <x v="1"/>
          </reference>
          <reference field="0" count="1" selected="0">
            <x v="2"/>
          </reference>
          <reference field="7" count="1" selected="0">
            <x v="3"/>
          </reference>
        </references>
      </pivotArea>
    </format>
    <format dxfId="376">
      <pivotArea outline="0" fieldPosition="0">
        <references count="3">
          <reference field="4294967294" count="1" selected="0">
            <x v="1"/>
          </reference>
          <reference field="0" count="1" selected="0">
            <x v="3"/>
          </reference>
          <reference field="7" count="1" selected="0">
            <x v="3"/>
          </reference>
        </references>
      </pivotArea>
    </format>
    <format dxfId="375">
      <pivotArea outline="0" fieldPosition="0">
        <references count="3">
          <reference field="4294967294" count="1" selected="0">
            <x v="1"/>
          </reference>
          <reference field="0" count="1" selected="0">
            <x v="4"/>
          </reference>
          <reference field="7" count="1" selected="0">
            <x v="3"/>
          </reference>
        </references>
      </pivotArea>
    </format>
    <format dxfId="374">
      <pivotArea outline="0" fieldPosition="0">
        <references count="3">
          <reference field="4294967294" count="1" selected="0">
            <x v="1"/>
          </reference>
          <reference field="0" count="1" selected="0">
            <x v="5"/>
          </reference>
          <reference field="7" count="1" selected="0">
            <x v="3"/>
          </reference>
        </references>
      </pivotArea>
    </format>
    <format dxfId="373">
      <pivotArea outline="0" fieldPosition="0">
        <references count="3">
          <reference field="4294967294" count="1" selected="0">
            <x v="1"/>
          </reference>
          <reference field="0" count="1" selected="0">
            <x v="6"/>
          </reference>
          <reference field="7" count="1" selected="0">
            <x v="3"/>
          </reference>
        </references>
      </pivotArea>
    </format>
    <format dxfId="372">
      <pivotArea outline="0" fieldPosition="0">
        <references count="3">
          <reference field="4294967294" count="1" selected="0">
            <x v="1"/>
          </reference>
          <reference field="0" count="1" selected="0">
            <x v="7"/>
          </reference>
          <reference field="7" count="1" selected="0">
            <x v="3"/>
          </reference>
        </references>
      </pivotArea>
    </format>
    <format dxfId="371">
      <pivotArea outline="0" fieldPosition="0">
        <references count="3">
          <reference field="4294967294" count="1" selected="0">
            <x v="1"/>
          </reference>
          <reference field="0" count="1" selected="0">
            <x v="8"/>
          </reference>
          <reference field="7" count="1" selected="0">
            <x v="3"/>
          </reference>
        </references>
      </pivotArea>
    </format>
    <format dxfId="370">
      <pivotArea outline="0" fieldPosition="0">
        <references count="3">
          <reference field="4294967294" count="1" selected="0">
            <x v="1"/>
          </reference>
          <reference field="0" count="1" selected="0">
            <x v="9"/>
          </reference>
          <reference field="7" count="1" selected="0">
            <x v="3"/>
          </reference>
        </references>
      </pivotArea>
    </format>
    <format dxfId="369">
      <pivotArea outline="0" fieldPosition="0">
        <references count="3">
          <reference field="4294967294" count="1" selected="0">
            <x v="1"/>
          </reference>
          <reference field="0" count="1" selected="0">
            <x v="10"/>
          </reference>
          <reference field="7" count="1" selected="0">
            <x v="3"/>
          </reference>
        </references>
      </pivotArea>
    </format>
    <format dxfId="368">
      <pivotArea outline="0" fieldPosition="0">
        <references count="3">
          <reference field="4294967294" count="1" selected="0">
            <x v="1"/>
          </reference>
          <reference field="0" count="1" selected="0">
            <x v="11"/>
          </reference>
          <reference field="7" count="1" selected="0">
            <x v="3"/>
          </reference>
        </references>
      </pivotArea>
    </format>
    <format dxfId="367">
      <pivotArea outline="0" fieldPosition="0">
        <references count="3">
          <reference field="4294967294" count="1" selected="0">
            <x v="1"/>
          </reference>
          <reference field="0" count="1" selected="0">
            <x v="12"/>
          </reference>
          <reference field="7" count="1" selected="0">
            <x v="3"/>
          </reference>
        </references>
      </pivotArea>
    </format>
    <format dxfId="366">
      <pivotArea outline="0" fieldPosition="0">
        <references count="3">
          <reference field="4294967294" count="1" selected="0">
            <x v="1"/>
          </reference>
          <reference field="0" count="1" selected="0">
            <x v="5"/>
          </reference>
          <reference field="7" count="1" selected="0">
            <x v="4"/>
          </reference>
        </references>
      </pivotArea>
    </format>
    <format dxfId="365">
      <pivotArea outline="0" fieldPosition="0">
        <references count="3">
          <reference field="4294967294" count="1" selected="0">
            <x v="1"/>
          </reference>
          <reference field="0" count="1" selected="0">
            <x v="6"/>
          </reference>
          <reference field="7" count="1" selected="0">
            <x v="4"/>
          </reference>
        </references>
      </pivotArea>
    </format>
    <format dxfId="364">
      <pivotArea outline="0" fieldPosition="0">
        <references count="3">
          <reference field="4294967294" count="1" selected="0">
            <x v="1"/>
          </reference>
          <reference field="0" count="1" selected="0">
            <x v="7"/>
          </reference>
          <reference field="7" count="1" selected="0">
            <x v="4"/>
          </reference>
        </references>
      </pivotArea>
    </format>
    <format dxfId="363">
      <pivotArea outline="0" fieldPosition="0">
        <references count="3">
          <reference field="4294967294" count="1" selected="0">
            <x v="1"/>
          </reference>
          <reference field="0" count="1" selected="0">
            <x v="8"/>
          </reference>
          <reference field="7" count="1" selected="0">
            <x v="4"/>
          </reference>
        </references>
      </pivotArea>
    </format>
    <format dxfId="362">
      <pivotArea outline="0" fieldPosition="0">
        <references count="3">
          <reference field="4294967294" count="1" selected="0">
            <x v="1"/>
          </reference>
          <reference field="0" count="1" selected="0">
            <x v="9"/>
          </reference>
          <reference field="7" count="1" selected="0">
            <x v="4"/>
          </reference>
        </references>
      </pivotArea>
    </format>
    <format dxfId="361">
      <pivotArea outline="0" fieldPosition="0">
        <references count="3">
          <reference field="4294967294" count="1" selected="0">
            <x v="1"/>
          </reference>
          <reference field="0" count="1" selected="0">
            <x v="10"/>
          </reference>
          <reference field="7" count="1" selected="0">
            <x v="4"/>
          </reference>
        </references>
      </pivotArea>
    </format>
    <format dxfId="360">
      <pivotArea outline="0" fieldPosition="0">
        <references count="3">
          <reference field="4294967294" count="1" selected="0">
            <x v="1"/>
          </reference>
          <reference field="0" count="1" selected="0">
            <x v="11"/>
          </reference>
          <reference field="7" count="1" selected="0">
            <x v="4"/>
          </reference>
        </references>
      </pivotArea>
    </format>
    <format dxfId="359">
      <pivotArea outline="0" fieldPosition="0">
        <references count="3">
          <reference field="4294967294" count="1" selected="0">
            <x v="1"/>
          </reference>
          <reference field="0" count="1" selected="0">
            <x v="12"/>
          </reference>
          <reference field="7" count="1" selected="0">
            <x v="4"/>
          </reference>
        </references>
      </pivotArea>
    </format>
    <format dxfId="358">
      <pivotArea outline="0" fieldPosition="0">
        <references count="1">
          <reference field="4294967294" count="1">
            <x v="0"/>
          </reference>
        </references>
      </pivotArea>
    </format>
    <format dxfId="357">
      <pivotArea outline="0" fieldPosition="0">
        <references count="3">
          <reference field="4294967294" count="1" selected="0">
            <x v="1"/>
          </reference>
          <reference field="0" count="1" selected="0">
            <x v="5"/>
          </reference>
          <reference field="7" count="1" selected="0">
            <x v="5"/>
          </reference>
        </references>
      </pivotArea>
    </format>
    <format dxfId="356">
      <pivotArea outline="0" fieldPosition="0">
        <references count="3">
          <reference field="4294967294" count="1" selected="0">
            <x v="1"/>
          </reference>
          <reference field="0" count="1" selected="0">
            <x v="5"/>
          </reference>
          <reference field="7" count="1" selected="0">
            <x v="5"/>
          </reference>
        </references>
      </pivotArea>
    </format>
    <format dxfId="355">
      <pivotArea outline="0" fieldPosition="0">
        <references count="3">
          <reference field="4294967294" count="1" selected="0">
            <x v="1"/>
          </reference>
          <reference field="0" count="1" selected="0">
            <x v="6"/>
          </reference>
          <reference field="7" count="1" selected="0">
            <x v="5"/>
          </reference>
        </references>
      </pivotArea>
    </format>
    <format dxfId="354">
      <pivotArea outline="0" fieldPosition="0">
        <references count="3">
          <reference field="4294967294" count="1" selected="0">
            <x v="1"/>
          </reference>
          <reference field="0" count="1" selected="0">
            <x v="7"/>
          </reference>
          <reference field="7" count="1" selected="0">
            <x v="5"/>
          </reference>
        </references>
      </pivotArea>
    </format>
    <format dxfId="353">
      <pivotArea outline="0" fieldPosition="0">
        <references count="3">
          <reference field="4294967294" count="1" selected="0">
            <x v="1"/>
          </reference>
          <reference field="0" count="1" selected="0">
            <x v="8"/>
          </reference>
          <reference field="7" count="1" selected="0">
            <x v="5"/>
          </reference>
        </references>
      </pivotArea>
    </format>
    <format dxfId="352">
      <pivotArea outline="0" fieldPosition="0">
        <references count="3">
          <reference field="4294967294" count="1" selected="0">
            <x v="1"/>
          </reference>
          <reference field="0" count="1" selected="0">
            <x v="9"/>
          </reference>
          <reference field="7" count="1" selected="0">
            <x v="5"/>
          </reference>
        </references>
      </pivotArea>
    </format>
    <format dxfId="351">
      <pivotArea outline="0" fieldPosition="0">
        <references count="3">
          <reference field="4294967294" count="1" selected="0">
            <x v="1"/>
          </reference>
          <reference field="0" count="1" selected="0">
            <x v="10"/>
          </reference>
          <reference field="7" count="1" selected="0">
            <x v="5"/>
          </reference>
        </references>
      </pivotArea>
    </format>
    <format dxfId="350">
      <pivotArea outline="0" fieldPosition="0">
        <references count="3">
          <reference field="4294967294" count="1" selected="0">
            <x v="1"/>
          </reference>
          <reference field="0" count="1" selected="0">
            <x v="11"/>
          </reference>
          <reference field="7" count="1" selected="0">
            <x v="5"/>
          </reference>
        </references>
      </pivotArea>
    </format>
    <format dxfId="349">
      <pivotArea outline="0" fieldPosition="0">
        <references count="3">
          <reference field="4294967294" count="1" selected="0">
            <x v="1"/>
          </reference>
          <reference field="0" count="1" selected="0">
            <x v="12"/>
          </reference>
          <reference field="7" count="1" selected="0">
            <x v="5"/>
          </reference>
        </references>
      </pivotArea>
    </format>
    <format dxfId="348">
      <pivotArea dataOnly="0" labelOnly="1" outline="0" fieldPosition="0">
        <references count="3">
          <reference field="4294967294" count="1">
            <x v="1"/>
          </reference>
          <reference field="0" count="1" selected="0">
            <x v="12"/>
          </reference>
          <reference field="7" count="1" selected="0">
            <x v="5"/>
          </reference>
        </references>
      </pivotArea>
    </format>
    <format dxfId="347">
      <pivotArea outline="0" fieldPosition="0">
        <references count="3">
          <reference field="4294967294" count="1" selected="0">
            <x v="1"/>
          </reference>
          <reference field="0" count="1" selected="0">
            <x v="1"/>
          </reference>
          <reference field="7" count="1" selected="0">
            <x v="6"/>
          </reference>
        </references>
      </pivotArea>
    </format>
    <format dxfId="346">
      <pivotArea outline="0" fieldPosition="0">
        <references count="3">
          <reference field="4294967294" count="1" selected="0">
            <x v="1"/>
          </reference>
          <reference field="0" count="1" selected="0">
            <x v="2"/>
          </reference>
          <reference field="7" count="1" selected="0">
            <x v="6"/>
          </reference>
        </references>
      </pivotArea>
    </format>
    <format dxfId="345">
      <pivotArea outline="0" fieldPosition="0">
        <references count="3">
          <reference field="4294967294" count="1" selected="0">
            <x v="1"/>
          </reference>
          <reference field="0" count="1" selected="0">
            <x v="3"/>
          </reference>
          <reference field="7" count="1" selected="0">
            <x v="6"/>
          </reference>
        </references>
      </pivotArea>
    </format>
    <format dxfId="344">
      <pivotArea outline="0" fieldPosition="0">
        <references count="3">
          <reference field="4294967294" count="1" selected="0">
            <x v="1"/>
          </reference>
          <reference field="0" count="1" selected="0">
            <x v="4"/>
          </reference>
          <reference field="7" count="1" selected="0">
            <x v="6"/>
          </reference>
        </references>
      </pivotArea>
    </format>
    <format dxfId="343">
      <pivotArea outline="0" fieldPosition="0">
        <references count="3">
          <reference field="4294967294" count="1" selected="0">
            <x v="1"/>
          </reference>
          <reference field="0" count="1" selected="0">
            <x v="5"/>
          </reference>
          <reference field="7" count="1" selected="0">
            <x v="6"/>
          </reference>
        </references>
      </pivotArea>
    </format>
    <format dxfId="342">
      <pivotArea outline="0" fieldPosition="0">
        <references count="3">
          <reference field="4294967294" count="1" selected="0">
            <x v="1"/>
          </reference>
          <reference field="0" count="1" selected="0">
            <x v="6"/>
          </reference>
          <reference field="7" count="1" selected="0">
            <x v="6"/>
          </reference>
        </references>
      </pivotArea>
    </format>
    <format dxfId="341">
      <pivotArea outline="0" fieldPosition="0">
        <references count="3">
          <reference field="4294967294" count="1" selected="0">
            <x v="1"/>
          </reference>
          <reference field="0" count="1" selected="0">
            <x v="7"/>
          </reference>
          <reference field="7" count="1" selected="0">
            <x v="6"/>
          </reference>
        </references>
      </pivotArea>
    </format>
    <format dxfId="340">
      <pivotArea outline="0" fieldPosition="0">
        <references count="3">
          <reference field="4294967294" count="1" selected="0">
            <x v="1"/>
          </reference>
          <reference field="0" count="1" selected="0">
            <x v="8"/>
          </reference>
          <reference field="7" count="1" selected="0">
            <x v="6"/>
          </reference>
        </references>
      </pivotArea>
    </format>
    <format dxfId="339">
      <pivotArea outline="0" fieldPosition="0">
        <references count="3">
          <reference field="4294967294" count="1" selected="0">
            <x v="1"/>
          </reference>
          <reference field="0" count="1" selected="0">
            <x v="9"/>
          </reference>
          <reference field="7" count="1" selected="0">
            <x v="6"/>
          </reference>
        </references>
      </pivotArea>
    </format>
    <format dxfId="338">
      <pivotArea outline="0" fieldPosition="0">
        <references count="3">
          <reference field="4294967294" count="1" selected="0">
            <x v="1"/>
          </reference>
          <reference field="0" count="1" selected="0">
            <x v="9"/>
          </reference>
          <reference field="7" count="1" selected="0">
            <x v="6"/>
          </reference>
        </references>
      </pivotArea>
    </format>
    <format dxfId="337">
      <pivotArea outline="0" fieldPosition="0">
        <references count="3">
          <reference field="4294967294" count="1" selected="0">
            <x v="1"/>
          </reference>
          <reference field="0" count="1" selected="0">
            <x v="10"/>
          </reference>
          <reference field="7" count="1" selected="0">
            <x v="6"/>
          </reference>
        </references>
      </pivotArea>
    </format>
    <format dxfId="336">
      <pivotArea outline="0" fieldPosition="0">
        <references count="3">
          <reference field="4294967294" count="1" selected="0">
            <x v="1"/>
          </reference>
          <reference field="0" count="1" selected="0">
            <x v="11"/>
          </reference>
          <reference field="7" count="1" selected="0">
            <x v="6"/>
          </reference>
        </references>
      </pivotArea>
    </format>
    <format dxfId="335">
      <pivotArea outline="0" fieldPosition="0">
        <references count="3">
          <reference field="4294967294" count="1" selected="0">
            <x v="1"/>
          </reference>
          <reference field="0" count="1" selected="0">
            <x v="11"/>
          </reference>
          <reference field="7" count="1" selected="0">
            <x v="6"/>
          </reference>
        </references>
      </pivotArea>
    </format>
    <format dxfId="334">
      <pivotArea outline="0" fieldPosition="0">
        <references count="3">
          <reference field="4294967294" count="1" selected="0">
            <x v="1"/>
          </reference>
          <reference field="0" count="1" selected="0">
            <x v="12"/>
          </reference>
          <reference field="7" count="1" selected="0">
            <x v="6"/>
          </reference>
        </references>
      </pivotArea>
    </format>
    <format dxfId="333">
      <pivotArea outline="0" fieldPosition="0">
        <references count="3">
          <reference field="4294967294" count="1" selected="0">
            <x v="1"/>
          </reference>
          <reference field="0" count="1" selected="0">
            <x v="12"/>
          </reference>
          <reference field="7" count="1" selected="0">
            <x v="6"/>
          </reference>
        </references>
      </pivotArea>
    </format>
    <format dxfId="332">
      <pivotArea outline="0" fieldPosition="0">
        <references count="3">
          <reference field="4294967294" count="1" selected="0">
            <x v="1"/>
          </reference>
          <reference field="0" count="1" selected="0">
            <x v="1"/>
          </reference>
          <reference field="7" count="1" selected="0">
            <x v="7"/>
          </reference>
        </references>
      </pivotArea>
    </format>
    <format dxfId="331">
      <pivotArea outline="0" fieldPosition="0">
        <references count="3">
          <reference field="4294967294" count="1" selected="0">
            <x v="1"/>
          </reference>
          <reference field="0" count="1" selected="0">
            <x v="2"/>
          </reference>
          <reference field="7" count="1" selected="0">
            <x v="7"/>
          </reference>
        </references>
      </pivotArea>
    </format>
    <format dxfId="330">
      <pivotArea outline="0" fieldPosition="0">
        <references count="3">
          <reference field="4294967294" count="1" selected="0">
            <x v="1"/>
          </reference>
          <reference field="0" count="1" selected="0">
            <x v="2"/>
          </reference>
          <reference field="7" count="1" selected="0">
            <x v="7"/>
          </reference>
        </references>
      </pivotArea>
    </format>
    <format dxfId="329">
      <pivotArea outline="0" fieldPosition="0">
        <references count="3">
          <reference field="4294967294" count="1" selected="0">
            <x v="1"/>
          </reference>
          <reference field="0" count="1" selected="0">
            <x v="3"/>
          </reference>
          <reference field="7" count="1" selected="0">
            <x v="7"/>
          </reference>
        </references>
      </pivotArea>
    </format>
    <format dxfId="328">
      <pivotArea outline="0" fieldPosition="0">
        <references count="3">
          <reference field="4294967294" count="1" selected="0">
            <x v="1"/>
          </reference>
          <reference field="0" count="1" selected="0">
            <x v="3"/>
          </reference>
          <reference field="7" count="1" selected="0">
            <x v="7"/>
          </reference>
        </references>
      </pivotArea>
    </format>
    <format dxfId="327">
      <pivotArea outline="0" fieldPosition="0">
        <references count="3">
          <reference field="4294967294" count="1" selected="0">
            <x v="1"/>
          </reference>
          <reference field="0" count="1" selected="0">
            <x v="4"/>
          </reference>
          <reference field="7" count="1" selected="0">
            <x v="7"/>
          </reference>
        </references>
      </pivotArea>
    </format>
    <format dxfId="326">
      <pivotArea outline="0" fieldPosition="0">
        <references count="3">
          <reference field="4294967294" count="1" selected="0">
            <x v="1"/>
          </reference>
          <reference field="0" count="1" selected="0">
            <x v="5"/>
          </reference>
          <reference field="7" count="1" selected="0">
            <x v="7"/>
          </reference>
        </references>
      </pivotArea>
    </format>
    <format dxfId="325">
      <pivotArea outline="0" fieldPosition="0">
        <references count="3">
          <reference field="4294967294" count="1" selected="0">
            <x v="1"/>
          </reference>
          <reference field="0" count="1" selected="0">
            <x v="5"/>
          </reference>
          <reference field="7" count="1" selected="0">
            <x v="7"/>
          </reference>
        </references>
      </pivotArea>
    </format>
    <format dxfId="324">
      <pivotArea outline="0" fieldPosition="0">
        <references count="4">
          <reference field="4294967294" count="1" selected="0">
            <x v="1"/>
          </reference>
          <reference field="0" count="1" selected="0">
            <x v="6"/>
          </reference>
          <reference field="1" count="9" selected="0">
            <x v="3"/>
            <x v="4"/>
            <x v="5"/>
            <x v="6"/>
            <x v="7"/>
            <x v="8"/>
            <x v="9"/>
            <x v="10"/>
            <x v="11"/>
          </reference>
          <reference field="7" count="1" selected="0">
            <x v="7"/>
          </reference>
        </references>
      </pivotArea>
    </format>
    <format dxfId="323">
      <pivotArea outline="0" fieldPosition="0">
        <references count="3">
          <reference field="4294967294" count="1" selected="0">
            <x v="1"/>
          </reference>
          <reference field="0" count="1" selected="0">
            <x v="6"/>
          </reference>
          <reference field="7" count="1" selected="0">
            <x v="7"/>
          </reference>
        </references>
      </pivotArea>
    </format>
    <format dxfId="322">
      <pivotArea outline="0" fieldPosition="0">
        <references count="3">
          <reference field="4294967294" count="1" selected="0">
            <x v="1"/>
          </reference>
          <reference field="0" count="1" selected="0">
            <x v="6"/>
          </reference>
          <reference field="7" count="1" selected="0">
            <x v="7"/>
          </reference>
        </references>
      </pivotArea>
    </format>
    <format dxfId="321">
      <pivotArea outline="0" fieldPosition="0">
        <references count="3">
          <reference field="4294967294" count="1" selected="0">
            <x v="1"/>
          </reference>
          <reference field="0" count="1" selected="0">
            <x v="7"/>
          </reference>
          <reference field="7" count="1" selected="0">
            <x v="7"/>
          </reference>
        </references>
      </pivotArea>
    </format>
    <format dxfId="0">
      <pivotArea outline="0" fieldPosition="0">
        <references count="3">
          <reference field="4294967294" count="1" selected="0">
            <x v="1"/>
          </reference>
          <reference field="0" count="1" selected="0">
            <x v="8"/>
          </reference>
          <reference field="7" count="1" selected="0">
            <x v="7"/>
          </reference>
        </references>
      </pivotArea>
    </format>
  </formats>
  <conditionalFormats count="31">
    <conditionalFormat priority="2">
      <pivotAreas count="1">
        <pivotArea type="data" outline="0" collapsedLevelsAreSubtotals="1" fieldPosition="0">
          <references count="3">
            <reference field="4294967294" count="1" selected="0">
              <x v="1"/>
            </reference>
            <reference field="0" count="1" selected="0">
              <x v="7"/>
            </reference>
            <reference field="7" count="1" selected="0">
              <x v="7"/>
            </reference>
          </references>
        </pivotArea>
      </pivotAreas>
    </conditionalFormat>
    <conditionalFormat priority="3">
      <pivotAreas count="1">
        <pivotArea type="data" outline="0" collapsedLevelsAreSubtotals="1" fieldPosition="0">
          <references count="3">
            <reference field="4294967294" count="1" selected="0">
              <x v="1"/>
            </reference>
            <reference field="0" count="1" selected="0">
              <x v="6"/>
            </reference>
            <reference field="7" count="1" selected="0">
              <x v="7"/>
            </reference>
          </references>
        </pivotArea>
      </pivotAreas>
    </conditionalFormat>
    <conditionalFormat priority="9">
      <pivotAreas count="1">
        <pivotArea type="data" outline="0" collapsedLevelsAreSubtotals="1" fieldPosition="0">
          <references count="3">
            <reference field="4294967294" count="1" selected="0">
              <x v="1"/>
            </reference>
            <reference field="0" count="1" selected="0">
              <x v="4"/>
            </reference>
            <reference field="7" count="1" selected="0">
              <x v="7"/>
            </reference>
          </references>
        </pivotArea>
      </pivotAreas>
    </conditionalFormat>
    <conditionalFormat priority="13">
      <pivotAreas count="1">
        <pivotArea type="data" outline="0" collapsedLevelsAreSubtotals="1" fieldPosition="0">
          <references count="3">
            <reference field="4294967294" count="1" selected="0">
              <x v="1"/>
            </reference>
            <reference field="0" count="1" selected="0">
              <x v="2"/>
            </reference>
            <reference field="7" count="1" selected="0">
              <x v="7"/>
            </reference>
          </references>
        </pivotArea>
      </pivotAreas>
    </conditionalFormat>
    <conditionalFormat priority="17">
      <pivotAreas count="1">
        <pivotArea type="data" outline="0" collapsedLevelsAreSubtotals="1" fieldPosition="0">
          <references count="3">
            <reference field="4294967294" count="1" selected="0">
              <x v="1"/>
            </reference>
            <reference field="0" count="1" selected="0">
              <x v="12"/>
            </reference>
            <reference field="7" count="1" selected="0">
              <x v="6"/>
            </reference>
          </references>
        </pivotArea>
      </pivotAreas>
    </conditionalFormat>
    <conditionalFormat priority="21">
      <pivotAreas count="1">
        <pivotArea type="data" outline="0" collapsedLevelsAreSubtotals="1" fieldPosition="0">
          <references count="3">
            <reference field="4294967294" count="1" selected="0">
              <x v="1"/>
            </reference>
            <reference field="0" count="1" selected="0">
              <x v="10"/>
            </reference>
            <reference field="7" count="1" selected="0">
              <x v="6"/>
            </reference>
          </references>
        </pivotArea>
      </pivotAreas>
    </conditionalFormat>
    <conditionalFormat priority="27">
      <pivotAreas count="1">
        <pivotArea type="data" outline="0" collapsedLevelsAreSubtotals="1" fieldPosition="0">
          <references count="3">
            <reference field="4294967294" count="1" selected="0">
              <x v="1"/>
            </reference>
            <reference field="0" count="1" selected="0">
              <x v="7"/>
            </reference>
            <reference field="7" count="1" selected="0">
              <x v="6"/>
            </reference>
          </references>
        </pivotArea>
      </pivotAreas>
    </conditionalFormat>
    <conditionalFormat priority="77">
      <pivotAreas count="1">
        <pivotArea type="data" outline="0" collapsedLevelsAreSubtotals="1" fieldPosition="0">
          <references count="3">
            <reference field="4294967294" count="1" selected="0">
              <x v="1"/>
            </reference>
            <reference field="0" count="1" selected="0">
              <x v="4"/>
            </reference>
            <reference field="7" count="1" selected="0">
              <x v="5"/>
            </reference>
          </references>
        </pivotArea>
      </pivotAreas>
    </conditionalFormat>
    <conditionalFormat priority="76">
      <pivotAreas count="1">
        <pivotArea type="data" outline="0" collapsedLevelsAreSubtotals="1" fieldPosition="0">
          <references count="3">
            <reference field="4294967294" count="1" selected="0">
              <x v="1"/>
            </reference>
            <reference field="0" count="1" selected="0">
              <x v="3"/>
            </reference>
            <reference field="7" count="1" selected="0">
              <x v="5"/>
            </reference>
          </references>
        </pivotArea>
      </pivotAreas>
    </conditionalFormat>
    <conditionalFormat priority="75">
      <pivotAreas count="1">
        <pivotArea type="data" outline="0" collapsedLevelsAreSubtotals="1" fieldPosition="0">
          <references count="3">
            <reference field="4294967294" count="1" selected="0">
              <x v="1"/>
            </reference>
            <reference field="0" count="1" selected="0">
              <x v="2"/>
            </reference>
            <reference field="7" count="1" selected="0">
              <x v="5"/>
            </reference>
          </references>
        </pivotArea>
      </pivotAreas>
    </conditionalFormat>
    <conditionalFormat priority="74">
      <pivotAreas count="1">
        <pivotArea type="data" outline="0" collapsedLevelsAreSubtotals="1" fieldPosition="0">
          <references count="3">
            <reference field="4294967294" count="1" selected="0">
              <x v="1"/>
            </reference>
            <reference field="0" count="1" selected="0">
              <x v="1"/>
            </reference>
            <reference field="7" count="1" selected="0">
              <x v="5"/>
            </reference>
          </references>
        </pivotArea>
      </pivotAreas>
    </conditionalFormat>
    <conditionalFormat priority="62">
      <pivotAreas count="1">
        <pivotArea type="data" outline="0" collapsedLevelsAreSubtotals="1" fieldPosition="0">
          <references count="3">
            <reference field="4294967294" count="1" selected="0">
              <x v="1"/>
            </reference>
            <reference field="0" count="1" selected="0">
              <x v="5"/>
            </reference>
            <reference field="7" count="1" selected="0">
              <x v="5"/>
            </reference>
          </references>
        </pivotArea>
      </pivotAreas>
    </conditionalFormat>
    <conditionalFormat priority="59">
      <pivotAreas count="1">
        <pivotArea type="data" outline="0" collapsedLevelsAreSubtotals="1" fieldPosition="0">
          <references count="3">
            <reference field="4294967294" count="1" selected="0">
              <x v="1"/>
            </reference>
            <reference field="0" count="1" selected="0">
              <x v="6"/>
            </reference>
            <reference field="7" count="1" selected="0">
              <x v="5"/>
            </reference>
          </references>
        </pivotArea>
      </pivotAreas>
    </conditionalFormat>
    <conditionalFormat priority="57">
      <pivotAreas count="1">
        <pivotArea type="data" outline="0" collapsedLevelsAreSubtotals="1" fieldPosition="0">
          <references count="3">
            <reference field="4294967294" count="1" selected="0">
              <x v="1"/>
            </reference>
            <reference field="0" count="1" selected="0">
              <x v="7"/>
            </reference>
            <reference field="7" count="1" selected="0">
              <x v="5"/>
            </reference>
          </references>
        </pivotArea>
      </pivotAreas>
    </conditionalFormat>
    <conditionalFormat priority="56">
      <pivotAreas count="1">
        <pivotArea type="data" outline="0" collapsedLevelsAreSubtotals="1" fieldPosition="0">
          <references count="3">
            <reference field="4294967294" count="1" selected="0">
              <x v="1"/>
            </reference>
            <reference field="0" count="1" selected="0">
              <x v="8"/>
            </reference>
            <reference field="7" count="1" selected="0">
              <x v="5"/>
            </reference>
          </references>
        </pivotArea>
      </pivotAreas>
    </conditionalFormat>
    <conditionalFormat priority="54">
      <pivotAreas count="1">
        <pivotArea type="data" outline="0" collapsedLevelsAreSubtotals="1" fieldPosition="0">
          <references count="3">
            <reference field="4294967294" count="1" selected="0">
              <x v="1"/>
            </reference>
            <reference field="0" count="1" selected="0">
              <x v="9"/>
            </reference>
            <reference field="7" count="1" selected="0">
              <x v="5"/>
            </reference>
          </references>
        </pivotArea>
      </pivotAreas>
    </conditionalFormat>
    <conditionalFormat priority="51">
      <pivotAreas count="1">
        <pivotArea type="data" outline="0" collapsedLevelsAreSubtotals="1" fieldPosition="0">
          <references count="3">
            <reference field="4294967294" count="1" selected="0">
              <x v="1"/>
            </reference>
            <reference field="0" count="1" selected="0">
              <x v="10"/>
            </reference>
            <reference field="7" count="1" selected="0">
              <x v="5"/>
            </reference>
          </references>
        </pivotArea>
      </pivotAreas>
    </conditionalFormat>
    <conditionalFormat priority="49">
      <pivotAreas count="1">
        <pivotArea type="data" outline="0" collapsedLevelsAreSubtotals="1" fieldPosition="0">
          <references count="3">
            <reference field="4294967294" count="1" selected="0">
              <x v="1"/>
            </reference>
            <reference field="0" count="1" selected="0">
              <x v="11"/>
            </reference>
            <reference field="7" count="1" selected="0">
              <x v="5"/>
            </reference>
          </references>
        </pivotArea>
      </pivotAreas>
    </conditionalFormat>
    <conditionalFormat priority="44">
      <pivotAreas count="1">
        <pivotArea type="data" outline="0" collapsedLevelsAreSubtotals="1" fieldPosition="0">
          <references count="3">
            <reference field="4294967294" count="1" selected="0">
              <x v="1"/>
            </reference>
            <reference field="0" count="1" selected="0">
              <x v="12"/>
            </reference>
            <reference field="7" count="1" selected="0">
              <x v="5"/>
            </reference>
          </references>
        </pivotArea>
      </pivotAreas>
    </conditionalFormat>
    <conditionalFormat priority="38">
      <pivotAreas count="1">
        <pivotArea type="data" outline="0" collapsedLevelsAreSubtotals="1" fieldPosition="0">
          <references count="3">
            <reference field="4294967294" count="1" selected="0">
              <x v="1"/>
            </reference>
            <reference field="0" count="1" selected="0">
              <x v="1"/>
            </reference>
            <reference field="7" count="1" selected="0">
              <x v="6"/>
            </reference>
          </references>
        </pivotArea>
      </pivotAreas>
    </conditionalFormat>
    <conditionalFormat priority="37">
      <pivotAreas count="1">
        <pivotArea type="data" outline="0" collapsedLevelsAreSubtotals="1" fieldPosition="0">
          <references count="3">
            <reference field="4294967294" count="1" selected="0">
              <x v="1"/>
            </reference>
            <reference field="0" count="1" selected="0">
              <x v="2"/>
            </reference>
            <reference field="7" count="1" selected="0">
              <x v="6"/>
            </reference>
          </references>
        </pivotArea>
      </pivotAreas>
    </conditionalFormat>
    <conditionalFormat priority="35">
      <pivotAreas count="1">
        <pivotArea type="data" outline="0" collapsedLevelsAreSubtotals="1" fieldPosition="0">
          <references count="3">
            <reference field="4294967294" count="1" selected="0">
              <x v="1"/>
            </reference>
            <reference field="0" count="1" selected="0">
              <x v="3"/>
            </reference>
            <reference field="7" count="1" selected="0">
              <x v="6"/>
            </reference>
          </references>
        </pivotArea>
      </pivotAreas>
    </conditionalFormat>
    <conditionalFormat priority="33">
      <pivotAreas count="1">
        <pivotArea type="data" outline="0" collapsedLevelsAreSubtotals="1" fieldPosition="0">
          <references count="3">
            <reference field="4294967294" count="1" selected="0">
              <x v="1"/>
            </reference>
            <reference field="0" count="1" selected="0">
              <x v="4"/>
            </reference>
            <reference field="7" count="1" selected="0">
              <x v="6"/>
            </reference>
          </references>
        </pivotArea>
      </pivotAreas>
    </conditionalFormat>
    <conditionalFormat priority="31">
      <pivotAreas count="1">
        <pivotArea type="data" outline="0" collapsedLevelsAreSubtotals="1" fieldPosition="0">
          <references count="3">
            <reference field="4294967294" count="1" selected="0">
              <x v="1"/>
            </reference>
            <reference field="0" count="1" selected="0">
              <x v="5"/>
            </reference>
            <reference field="7" count="1" selected="0">
              <x v="6"/>
            </reference>
          </references>
        </pivotArea>
      </pivotAreas>
    </conditionalFormat>
    <conditionalFormat priority="29">
      <pivotAreas count="1">
        <pivotArea type="data" outline="0" collapsedLevelsAreSubtotals="1" fieldPosition="0">
          <references count="3">
            <reference field="4294967294" count="1" selected="0">
              <x v="1"/>
            </reference>
            <reference field="0" count="1" selected="0">
              <x v="6"/>
            </reference>
            <reference field="7" count="1" selected="0">
              <x v="6"/>
            </reference>
          </references>
        </pivotArea>
      </pivotAreas>
    </conditionalFormat>
    <conditionalFormat priority="25">
      <pivotAreas count="1">
        <pivotArea type="data" outline="0" collapsedLevelsAreSubtotals="1" fieldPosition="0">
          <references count="3">
            <reference field="4294967294" count="1" selected="0">
              <x v="1"/>
            </reference>
            <reference field="0" count="1" selected="0">
              <x v="8"/>
            </reference>
            <reference field="7" count="1" selected="0">
              <x v="6"/>
            </reference>
          </references>
        </pivotArea>
      </pivotAreas>
    </conditionalFormat>
    <conditionalFormat priority="23">
      <pivotAreas count="1">
        <pivotArea type="data" outline="0" collapsedLevelsAreSubtotals="1" fieldPosition="0">
          <references count="3">
            <reference field="4294967294" count="1" selected="0">
              <x v="1"/>
            </reference>
            <reference field="0" count="1" selected="0">
              <x v="9"/>
            </reference>
            <reference field="7" count="1" selected="0">
              <x v="6"/>
            </reference>
          </references>
        </pivotArea>
      </pivotAreas>
    </conditionalFormat>
    <conditionalFormat priority="19">
      <pivotAreas count="1">
        <pivotArea type="data" outline="0" collapsedLevelsAreSubtotals="1" fieldPosition="0">
          <references count="3">
            <reference field="4294967294" count="1" selected="0">
              <x v="1"/>
            </reference>
            <reference field="0" count="1" selected="0">
              <x v="11"/>
            </reference>
            <reference field="7" count="1" selected="0">
              <x v="6"/>
            </reference>
          </references>
        </pivotArea>
      </pivotAreas>
    </conditionalFormat>
    <conditionalFormat priority="15">
      <pivotAreas count="1">
        <pivotArea type="data" outline="0" collapsedLevelsAreSubtotals="1" fieldPosition="0">
          <references count="3">
            <reference field="4294967294" count="1" selected="0">
              <x v="1"/>
            </reference>
            <reference field="0" count="1" selected="0">
              <x v="1"/>
            </reference>
            <reference field="7" count="1" selected="0">
              <x v="7"/>
            </reference>
          </references>
        </pivotArea>
      </pivotAreas>
    </conditionalFormat>
    <conditionalFormat priority="11">
      <pivotAreas count="1">
        <pivotArea type="data" outline="0" collapsedLevelsAreSubtotals="1" fieldPosition="0">
          <references count="3">
            <reference field="4294967294" count="1" selected="0">
              <x v="1"/>
            </reference>
            <reference field="0" count="1" selected="0">
              <x v="3"/>
            </reference>
            <reference field="7" count="1" selected="0">
              <x v="7"/>
            </reference>
          </references>
        </pivotArea>
      </pivotAreas>
    </conditionalFormat>
    <conditionalFormat priority="7">
      <pivotAreas count="1">
        <pivotArea type="data" outline="0" collapsedLevelsAreSubtotals="1" fieldPosition="0">
          <references count="3">
            <reference field="4294967294" count="1" selected="0">
              <x v="1"/>
            </reference>
            <reference field="0" count="1" selected="0">
              <x v="5"/>
            </reference>
            <reference field="7" count="1" selected="0">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9CA09-BB96-433D-A212-B7C4DE697DAF}" name="Изменение_цены" cacheId="53" applyNumberFormats="0" applyBorderFormats="0" applyFontFormats="0" applyPatternFormats="0" applyAlignmentFormats="0" applyWidthHeightFormats="1" dataCaption="Значения" updatedVersion="8" minRefreshableVersion="3" rowGrandTotals="0" colGrandTotals="0" itemPrintTitles="1" createdVersion="7" indent="0" compact="0" compactData="0" multipleFieldFilters="0" chartFormat="13">
  <location ref="B22:EF37" firstHeaderRow="1" firstDataRow="4" firstDataCol="1"/>
  <pivotFields count="8">
    <pivotField axis="axisCol" compact="0" numFmtId="14" outline="0" multipleItemSelectionAllowed="1" showAll="0" defaultSubtotal="0">
      <items count="14">
        <item h="1" x="0"/>
        <item x="1"/>
        <item x="2"/>
        <item x="3"/>
        <item x="4"/>
        <item x="5"/>
        <item x="6"/>
        <item x="7"/>
        <item x="8"/>
        <item x="9"/>
        <item x="10"/>
        <item x="11"/>
        <item x="12"/>
        <item h="1" x="13"/>
      </items>
    </pivotField>
    <pivotField axis="axisRow" compact="0" outline="0" showAll="0" defaultSubtotal="0">
      <items count="12">
        <item n="Восточный" x="0"/>
        <item n="Западный" x="1"/>
        <item n="Новомосковский" x="2"/>
        <item n="Северный" x="3"/>
        <item n="Северо-Восточный " x="4"/>
        <item n="Северо-Западный" x="5"/>
        <item n="Троицкий" x="6"/>
        <item n="Центральный" x="7"/>
        <item n="Юго-Восточный" x="8"/>
        <item n="Юго-Западный" x="9"/>
        <item n="Южный" x="10"/>
        <item x="11"/>
      </items>
    </pivotField>
    <pivotField compact="0" outline="0" showAll="0" defaultSubtotal="0"/>
    <pivotField dataField="1" compact="0" numFmtId="165" outline="0" showAll="0" defaultSubtotal="0"/>
    <pivotField compact="0" outline="0" subtotalTop="0" showAll="0" defaultSubtotal="0"/>
    <pivotField dataField="1" compact="0" outline="0" subtotalTop="0" showAll="0" defaultSubtotal="0"/>
    <pivotField compact="0" outline="0" showAll="0" defaultSubtotal="0">
      <items count="6">
        <item sd="0" x="1"/>
        <item sd="0" x="2"/>
        <item sd="0" x="3"/>
        <item sd="0" x="4"/>
        <item x="0"/>
        <item x="5"/>
      </items>
    </pivotField>
    <pivotField name="Год" axis="axisCol" compact="0" outline="0" multipleItemSelectionAllowed="1" showAll="0" sortType="ascending" defaultSubtotal="0">
      <items count="8">
        <item h="1" x="0"/>
        <item h="1" x="7"/>
        <item x="1"/>
        <item x="2"/>
        <item x="3"/>
        <item x="4"/>
        <item x="5"/>
        <item x="6"/>
      </items>
    </pivotField>
  </pivotFields>
  <rowFields count="1">
    <field x="1"/>
  </rowFields>
  <rowItems count="12">
    <i>
      <x/>
    </i>
    <i>
      <x v="1"/>
    </i>
    <i>
      <x v="2"/>
    </i>
    <i>
      <x v="3"/>
    </i>
    <i>
      <x v="4"/>
    </i>
    <i>
      <x v="5"/>
    </i>
    <i>
      <x v="6"/>
    </i>
    <i>
      <x v="7"/>
    </i>
    <i>
      <x v="8"/>
    </i>
    <i>
      <x v="9"/>
    </i>
    <i>
      <x v="10"/>
    </i>
    <i>
      <x v="11"/>
    </i>
  </rowItems>
  <colFields count="3">
    <field x="7"/>
    <field x="0"/>
    <field x="-2"/>
  </colFields>
  <colItems count="134">
    <i>
      <x v="2"/>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3"/>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4"/>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5"/>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6"/>
      <x v="1"/>
      <x/>
    </i>
    <i r="2" i="1">
      <x v="1"/>
    </i>
    <i r="1">
      <x v="2"/>
      <x/>
    </i>
    <i r="2" i="1">
      <x v="1"/>
    </i>
    <i r="1">
      <x v="3"/>
      <x/>
    </i>
    <i r="2" i="1">
      <x v="1"/>
    </i>
    <i r="1">
      <x v="4"/>
      <x/>
    </i>
    <i r="2" i="1">
      <x v="1"/>
    </i>
    <i r="1">
      <x v="5"/>
      <x/>
    </i>
    <i r="2" i="1">
      <x v="1"/>
    </i>
    <i r="1">
      <x v="6"/>
      <x/>
    </i>
    <i r="2" i="1">
      <x v="1"/>
    </i>
    <i r="1">
      <x v="7"/>
      <x/>
    </i>
    <i r="2" i="1">
      <x v="1"/>
    </i>
    <i r="1">
      <x v="8"/>
      <x/>
    </i>
    <i r="2" i="1">
      <x v="1"/>
    </i>
    <i r="1">
      <x v="9"/>
      <x/>
    </i>
    <i r="2" i="1">
      <x v="1"/>
    </i>
    <i r="1">
      <x v="10"/>
      <x/>
    </i>
    <i r="2" i="1">
      <x v="1"/>
    </i>
    <i r="1">
      <x v="11"/>
      <x/>
    </i>
    <i r="2" i="1">
      <x v="1"/>
    </i>
    <i r="1">
      <x v="12"/>
      <x/>
    </i>
    <i r="2" i="1">
      <x v="1"/>
    </i>
    <i>
      <x v="7"/>
      <x v="1"/>
      <x/>
    </i>
    <i r="2" i="1">
      <x v="1"/>
    </i>
    <i r="1">
      <x v="2"/>
      <x/>
    </i>
    <i r="2" i="1">
      <x v="1"/>
    </i>
    <i r="1">
      <x v="3"/>
      <x/>
    </i>
    <i r="2" i="1">
      <x v="1"/>
    </i>
    <i r="1">
      <x v="4"/>
      <x/>
    </i>
    <i r="2" i="1">
      <x v="1"/>
    </i>
    <i r="1">
      <x v="5"/>
      <x/>
    </i>
    <i r="2" i="1">
      <x v="1"/>
    </i>
    <i r="1">
      <x v="6"/>
      <x/>
    </i>
    <i r="2" i="1">
      <x v="1"/>
    </i>
    <i r="1">
      <x v="7"/>
      <x/>
    </i>
    <i r="2" i="1">
      <x v="1"/>
    </i>
    <i r="1">
      <x v="8"/>
      <x/>
    </i>
    <i r="2" i="1">
      <x v="1"/>
    </i>
  </colItems>
  <dataFields count="2">
    <dataField name="Цена" fld="3" baseField="0" baseItem="0" numFmtId="3"/>
    <dataField name="Изменение" fld="5" baseField="1" baseItem="0" numFmtId="9"/>
  </dataFields>
  <formats count="23">
    <format dxfId="457">
      <pivotArea outline="0" fieldPosition="0">
        <references count="3">
          <reference field="4294967294" count="1" selected="0">
            <x v="1"/>
          </reference>
          <reference field="0" count="1" selected="0">
            <x v="2"/>
          </reference>
          <reference field="7" count="1" selected="0">
            <x v="2"/>
          </reference>
        </references>
      </pivotArea>
    </format>
    <format dxfId="456">
      <pivotArea outline="0" fieldPosition="0">
        <references count="4">
          <reference field="4294967294" count="1" selected="0">
            <x v="0"/>
          </reference>
          <reference field="0" count="1" selected="0">
            <x v="2"/>
          </reference>
          <reference field="1" count="1" selected="0">
            <x v="0"/>
          </reference>
          <reference field="7" count="1" selected="0">
            <x v="2"/>
          </reference>
        </references>
      </pivotArea>
    </format>
    <format dxfId="455">
      <pivotArea outline="0" fieldPosition="0">
        <references count="4">
          <reference field="4294967294" count="1" selected="0">
            <x v="0"/>
          </reference>
          <reference field="0" count="1" selected="0">
            <x v="2"/>
          </reference>
          <reference field="1" count="11" selected="0">
            <x v="1"/>
            <x v="2"/>
            <x v="3"/>
            <x v="4"/>
            <x v="5"/>
            <x v="6"/>
            <x v="7"/>
            <x v="8"/>
            <x v="9"/>
            <x v="10"/>
            <x v="11"/>
          </reference>
          <reference field="7" count="1" selected="0">
            <x v="2"/>
          </reference>
        </references>
      </pivotArea>
    </format>
    <format dxfId="454">
      <pivotArea outline="0" fieldPosition="0">
        <references count="3">
          <reference field="4294967294" count="2" selected="0">
            <x v="0"/>
            <x v="1"/>
          </reference>
          <reference field="0" count="10" selected="0">
            <x v="3"/>
            <x v="4"/>
            <x v="5"/>
            <x v="6"/>
            <x v="7"/>
            <x v="8"/>
            <x v="9"/>
            <x v="10"/>
            <x v="11"/>
            <x v="12"/>
          </reference>
          <reference field="7" count="1" selected="0">
            <x v="2"/>
          </reference>
        </references>
      </pivotArea>
    </format>
    <format dxfId="453">
      <pivotArea outline="0" fieldPosition="0">
        <references count="1">
          <reference field="7" count="3" selected="0">
            <x v="3"/>
            <x v="4"/>
            <x v="5"/>
          </reference>
        </references>
      </pivotArea>
    </format>
    <format dxfId="452">
      <pivotArea outline="0" fieldPosition="0">
        <references count="3">
          <reference field="4294967294" count="1" selected="0">
            <x v="1"/>
          </reference>
          <reference field="0" count="1" selected="0">
            <x v="1"/>
          </reference>
          <reference field="7" count="1" selected="0">
            <x v="4"/>
          </reference>
        </references>
      </pivotArea>
    </format>
    <format dxfId="451">
      <pivotArea outline="0" fieldPosition="0">
        <references count="3">
          <reference field="4294967294" count="1" selected="0">
            <x v="1"/>
          </reference>
          <reference field="0" count="1" selected="0">
            <x v="2"/>
          </reference>
          <reference field="7" count="1" selected="0">
            <x v="4"/>
          </reference>
        </references>
      </pivotArea>
    </format>
    <format dxfId="450">
      <pivotArea outline="0" fieldPosition="0">
        <references count="3">
          <reference field="4294967294" count="1" selected="0">
            <x v="1"/>
          </reference>
          <reference field="0" count="1" selected="0">
            <x v="3"/>
          </reference>
          <reference field="7" count="1" selected="0">
            <x v="4"/>
          </reference>
        </references>
      </pivotArea>
    </format>
    <format dxfId="449">
      <pivotArea outline="0" fieldPosition="0">
        <references count="3">
          <reference field="4294967294" count="1" selected="0">
            <x v="1"/>
          </reference>
          <reference field="0" count="1" selected="0">
            <x v="4"/>
          </reference>
          <reference field="7" count="1" selected="0">
            <x v="4"/>
          </reference>
        </references>
      </pivotArea>
    </format>
    <format dxfId="448">
      <pivotArea outline="0" fieldPosition="0">
        <references count="3">
          <reference field="4294967294" count="1" selected="0">
            <x v="1"/>
          </reference>
          <reference field="0" count="1" selected="0">
            <x v="5"/>
          </reference>
          <reference field="7" count="1" selected="0">
            <x v="4"/>
          </reference>
        </references>
      </pivotArea>
    </format>
    <format dxfId="447">
      <pivotArea outline="0" fieldPosition="0">
        <references count="3">
          <reference field="4294967294" count="1" selected="0">
            <x v="1"/>
          </reference>
          <reference field="0" count="1" selected="0">
            <x v="6"/>
          </reference>
          <reference field="7" count="1" selected="0">
            <x v="4"/>
          </reference>
        </references>
      </pivotArea>
    </format>
    <format dxfId="446">
      <pivotArea outline="0" fieldPosition="0">
        <references count="3">
          <reference field="4294967294" count="1" selected="0">
            <x v="1"/>
          </reference>
          <reference field="0" count="1" selected="0">
            <x v="7"/>
          </reference>
          <reference field="7" count="1" selected="0">
            <x v="4"/>
          </reference>
        </references>
      </pivotArea>
    </format>
    <format dxfId="445">
      <pivotArea outline="0" fieldPosition="0">
        <references count="3">
          <reference field="4294967294" count="1" selected="0">
            <x v="1"/>
          </reference>
          <reference field="0" count="1" selected="0">
            <x v="8"/>
          </reference>
          <reference field="7" count="1" selected="0">
            <x v="4"/>
          </reference>
        </references>
      </pivotArea>
    </format>
    <format dxfId="444">
      <pivotArea outline="0" fieldPosition="0">
        <references count="3">
          <reference field="4294967294" count="1" selected="0">
            <x v="1"/>
          </reference>
          <reference field="0" count="1" selected="0">
            <x v="9"/>
          </reference>
          <reference field="7" count="1" selected="0">
            <x v="4"/>
          </reference>
        </references>
      </pivotArea>
    </format>
    <format dxfId="443">
      <pivotArea outline="0" fieldPosition="0">
        <references count="3">
          <reference field="4294967294" count="1" selected="0">
            <x v="1"/>
          </reference>
          <reference field="0" count="1" selected="0">
            <x v="10"/>
          </reference>
          <reference field="7" count="1" selected="0">
            <x v="4"/>
          </reference>
        </references>
      </pivotArea>
    </format>
    <format dxfId="442">
      <pivotArea outline="0" fieldPosition="0">
        <references count="3">
          <reference field="4294967294" count="1" selected="0">
            <x v="1"/>
          </reference>
          <reference field="0" count="1" selected="0">
            <x v="11"/>
          </reference>
          <reference field="7" count="1" selected="0">
            <x v="4"/>
          </reference>
        </references>
      </pivotArea>
    </format>
    <format dxfId="441">
      <pivotArea outline="0" fieldPosition="0">
        <references count="3">
          <reference field="4294967294" count="1" selected="0">
            <x v="1"/>
          </reference>
          <reference field="0" count="1" selected="0">
            <x v="12"/>
          </reference>
          <reference field="7" count="1" selected="0">
            <x v="4"/>
          </reference>
        </references>
      </pivotArea>
    </format>
    <format dxfId="440">
      <pivotArea outline="0" fieldPosition="0">
        <references count="3">
          <reference field="4294967294" count="1" selected="0">
            <x v="1"/>
          </reference>
          <reference field="0" count="1" selected="0">
            <x v="1"/>
          </reference>
          <reference field="7" count="1" selected="0">
            <x v="5"/>
          </reference>
        </references>
      </pivotArea>
    </format>
    <format dxfId="439">
      <pivotArea outline="0" fieldPosition="0">
        <references count="3">
          <reference field="4294967294" count="1" selected="0">
            <x v="1"/>
          </reference>
          <reference field="0" count="1" selected="0">
            <x v="2"/>
          </reference>
          <reference field="7" count="1" selected="0">
            <x v="5"/>
          </reference>
        </references>
      </pivotArea>
    </format>
    <format dxfId="438">
      <pivotArea outline="0" fieldPosition="0">
        <references count="3">
          <reference field="4294967294" count="1" selected="0">
            <x v="1"/>
          </reference>
          <reference field="0" count="1" selected="0">
            <x v="3"/>
          </reference>
          <reference field="7" count="1" selected="0">
            <x v="5"/>
          </reference>
        </references>
      </pivotArea>
    </format>
    <format dxfId="437">
      <pivotArea outline="0" fieldPosition="0">
        <references count="3">
          <reference field="4294967294" count="1" selected="0">
            <x v="1"/>
          </reference>
          <reference field="0" count="1" selected="0">
            <x v="4"/>
          </reference>
          <reference field="7" count="1" selected="0">
            <x v="5"/>
          </reference>
        </references>
      </pivotArea>
    </format>
    <format dxfId="436">
      <pivotArea outline="0" fieldPosition="0">
        <references count="1">
          <reference field="4294967294" count="1">
            <x v="0"/>
          </reference>
        </references>
      </pivotArea>
    </format>
    <format dxfId="435">
      <pivotArea outline="0" fieldPosition="0">
        <references count="1">
          <reference field="4294967294" count="1">
            <x v="1"/>
          </reference>
        </references>
      </pivotArea>
    </format>
  </formats>
  <conditionalFormats count="31">
    <conditionalFormat priority="1">
      <pivotAreas count="1">
        <pivotArea type="data" outline="0" collapsedLevelsAreSubtotals="1" fieldPosition="0">
          <references count="3">
            <reference field="4294967294" count="1" selected="0">
              <x v="1"/>
            </reference>
            <reference field="0" count="1" selected="0">
              <x v="7"/>
            </reference>
            <reference field="7" count="1" selected="0">
              <x v="7"/>
            </reference>
          </references>
        </pivotArea>
      </pivotAreas>
    </conditionalFormat>
    <conditionalFormat priority="4">
      <pivotAreas count="1">
        <pivotArea type="data" outline="0" collapsedLevelsAreSubtotals="1" fieldPosition="0">
          <references count="3">
            <reference field="4294967294" count="1" selected="0">
              <x v="1"/>
            </reference>
            <reference field="0" count="1" selected="0">
              <x v="6"/>
            </reference>
            <reference field="7" count="1" selected="0">
              <x v="7"/>
            </reference>
          </references>
        </pivotArea>
      </pivotAreas>
    </conditionalFormat>
    <conditionalFormat priority="8">
      <pivotAreas count="1">
        <pivotArea type="data" outline="0" collapsedLevelsAreSubtotals="1" fieldPosition="0">
          <references count="3">
            <reference field="4294967294" count="1" selected="0">
              <x v="1"/>
            </reference>
            <reference field="0" count="1" selected="0">
              <x v="4"/>
            </reference>
            <reference field="7" count="1" selected="0">
              <x v="7"/>
            </reference>
          </references>
        </pivotArea>
      </pivotAreas>
    </conditionalFormat>
    <conditionalFormat priority="12">
      <pivotAreas count="1">
        <pivotArea type="data" outline="0" collapsedLevelsAreSubtotals="1" fieldPosition="0">
          <references count="3">
            <reference field="4294967294" count="1" selected="0">
              <x v="1"/>
            </reference>
            <reference field="0" count="1" selected="0">
              <x v="2"/>
            </reference>
            <reference field="7" count="1" selected="0">
              <x v="7"/>
            </reference>
          </references>
        </pivotArea>
      </pivotAreas>
    </conditionalFormat>
    <conditionalFormat priority="16">
      <pivotAreas count="1">
        <pivotArea type="data" outline="0" collapsedLevelsAreSubtotals="1" fieldPosition="0">
          <references count="3">
            <reference field="4294967294" count="1" selected="0">
              <x v="1"/>
            </reference>
            <reference field="0" count="1" selected="0">
              <x v="12"/>
            </reference>
            <reference field="7" count="1" selected="0">
              <x v="6"/>
            </reference>
          </references>
        </pivotArea>
      </pivotAreas>
    </conditionalFormat>
    <conditionalFormat priority="20">
      <pivotAreas count="1">
        <pivotArea type="data" outline="0" collapsedLevelsAreSubtotals="1" fieldPosition="0">
          <references count="3">
            <reference field="4294967294" count="1" selected="0">
              <x v="1"/>
            </reference>
            <reference field="0" count="1" selected="0">
              <x v="10"/>
            </reference>
            <reference field="7" count="1" selected="0">
              <x v="6"/>
            </reference>
          </references>
        </pivotArea>
      </pivotAreas>
    </conditionalFormat>
    <conditionalFormat priority="26">
      <pivotAreas count="1">
        <pivotArea type="data" outline="0" collapsedLevelsAreSubtotals="1" fieldPosition="0">
          <references count="3">
            <reference field="4294967294" count="1" selected="0">
              <x v="1"/>
            </reference>
            <reference field="0" count="1" selected="0">
              <x v="7"/>
            </reference>
            <reference field="7" count="1" selected="0">
              <x v="6"/>
            </reference>
          </references>
        </pivotArea>
      </pivotAreas>
    </conditionalFormat>
    <conditionalFormat priority="73">
      <pivotAreas count="1">
        <pivotArea type="data" outline="0" collapsedLevelsAreSubtotals="1" fieldPosition="0">
          <references count="3">
            <reference field="4294967294" count="1" selected="0">
              <x v="1"/>
            </reference>
            <reference field="0" count="1" selected="0">
              <x v="4"/>
            </reference>
            <reference field="7" count="1" selected="0">
              <x v="5"/>
            </reference>
          </references>
        </pivotArea>
      </pivotAreas>
    </conditionalFormat>
    <conditionalFormat priority="69">
      <pivotAreas count="1">
        <pivotArea type="data" outline="0" collapsedLevelsAreSubtotals="1" fieldPosition="0">
          <references count="3">
            <reference field="4294967294" count="1" selected="0">
              <x v="1"/>
            </reference>
            <reference field="0" count="1" selected="0">
              <x v="3"/>
            </reference>
            <reference field="7" count="1" selected="0">
              <x v="5"/>
            </reference>
          </references>
        </pivotArea>
      </pivotAreas>
    </conditionalFormat>
    <conditionalFormat priority="68">
      <pivotAreas count="1">
        <pivotArea type="data" outline="0" collapsedLevelsAreSubtotals="1" fieldPosition="0">
          <references count="3">
            <reference field="4294967294" count="1" selected="0">
              <x v="1"/>
            </reference>
            <reference field="0" count="1" selected="0">
              <x v="2"/>
            </reference>
            <reference field="7" count="1" selected="0">
              <x v="5"/>
            </reference>
          </references>
        </pivotArea>
      </pivotAreas>
    </conditionalFormat>
    <conditionalFormat priority="67">
      <pivotAreas count="1">
        <pivotArea type="data" outline="0" collapsedLevelsAreSubtotals="1" fieldPosition="0">
          <references count="3">
            <reference field="4294967294" count="1" selected="0">
              <x v="1"/>
            </reference>
            <reference field="0" count="1" selected="0">
              <x v="1"/>
            </reference>
            <reference field="7" count="1" selected="0">
              <x v="5"/>
            </reference>
          </references>
        </pivotArea>
      </pivotAreas>
    </conditionalFormat>
    <conditionalFormat priority="61">
      <pivotAreas count="1">
        <pivotArea type="data" outline="0" collapsedLevelsAreSubtotals="1" fieldPosition="0">
          <references count="3">
            <reference field="4294967294" count="1" selected="0">
              <x v="1"/>
            </reference>
            <reference field="0" count="1" selected="0">
              <x v="5"/>
            </reference>
            <reference field="7" count="1" selected="0">
              <x v="5"/>
            </reference>
          </references>
        </pivotArea>
      </pivotAreas>
    </conditionalFormat>
    <conditionalFormat priority="60">
      <pivotAreas count="1">
        <pivotArea type="data" outline="0" collapsedLevelsAreSubtotals="1" fieldPosition="0">
          <references count="3">
            <reference field="4294967294" count="1" selected="0">
              <x v="1"/>
            </reference>
            <reference field="0" count="1" selected="0">
              <x v="6"/>
            </reference>
            <reference field="7" count="1" selected="0">
              <x v="5"/>
            </reference>
          </references>
        </pivotArea>
      </pivotAreas>
    </conditionalFormat>
    <conditionalFormat priority="58">
      <pivotAreas count="1">
        <pivotArea type="data" outline="0" collapsedLevelsAreSubtotals="1" fieldPosition="0">
          <references count="3">
            <reference field="4294967294" count="1" selected="0">
              <x v="1"/>
            </reference>
            <reference field="0" count="1" selected="0">
              <x v="7"/>
            </reference>
            <reference field="7" count="1" selected="0">
              <x v="5"/>
            </reference>
          </references>
        </pivotArea>
      </pivotAreas>
    </conditionalFormat>
    <conditionalFormat priority="55">
      <pivotAreas count="1">
        <pivotArea type="data" outline="0" collapsedLevelsAreSubtotals="1" fieldPosition="0">
          <references count="3">
            <reference field="4294967294" count="1" selected="0">
              <x v="1"/>
            </reference>
            <reference field="0" count="1" selected="0">
              <x v="8"/>
            </reference>
            <reference field="7" count="1" selected="0">
              <x v="5"/>
            </reference>
          </references>
        </pivotArea>
      </pivotAreas>
    </conditionalFormat>
    <conditionalFormat priority="53">
      <pivotAreas count="1">
        <pivotArea type="data" outline="0" collapsedLevelsAreSubtotals="1" fieldPosition="0">
          <references count="3">
            <reference field="4294967294" count="1" selected="0">
              <x v="1"/>
            </reference>
            <reference field="0" count="1" selected="0">
              <x v="9"/>
            </reference>
            <reference field="7" count="1" selected="0">
              <x v="5"/>
            </reference>
          </references>
        </pivotArea>
      </pivotAreas>
    </conditionalFormat>
    <conditionalFormat priority="50">
      <pivotAreas count="1">
        <pivotArea type="data" outline="0" collapsedLevelsAreSubtotals="1" fieldPosition="0">
          <references count="3">
            <reference field="4294967294" count="1" selected="0">
              <x v="1"/>
            </reference>
            <reference field="0" count="1" selected="0">
              <x v="10"/>
            </reference>
            <reference field="7" count="1" selected="0">
              <x v="5"/>
            </reference>
          </references>
        </pivotArea>
      </pivotAreas>
    </conditionalFormat>
    <conditionalFormat priority="48">
      <pivotAreas count="1">
        <pivotArea type="data" outline="0" collapsedLevelsAreSubtotals="1" fieldPosition="0">
          <references count="3">
            <reference field="4294967294" count="1" selected="0">
              <x v="1"/>
            </reference>
            <reference field="0" count="1" selected="0">
              <x v="11"/>
            </reference>
            <reference field="7" count="1" selected="0">
              <x v="5"/>
            </reference>
          </references>
        </pivotArea>
      </pivotAreas>
    </conditionalFormat>
    <conditionalFormat priority="46">
      <pivotAreas count="1">
        <pivotArea type="data" outline="0" collapsedLevelsAreSubtotals="1" fieldPosition="0">
          <references count="3">
            <reference field="4294967294" count="1" selected="0">
              <x v="1"/>
            </reference>
            <reference field="0" count="1" selected="0">
              <x v="12"/>
            </reference>
            <reference field="7" count="1" selected="0">
              <x v="5"/>
            </reference>
          </references>
        </pivotArea>
      </pivotAreas>
    </conditionalFormat>
    <conditionalFormat priority="41">
      <pivotAreas count="1">
        <pivotArea type="data" outline="0" collapsedLevelsAreSubtotals="1" fieldPosition="0">
          <references count="3">
            <reference field="4294967294" count="1" selected="0">
              <x v="1"/>
            </reference>
            <reference field="0" count="1" selected="0">
              <x v="1"/>
            </reference>
            <reference field="7" count="1" selected="0">
              <x v="6"/>
            </reference>
          </references>
        </pivotArea>
      </pivotAreas>
    </conditionalFormat>
    <conditionalFormat priority="36">
      <pivotAreas count="1">
        <pivotArea type="data" outline="0" collapsedLevelsAreSubtotals="1" fieldPosition="0">
          <references count="3">
            <reference field="4294967294" count="1" selected="0">
              <x v="1"/>
            </reference>
            <reference field="0" count="1" selected="0">
              <x v="2"/>
            </reference>
            <reference field="7" count="1" selected="0">
              <x v="6"/>
            </reference>
          </references>
        </pivotArea>
      </pivotAreas>
    </conditionalFormat>
    <conditionalFormat priority="34">
      <pivotAreas count="1">
        <pivotArea type="data" outline="0" collapsedLevelsAreSubtotals="1" fieldPosition="0">
          <references count="3">
            <reference field="4294967294" count="1" selected="0">
              <x v="1"/>
            </reference>
            <reference field="0" count="1" selected="0">
              <x v="3"/>
            </reference>
            <reference field="7" count="1" selected="0">
              <x v="6"/>
            </reference>
          </references>
        </pivotArea>
      </pivotAreas>
    </conditionalFormat>
    <conditionalFormat priority="32">
      <pivotAreas count="1">
        <pivotArea type="data" outline="0" collapsedLevelsAreSubtotals="1" fieldPosition="0">
          <references count="3">
            <reference field="4294967294" count="1" selected="0">
              <x v="1"/>
            </reference>
            <reference field="0" count="1" selected="0">
              <x v="4"/>
            </reference>
            <reference field="7" count="1" selected="0">
              <x v="6"/>
            </reference>
          </references>
        </pivotArea>
      </pivotAreas>
    </conditionalFormat>
    <conditionalFormat priority="30">
      <pivotAreas count="1">
        <pivotArea type="data" outline="0" collapsedLevelsAreSubtotals="1" fieldPosition="0">
          <references count="3">
            <reference field="4294967294" count="1" selected="0">
              <x v="1"/>
            </reference>
            <reference field="0" count="1" selected="0">
              <x v="5"/>
            </reference>
            <reference field="7" count="1" selected="0">
              <x v="6"/>
            </reference>
          </references>
        </pivotArea>
      </pivotAreas>
    </conditionalFormat>
    <conditionalFormat priority="28">
      <pivotAreas count="1">
        <pivotArea type="data" outline="0" collapsedLevelsAreSubtotals="1" fieldPosition="0">
          <references count="3">
            <reference field="4294967294" count="1" selected="0">
              <x v="1"/>
            </reference>
            <reference field="0" count="1" selected="0">
              <x v="6"/>
            </reference>
            <reference field="7" count="1" selected="0">
              <x v="6"/>
            </reference>
          </references>
        </pivotArea>
      </pivotAreas>
    </conditionalFormat>
    <conditionalFormat priority="24">
      <pivotAreas count="1">
        <pivotArea type="data" outline="0" collapsedLevelsAreSubtotals="1" fieldPosition="0">
          <references count="3">
            <reference field="4294967294" count="1" selected="0">
              <x v="1"/>
            </reference>
            <reference field="0" count="1" selected="0">
              <x v="8"/>
            </reference>
            <reference field="7" count="1" selected="0">
              <x v="6"/>
            </reference>
          </references>
        </pivotArea>
      </pivotAreas>
    </conditionalFormat>
    <conditionalFormat priority="22">
      <pivotAreas count="1">
        <pivotArea type="data" outline="0" collapsedLevelsAreSubtotals="1" fieldPosition="0">
          <references count="3">
            <reference field="4294967294" count="1" selected="0">
              <x v="1"/>
            </reference>
            <reference field="0" count="1" selected="0">
              <x v="9"/>
            </reference>
            <reference field="7" count="1" selected="0">
              <x v="6"/>
            </reference>
          </references>
        </pivotArea>
      </pivotAreas>
    </conditionalFormat>
    <conditionalFormat priority="18">
      <pivotAreas count="1">
        <pivotArea type="data" outline="0" collapsedLevelsAreSubtotals="1" fieldPosition="0">
          <references count="3">
            <reference field="4294967294" count="1" selected="0">
              <x v="1"/>
            </reference>
            <reference field="0" count="1" selected="0">
              <x v="11"/>
            </reference>
            <reference field="7" count="1" selected="0">
              <x v="6"/>
            </reference>
          </references>
        </pivotArea>
      </pivotAreas>
    </conditionalFormat>
    <conditionalFormat priority="14">
      <pivotAreas count="1">
        <pivotArea type="data" outline="0" collapsedLevelsAreSubtotals="1" fieldPosition="0">
          <references count="3">
            <reference field="4294967294" count="1" selected="0">
              <x v="1"/>
            </reference>
            <reference field="0" count="1" selected="0">
              <x v="1"/>
            </reference>
            <reference field="7" count="1" selected="0">
              <x v="7"/>
            </reference>
          </references>
        </pivotArea>
      </pivotAreas>
    </conditionalFormat>
    <conditionalFormat priority="10">
      <pivotAreas count="1">
        <pivotArea type="data" outline="0" collapsedLevelsAreSubtotals="1" fieldPosition="0">
          <references count="3">
            <reference field="4294967294" count="1" selected="0">
              <x v="1"/>
            </reference>
            <reference field="0" count="1" selected="0">
              <x v="3"/>
            </reference>
            <reference field="7" count="1" selected="0">
              <x v="7"/>
            </reference>
          </references>
        </pivotArea>
      </pivotAreas>
    </conditionalFormat>
    <conditionalFormat priority="6">
      <pivotAreas count="1">
        <pivotArea type="data" outline="0" collapsedLevelsAreSubtotals="1" fieldPosition="0">
          <references count="3">
            <reference field="4294967294" count="1" selected="0">
              <x v="1"/>
            </reference>
            <reference field="0" count="1" selected="0">
              <x v="5"/>
            </reference>
            <reference field="7" count="1" selected="0">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B9B1CE-1A4A-40C6-B016-1403E959BF18}" name="Цена" cacheId="53" applyNumberFormats="0" applyBorderFormats="0" applyFontFormats="0" applyPatternFormats="0" applyAlignmentFormats="0" applyWidthHeightFormats="1" dataCaption="Значения" updatedVersion="8" minRefreshableVersion="3" rowGrandTotals="0" colGrandTotals="0" itemPrintTitles="1" createdVersion="7" indent="0" compact="0" compactData="0" multipleFieldFilters="0" chartFormat="11">
  <location ref="E6:G15" firstHeaderRow="0" firstDataRow="1" firstDataCol="1" rowPageCount="2" colPageCount="1"/>
  <pivotFields count="8">
    <pivotField name="Месяц" axis="axisPage" compact="0" numFmtId="14" outline="0" multipleItemSelectionAllowed="1" showAll="0" defaultSubtotal="0">
      <items count="14">
        <item h="1" x="0"/>
        <item h="1" x="1"/>
        <item h="1" x="2"/>
        <item h="1" x="3"/>
        <item h="1" x="4"/>
        <item h="1" x="5"/>
        <item h="1" x="6"/>
        <item h="1" x="7"/>
        <item x="8"/>
        <item h="1" x="9"/>
        <item h="1" x="10"/>
        <item h="1" x="11"/>
        <item h="1" x="12"/>
        <item h="1" x="13"/>
      </items>
    </pivotField>
    <pivotField axis="axisRow" compact="0" outline="0" showAll="0" sortType="ascending" defaultSubtotal="0">
      <items count="12">
        <item n="Восточный" x="0"/>
        <item n="Западный" x="1"/>
        <item n="Зеленоградский" h="1" x="11"/>
        <item h="1" x="2"/>
        <item n="Северный" x="3"/>
        <item n="Северо-Восточный" x="4"/>
        <item n="Северо-Западный" x="5"/>
        <item h="1" x="6"/>
        <item n="Центральный" x="7"/>
        <item n="Юго-Восточный" x="8"/>
        <item n="Юго-Западный" x="9"/>
        <item n="Южный" x="10"/>
      </items>
    </pivotField>
    <pivotField compact="0" outline="0" showAll="0" defaultSubtotal="0"/>
    <pivotField dataField="1" compact="0" numFmtId="165" outline="0" showAll="0" defaultSubtotal="0"/>
    <pivotField compact="0" outline="0" subtotalTop="0" showAll="0" defaultSubtotal="0"/>
    <pivotField dataField="1" compact="0" outline="0" subtotalTop="0" showAll="0" defaultSubtotal="0"/>
    <pivotField compact="0" outline="0" showAll="0" defaultSubtotal="0">
      <items count="6">
        <item sd="0" x="1"/>
        <item sd="0" x="2"/>
        <item sd="0" x="3"/>
        <item sd="0" x="4"/>
        <item x="0"/>
        <item x="5"/>
      </items>
    </pivotField>
    <pivotField name="Год" axis="axisPage" compact="0" outline="0" multipleItemSelectionAllowed="1" showAll="0" defaultSubtotal="0">
      <items count="8">
        <item h="1" sd="0" x="3"/>
        <item h="1" x="4"/>
        <item h="1" x="0"/>
        <item h="1" x="1"/>
        <item h="1" x="2"/>
        <item h="1" x="5"/>
        <item x="6"/>
        <item h="1" x="7"/>
      </items>
    </pivotField>
  </pivotFields>
  <rowFields count="1">
    <field x="1"/>
  </rowFields>
  <rowItems count="9">
    <i>
      <x/>
    </i>
    <i>
      <x v="1"/>
    </i>
    <i>
      <x v="4"/>
    </i>
    <i>
      <x v="5"/>
    </i>
    <i>
      <x v="6"/>
    </i>
    <i>
      <x v="8"/>
    </i>
    <i>
      <x v="9"/>
    </i>
    <i>
      <x v="10"/>
    </i>
    <i>
      <x v="11"/>
    </i>
  </rowItems>
  <colFields count="1">
    <field x="-2"/>
  </colFields>
  <colItems count="2">
    <i>
      <x/>
    </i>
    <i i="1">
      <x v="1"/>
    </i>
  </colItems>
  <pageFields count="2">
    <pageField fld="0" hier="-1"/>
    <pageField fld="7" hier="-1"/>
  </pageFields>
  <dataFields count="2">
    <dataField name="Цена" fld="3" baseField="0" baseItem="0" numFmtId="166"/>
    <dataField name="Изменение" fld="5" baseField="1" baseItem="1" numFmtId="9"/>
  </dataFields>
  <formats count="3">
    <format dxfId="317">
      <pivotArea outline="0" fieldPosition="0">
        <references count="1">
          <reference field="4294967294" count="1" selected="0">
            <x v="0"/>
          </reference>
        </references>
      </pivotArea>
    </format>
    <format dxfId="316">
      <pivotArea outline="0" fieldPosition="0">
        <references count="1">
          <reference field="4294967294" count="1" selected="0">
            <x v="1"/>
          </reference>
        </references>
      </pivotArea>
    </format>
    <format dxfId="315">
      <pivotArea outline="0" fieldPosition="0">
        <references count="1">
          <reference field="4294967294" count="1">
            <x v="0"/>
          </reference>
        </references>
      </pivotArea>
    </format>
  </formats>
  <conditionalFormats count="3">
    <conditionalFormat priority="7">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8139AC-8B77-453D-96CD-FDB23820819D}" name="Объем" cacheId="53" applyNumberFormats="0" applyBorderFormats="0" applyFontFormats="0" applyPatternFormats="0" applyAlignmentFormats="0" applyWidthHeightFormats="1" dataCaption="Значения" updatedVersion="8" minRefreshableVersion="3" useAutoFormatting="1" rowGrandTotals="0" colGrandTotals="0" itemPrintTitles="1" createdVersion="7" indent="0" compact="0" compactData="0" multipleFieldFilters="0" chartFormat="11">
  <location ref="A6:C15" firstHeaderRow="0" firstDataRow="1" firstDataCol="1" rowPageCount="2" colPageCount="1"/>
  <pivotFields count="8">
    <pivotField name="Месяц" axis="axisPage" compact="0" numFmtId="14" outline="0" multipleItemSelectionAllowed="1" showAll="0" defaultSubtotal="0">
      <items count="14">
        <item h="1" x="0"/>
        <item h="1" x="1"/>
        <item h="1" x="2"/>
        <item h="1" x="3"/>
        <item h="1" x="4"/>
        <item h="1" x="5"/>
        <item h="1" x="6"/>
        <item h="1" x="7"/>
        <item x="8"/>
        <item h="1" x="9"/>
        <item h="1" x="10"/>
        <item h="1" x="11"/>
        <item h="1" x="12"/>
        <item h="1" x="13"/>
      </items>
    </pivotField>
    <pivotField axis="axisRow" compact="0" outline="0" showAll="0" defaultSubtotal="0">
      <items count="12">
        <item n="Восточный" x="0"/>
        <item n="Западный" x="1"/>
        <item n="Зеленоградский" h="1" x="11"/>
        <item h="1" x="2"/>
        <item n="Северный" x="3"/>
        <item n="Северо-Восточный" x="4"/>
        <item n="Северо-Западный" x="5"/>
        <item h="1" x="6"/>
        <item n="Центральный" x="7"/>
        <item n="Юго-Восточный" x="8"/>
        <item n="Юго-Западный" x="9"/>
        <item n="Южный" x="10"/>
      </items>
    </pivotField>
    <pivotField dataField="1" compact="0" outline="0" showAll="0" defaultSubtotal="0"/>
    <pivotField compact="0" numFmtId="165" outline="0" showAll="0" defaultSubtotal="0"/>
    <pivotField dataField="1" compact="0" outline="0" subtotalTop="0" showAll="0" defaultSubtotal="0"/>
    <pivotField compact="0" outline="0" subtotalTop="0" showAll="0" defaultSubtotal="0"/>
    <pivotField compact="0" outline="0" showAll="0" defaultSubtotal="0">
      <items count="6">
        <item sd="0" x="1"/>
        <item sd="0" x="2"/>
        <item sd="0" x="3"/>
        <item sd="0" x="4"/>
        <item x="0"/>
        <item x="5"/>
      </items>
    </pivotField>
    <pivotField axis="axisPage" compact="0" outline="0" multipleItemSelectionAllowed="1" showAll="0" defaultSubtotal="0">
      <items count="8">
        <item h="1" sd="0" x="3"/>
        <item h="1" x="4"/>
        <item h="1" x="0"/>
        <item h="1" x="1"/>
        <item h="1" x="2"/>
        <item h="1" x="5"/>
        <item x="6"/>
        <item h="1" x="7"/>
      </items>
    </pivotField>
  </pivotFields>
  <rowFields count="1">
    <field x="1"/>
  </rowFields>
  <rowItems count="9">
    <i>
      <x/>
    </i>
    <i>
      <x v="1"/>
    </i>
    <i>
      <x v="4"/>
    </i>
    <i>
      <x v="5"/>
    </i>
    <i>
      <x v="6"/>
    </i>
    <i>
      <x v="8"/>
    </i>
    <i>
      <x v="9"/>
    </i>
    <i>
      <x v="10"/>
    </i>
    <i>
      <x v="11"/>
    </i>
  </rowItems>
  <colFields count="1">
    <field x="-2"/>
  </colFields>
  <colItems count="2">
    <i>
      <x/>
    </i>
    <i i="1">
      <x v="1"/>
    </i>
  </colItems>
  <pageFields count="2">
    <pageField fld="0" hier="-1"/>
    <pageField fld="7" hier="-1"/>
  </pageFields>
  <dataFields count="2">
    <dataField name="Объем" fld="2" baseField="0" baseItem="0" numFmtId="3"/>
    <dataField name="Изменение" fld="4" baseField="1" baseItem="1" numFmtId="9"/>
  </dataFields>
  <formats count="3">
    <format dxfId="320">
      <pivotArea outline="0" fieldPosition="0">
        <references count="1">
          <reference field="4294967294" count="1" selected="0">
            <x v="1"/>
          </reference>
        </references>
      </pivotArea>
    </format>
    <format dxfId="319">
      <pivotArea outline="0" fieldPosition="0">
        <references count="1">
          <reference field="4294967294" count="1" selected="0">
            <x v="0"/>
          </reference>
        </references>
      </pivotArea>
    </format>
    <format dxfId="318">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s>
  <chartFormats count="19">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1" count="1" selected="0">
            <x v="3"/>
          </reference>
        </references>
      </pivotArea>
    </chartFormat>
    <chartFormat chart="5" format="3">
      <pivotArea type="data" outline="0" fieldPosition="0">
        <references count="2">
          <reference field="4294967294" count="1" selected="0">
            <x v="1"/>
          </reference>
          <reference field="1" count="1" selected="0">
            <x v="7"/>
          </reference>
        </references>
      </pivotArea>
    </chartFormat>
    <chartFormat chart="5" format="4">
      <pivotArea type="data" outline="0" fieldPosition="0">
        <references count="2">
          <reference field="4294967294" count="1" selected="0">
            <x v="1"/>
          </reference>
          <reference field="1" count="1" selected="0">
            <x v="0"/>
          </reference>
        </references>
      </pivotArea>
    </chartFormat>
    <chartFormat chart="5" format="5">
      <pivotArea type="data" outline="0" fieldPosition="0">
        <references count="2">
          <reference field="4294967294" count="1" selected="0">
            <x v="1"/>
          </reference>
          <reference field="1" count="1" selected="0">
            <x v="1"/>
          </reference>
        </references>
      </pivotArea>
    </chartFormat>
    <chartFormat chart="5" format="6">
      <pivotArea type="data" outline="0" fieldPosition="0">
        <references count="2">
          <reference field="4294967294" count="1" selected="0">
            <x v="1"/>
          </reference>
          <reference field="1" count="1" selected="0">
            <x v="2"/>
          </reference>
        </references>
      </pivotArea>
    </chartFormat>
    <chartFormat chart="5" format="7">
      <pivotArea type="data" outline="0" fieldPosition="0">
        <references count="2">
          <reference field="4294967294" count="1" selected="0">
            <x v="1"/>
          </reference>
          <reference field="1" count="1" selected="0">
            <x v="4"/>
          </reference>
        </references>
      </pivotArea>
    </chartFormat>
    <chartFormat chart="5" format="8">
      <pivotArea type="data" outline="0" fieldPosition="0">
        <references count="2">
          <reference field="4294967294" count="1" selected="0">
            <x v="1"/>
          </reference>
          <reference field="1" count="1" selected="0">
            <x v="5"/>
          </reference>
        </references>
      </pivotArea>
    </chartFormat>
    <chartFormat chart="5" format="9">
      <pivotArea type="data" outline="0" fieldPosition="0">
        <references count="2">
          <reference field="4294967294" count="1" selected="0">
            <x v="1"/>
          </reference>
          <reference field="1" count="1" selected="0">
            <x v="6"/>
          </reference>
        </references>
      </pivotArea>
    </chartFormat>
    <chartFormat chart="5" format="10">
      <pivotArea type="data" outline="0" fieldPosition="0">
        <references count="2">
          <reference field="4294967294" count="1" selected="0">
            <x v="1"/>
          </reference>
          <reference field="1" count="1" selected="0">
            <x v="8"/>
          </reference>
        </references>
      </pivotArea>
    </chartFormat>
    <chartFormat chart="5" format="11">
      <pivotArea type="data" outline="0" fieldPosition="0">
        <references count="2">
          <reference field="4294967294" count="1" selected="0">
            <x v="1"/>
          </reference>
          <reference field="1" count="1" selected="0">
            <x v="9"/>
          </reference>
        </references>
      </pivotArea>
    </chartFormat>
    <chartFormat chart="5" format="12">
      <pivotArea type="data" outline="0" fieldPosition="0">
        <references count="2">
          <reference field="4294967294" count="1" selected="0">
            <x v="1"/>
          </reference>
          <reference field="1" count="1" selected="0">
            <x v="10"/>
          </reference>
        </references>
      </pivotArea>
    </chartFormat>
    <chartFormat chart="5" format="13">
      <pivotArea type="data" outline="0" fieldPosition="0">
        <references count="2">
          <reference field="4294967294" count="1" selected="0">
            <x v="1"/>
          </reference>
          <reference field="1" count="1" selected="0">
            <x v="11"/>
          </reference>
        </references>
      </pivotArea>
    </chartFormat>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pivotArea type="data" outline="0" fieldPosition="0">
        <references count="2">
          <reference field="4294967294" count="1" selected="0">
            <x v="1"/>
          </reference>
          <reference field="1" count="1" selected="0">
            <x v="2"/>
          </reference>
        </references>
      </pivotArea>
    </chartFormat>
    <chartFormat chart="9" format="19">
      <pivotArea type="data" outline="0" fieldPosition="0">
        <references count="2">
          <reference field="4294967294" count="1" selected="0">
            <x v="1"/>
          </reference>
          <reference field="1" count="1" selected="0">
            <x v="7"/>
          </reference>
        </references>
      </pivotArea>
    </chartFormat>
    <chartFormat chart="9" format="20">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6F02D-C68A-42AC-A7B3-591E2248C39D}" name="Цена" cacheId="53" applyNumberFormats="0" applyBorderFormats="0" applyFontFormats="0" applyPatternFormats="0" applyAlignmentFormats="0" applyWidthHeightFormats="1" dataCaption="Значения" updatedVersion="8" minRefreshableVersion="3" rowGrandTotals="0" colGrandTotals="0" itemPrintTitles="1" createdVersion="7" indent="0" compact="0" compactData="0" multipleFieldFilters="0" chartFormat="14">
  <location ref="B3:E15" firstHeaderRow="1" firstDataRow="3" firstDataCol="1"/>
  <pivotFields count="8">
    <pivotField name="Месяц" axis="axisCol" compact="0" numFmtId="14" outline="0" multipleItemSelectionAllowed="1" showAll="0" defaultSubtotal="0">
      <items count="14">
        <item h="1" x="0"/>
        <item h="1" x="1"/>
        <item h="1" x="2"/>
        <item h="1" x="3"/>
        <item h="1" x="4"/>
        <item h="1" x="5"/>
        <item h="1" x="6"/>
        <item h="1" x="7"/>
        <item x="8"/>
        <item h="1" x="9"/>
        <item h="1" x="10"/>
        <item h="1" x="11"/>
        <item h="1" x="12"/>
        <item h="1" x="13"/>
      </items>
    </pivotField>
    <pivotField axis="axisRow" compact="0" outline="0" showAll="0" defaultSubtotal="0">
      <items count="12">
        <item n="ВАО" x="0"/>
        <item n="ЗАО" x="1"/>
        <item h="1" x="11"/>
        <item n="НАО" x="2"/>
        <item n="САО" x="3"/>
        <item n="СВАО" x="4"/>
        <item n="СЗАО" x="5"/>
        <item n="ТАО" h="1" x="6"/>
        <item n="ЦАО" x="7"/>
        <item n="ЮВАО" x="8"/>
        <item n="ЮЗАО" x="9"/>
        <item n="ЮАО" x="10"/>
      </items>
    </pivotField>
    <pivotField compact="0" outline="0" showAll="0" defaultSubtotal="0"/>
    <pivotField dataField="1" compact="0" numFmtId="165" outline="0" showAll="0" defaultSubtotal="0"/>
    <pivotField compact="0" outline="0" subtotalTop="0" showAll="0" defaultSubtotal="0"/>
    <pivotField compact="0" outline="0" subtotalTop="0" showAll="0" defaultSubtotal="0"/>
    <pivotField compact="0" outline="0" showAll="0" defaultSubtotal="0">
      <items count="6">
        <item sd="0" x="1"/>
        <item sd="0" x="2"/>
        <item sd="0" x="3"/>
        <item sd="0" x="4"/>
        <item x="0"/>
        <item x="5"/>
      </items>
    </pivotField>
    <pivotField name="Год" axis="axisCol" compact="0" outline="0" multipleItemSelectionAllowed="1" showAll="0" sortType="ascending" defaultSubtotal="0">
      <items count="8">
        <item h="1" x="0"/>
        <item h="1" x="7"/>
        <item h="1" x="1"/>
        <item h="1" x="2"/>
        <item h="1" x="3"/>
        <item x="4"/>
        <item x="5"/>
        <item x="6"/>
      </items>
    </pivotField>
  </pivotFields>
  <rowFields count="1">
    <field x="1"/>
  </rowFields>
  <rowItems count="10">
    <i>
      <x/>
    </i>
    <i>
      <x v="1"/>
    </i>
    <i>
      <x v="3"/>
    </i>
    <i>
      <x v="4"/>
    </i>
    <i>
      <x v="5"/>
    </i>
    <i>
      <x v="6"/>
    </i>
    <i>
      <x v="8"/>
    </i>
    <i>
      <x v="9"/>
    </i>
    <i>
      <x v="10"/>
    </i>
    <i>
      <x v="11"/>
    </i>
  </rowItems>
  <colFields count="2">
    <field x="7"/>
    <field x="0"/>
  </colFields>
  <colItems count="3">
    <i>
      <x v="5"/>
      <x v="8"/>
    </i>
    <i>
      <x v="6"/>
      <x v="8"/>
    </i>
    <i>
      <x v="7"/>
      <x v="8"/>
    </i>
  </colItems>
  <dataFields count="1">
    <dataField name="Цена" fld="3" baseField="0" baseItem="0" numFmtId="166"/>
  </dataFields>
  <formats count="2">
    <format dxfId="314">
      <pivotArea outline="0" fieldPosition="0">
        <references count="1">
          <reference field="4294967294" count="1" selected="0">
            <x v="0"/>
          </reference>
        </references>
      </pivotArea>
    </format>
    <format dxfId="313">
      <pivotArea outline="0" fieldPosition="0">
        <references count="1">
          <reference field="4294967294" count="1">
            <x v="0"/>
          </reference>
        </references>
      </pivotArea>
    </format>
  </formats>
  <conditionalFormats count="3">
    <conditionalFormat priority="2">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7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3">
          <reference field="4294967294" count="1" selected="0">
            <x v="0"/>
          </reference>
          <reference field="0" count="1" selected="0">
            <x v="4"/>
          </reference>
          <reference field="7" count="1" selected="0">
            <x v="4"/>
          </reference>
        </references>
      </pivotArea>
    </chartFormat>
    <chartFormat chart="8" format="1" series="1">
      <pivotArea type="data" outline="0" fieldPosition="0">
        <references count="2">
          <reference field="4294967294" count="1" selected="0">
            <x v="0"/>
          </reference>
          <reference field="7" count="1" selected="0">
            <x v="5"/>
          </reference>
        </references>
      </pivotArea>
    </chartFormat>
    <chartFormat chart="8" format="2" series="1">
      <pivotArea type="data" outline="0" fieldPosition="0">
        <references count="3">
          <reference field="4294967294" count="1" selected="0">
            <x v="0"/>
          </reference>
          <reference field="0" count="1" selected="0">
            <x v="3"/>
          </reference>
          <reference field="7" count="1" selected="0">
            <x v="4"/>
          </reference>
        </references>
      </pivotArea>
    </chartFormat>
    <chartFormat chart="10" format="5" series="1">
      <pivotArea type="data" outline="0" fieldPosition="0">
        <references count="3">
          <reference field="4294967294" count="1" selected="0">
            <x v="0"/>
          </reference>
          <reference field="0" count="1" selected="0">
            <x v="3"/>
          </reference>
          <reference field="7" count="1" selected="0">
            <x v="4"/>
          </reference>
        </references>
      </pivotArea>
    </chartFormat>
    <chartFormat chart="10" format="6" series="1">
      <pivotArea type="data" outline="0" fieldPosition="0">
        <references count="2">
          <reference field="4294967294" count="1" selected="0">
            <x v="0"/>
          </reference>
          <reference field="7" count="1" selected="0">
            <x v="5"/>
          </reference>
        </references>
      </pivotArea>
    </chartFormat>
    <chartFormat chart="10" format="7" series="1">
      <pivotArea type="data" outline="0" fieldPosition="0">
        <references count="3">
          <reference field="4294967294" count="1" selected="0">
            <x v="0"/>
          </reference>
          <reference field="0" count="1" selected="0">
            <x v="4"/>
          </reference>
          <reference field="7" count="1" selected="0">
            <x v="4"/>
          </reference>
        </references>
      </pivotArea>
    </chartFormat>
    <chartFormat chart="10" format="8"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9" series="1">
      <pivotArea type="data" outline="0" fieldPosition="0">
        <references count="3">
          <reference field="4294967294" count="1" selected="0">
            <x v="0"/>
          </reference>
          <reference field="0" count="1" selected="0">
            <x v="5"/>
          </reference>
          <reference field="7" count="1" selected="0">
            <x v="4"/>
          </reference>
        </references>
      </pivotArea>
    </chartFormat>
    <chartFormat chart="10" format="10" series="1">
      <pivotArea type="data" outline="0" fieldPosition="0">
        <references count="3">
          <reference field="4294967294" count="1" selected="0">
            <x v="0"/>
          </reference>
          <reference field="0" count="1" selected="0">
            <x v="6"/>
          </reference>
          <reference field="7" count="1" selected="0">
            <x v="4"/>
          </reference>
        </references>
      </pivotArea>
    </chartFormat>
    <chartFormat chart="10" format="11" series="1">
      <pivotArea type="data" outline="0" fieldPosition="0">
        <references count="3">
          <reference field="4294967294" count="1" selected="0">
            <x v="0"/>
          </reference>
          <reference field="0" count="1" selected="0">
            <x v="7"/>
          </reference>
          <reference field="7" count="1" selected="0">
            <x v="4"/>
          </reference>
        </references>
      </pivotArea>
    </chartFormat>
    <chartFormat chart="10" format="12" series="1">
      <pivotArea type="data" outline="0" fieldPosition="0">
        <references count="3">
          <reference field="4294967294" count="1" selected="0">
            <x v="0"/>
          </reference>
          <reference field="0" count="1" selected="0">
            <x v="8"/>
          </reference>
          <reference field="7" count="1" selected="0">
            <x v="4"/>
          </reference>
        </references>
      </pivotArea>
    </chartFormat>
    <chartFormat chart="10" format="13" series="1">
      <pivotArea type="data" outline="0" fieldPosition="0">
        <references count="3">
          <reference field="4294967294" count="1" selected="0">
            <x v="0"/>
          </reference>
          <reference field="0" count="1" selected="0">
            <x v="9"/>
          </reference>
          <reference field="7" count="1" selected="0">
            <x v="4"/>
          </reference>
        </references>
      </pivotArea>
    </chartFormat>
    <chartFormat chart="10" format="14" series="1">
      <pivotArea type="data" outline="0" fieldPosition="0">
        <references count="3">
          <reference field="4294967294" count="1" selected="0">
            <x v="0"/>
          </reference>
          <reference field="0" count="1" selected="0">
            <x v="10"/>
          </reference>
          <reference field="7" count="1" selected="0">
            <x v="4"/>
          </reference>
        </references>
      </pivotArea>
    </chartFormat>
    <chartFormat chart="10" format="15" series="1">
      <pivotArea type="data" outline="0" fieldPosition="0">
        <references count="3">
          <reference field="4294967294" count="1" selected="0">
            <x v="0"/>
          </reference>
          <reference field="0" count="1" selected="0">
            <x v="11"/>
          </reference>
          <reference field="7" count="1" selected="0">
            <x v="4"/>
          </reference>
        </references>
      </pivotArea>
    </chartFormat>
    <chartFormat chart="10" format="16" series="1">
      <pivotArea type="data" outline="0" fieldPosition="0">
        <references count="3">
          <reference field="4294967294" count="1" selected="0">
            <x v="0"/>
          </reference>
          <reference field="0" count="1" selected="0">
            <x v="12"/>
          </reference>
          <reference field="7" count="1" selected="0">
            <x v="4"/>
          </reference>
        </references>
      </pivotArea>
    </chartFormat>
    <chartFormat chart="10" format="17" series="1">
      <pivotArea type="data" outline="0" fieldPosition="0">
        <references count="3">
          <reference field="4294967294" count="1" selected="0">
            <x v="0"/>
          </reference>
          <reference field="0" count="1" selected="0">
            <x v="1"/>
          </reference>
          <reference field="7" count="1" selected="0">
            <x v="5"/>
          </reference>
        </references>
      </pivotArea>
    </chartFormat>
    <chartFormat chart="10" format="18" series="1">
      <pivotArea type="data" outline="0" fieldPosition="0">
        <references count="3">
          <reference field="4294967294" count="1" selected="0">
            <x v="0"/>
          </reference>
          <reference field="0" count="1" selected="0">
            <x v="2"/>
          </reference>
          <reference field="7" count="1" selected="0">
            <x v="5"/>
          </reference>
        </references>
      </pivotArea>
    </chartFormat>
    <chartFormat chart="10" format="19" series="1">
      <pivotArea type="data" outline="0" fieldPosition="0">
        <references count="3">
          <reference field="4294967294" count="1" selected="0">
            <x v="0"/>
          </reference>
          <reference field="0" count="1" selected="0">
            <x v="3"/>
          </reference>
          <reference field="7" count="1" selected="0">
            <x v="5"/>
          </reference>
        </references>
      </pivotArea>
    </chartFormat>
    <chartFormat chart="10" format="20" series="1">
      <pivotArea type="data" outline="0" fieldPosition="0">
        <references count="3">
          <reference field="4294967294" count="1" selected="0">
            <x v="0"/>
          </reference>
          <reference field="0" count="1" selected="0">
            <x v="4"/>
          </reference>
          <reference field="7" count="1" selected="0">
            <x v="5"/>
          </reference>
        </references>
      </pivotArea>
    </chartFormat>
    <chartFormat chart="8" format="4" series="1">
      <pivotArea type="data" outline="0" fieldPosition="0">
        <references count="3">
          <reference field="4294967294" count="1" selected="0">
            <x v="0"/>
          </reference>
          <reference field="0" count="1" selected="0">
            <x v="5"/>
          </reference>
          <reference field="7" count="1" selected="0">
            <x v="4"/>
          </reference>
        </references>
      </pivotArea>
    </chartFormat>
    <chartFormat chart="8" format="5" series="1">
      <pivotArea type="data" outline="0" fieldPosition="0">
        <references count="3">
          <reference field="4294967294" count="1" selected="0">
            <x v="0"/>
          </reference>
          <reference field="0" count="1" selected="0">
            <x v="6"/>
          </reference>
          <reference field="7" count="1" selected="0">
            <x v="4"/>
          </reference>
        </references>
      </pivotArea>
    </chartFormat>
    <chartFormat chart="8" format="6" series="1">
      <pivotArea type="data" outline="0" fieldPosition="0">
        <references count="3">
          <reference field="4294967294" count="1" selected="0">
            <x v="0"/>
          </reference>
          <reference field="0" count="1" selected="0">
            <x v="7"/>
          </reference>
          <reference field="7" count="1" selected="0">
            <x v="4"/>
          </reference>
        </references>
      </pivotArea>
    </chartFormat>
    <chartFormat chart="8" format="7" series="1">
      <pivotArea type="data" outline="0" fieldPosition="0">
        <references count="3">
          <reference field="4294967294" count="1" selected="0">
            <x v="0"/>
          </reference>
          <reference field="0" count="1" selected="0">
            <x v="8"/>
          </reference>
          <reference field="7" count="1" selected="0">
            <x v="4"/>
          </reference>
        </references>
      </pivotArea>
    </chartFormat>
    <chartFormat chart="8" format="8" series="1">
      <pivotArea type="data" outline="0" fieldPosition="0">
        <references count="3">
          <reference field="4294967294" count="1" selected="0">
            <x v="0"/>
          </reference>
          <reference field="0" count="1" selected="0">
            <x v="9"/>
          </reference>
          <reference field="7" count="1" selected="0">
            <x v="4"/>
          </reference>
        </references>
      </pivotArea>
    </chartFormat>
    <chartFormat chart="8" format="9" series="1">
      <pivotArea type="data" outline="0" fieldPosition="0">
        <references count="3">
          <reference field="4294967294" count="1" selected="0">
            <x v="0"/>
          </reference>
          <reference field="0" count="1" selected="0">
            <x v="10"/>
          </reference>
          <reference field="7" count="1" selected="0">
            <x v="4"/>
          </reference>
        </references>
      </pivotArea>
    </chartFormat>
    <chartFormat chart="8" format="10" series="1">
      <pivotArea type="data" outline="0" fieldPosition="0">
        <references count="3">
          <reference field="4294967294" count="1" selected="0">
            <x v="0"/>
          </reference>
          <reference field="0" count="1" selected="0">
            <x v="11"/>
          </reference>
          <reference field="7" count="1" selected="0">
            <x v="4"/>
          </reference>
        </references>
      </pivotArea>
    </chartFormat>
    <chartFormat chart="8" format="11" series="1">
      <pivotArea type="data" outline="0" fieldPosition="0">
        <references count="3">
          <reference field="4294967294" count="1" selected="0">
            <x v="0"/>
          </reference>
          <reference field="0" count="1" selected="0">
            <x v="12"/>
          </reference>
          <reference field="7" count="1" selected="0">
            <x v="4"/>
          </reference>
        </references>
      </pivotArea>
    </chartFormat>
    <chartFormat chart="8" format="12" series="1">
      <pivotArea type="data" outline="0" fieldPosition="0">
        <references count="3">
          <reference field="4294967294" count="1" selected="0">
            <x v="0"/>
          </reference>
          <reference field="0" count="1" selected="0">
            <x v="1"/>
          </reference>
          <reference field="7" count="1" selected="0">
            <x v="5"/>
          </reference>
        </references>
      </pivotArea>
    </chartFormat>
    <chartFormat chart="8" format="13" series="1">
      <pivotArea type="data" outline="0" fieldPosition="0">
        <references count="3">
          <reference field="4294967294" count="1" selected="0">
            <x v="0"/>
          </reference>
          <reference field="0" count="1" selected="0">
            <x v="2"/>
          </reference>
          <reference field="7" count="1" selected="0">
            <x v="5"/>
          </reference>
        </references>
      </pivotArea>
    </chartFormat>
    <chartFormat chart="8" format="14" series="1">
      <pivotArea type="data" outline="0" fieldPosition="0">
        <references count="3">
          <reference field="4294967294" count="1" selected="0">
            <x v="0"/>
          </reference>
          <reference field="0" count="1" selected="0">
            <x v="3"/>
          </reference>
          <reference field="7" count="1" selected="0">
            <x v="5"/>
          </reference>
        </references>
      </pivotArea>
    </chartFormat>
    <chartFormat chart="8" format="15" series="1">
      <pivotArea type="data" outline="0" fieldPosition="0">
        <references count="3">
          <reference field="4294967294" count="1" selected="0">
            <x v="0"/>
          </reference>
          <reference field="0" count="1" selected="0">
            <x v="4"/>
          </reference>
          <reference field="7" count="1" selected="0">
            <x v="5"/>
          </reference>
        </references>
      </pivotArea>
    </chartFormat>
    <chartFormat chart="10" format="21" series="1">
      <pivotArea type="data" outline="0" fieldPosition="0">
        <references count="3">
          <reference field="4294967294" count="1" selected="0">
            <x v="0"/>
          </reference>
          <reference field="0" count="1" selected="0">
            <x v="1"/>
          </reference>
          <reference field="7" count="1" selected="0">
            <x v="4"/>
          </reference>
        </references>
      </pivotArea>
    </chartFormat>
    <chartFormat chart="10" format="22" series="1">
      <pivotArea type="data" outline="0" fieldPosition="0">
        <references count="3">
          <reference field="4294967294" count="1" selected="0">
            <x v="0"/>
          </reference>
          <reference field="0" count="1" selected="0">
            <x v="2"/>
          </reference>
          <reference field="7" count="1" selected="0">
            <x v="4"/>
          </reference>
        </references>
      </pivotArea>
    </chartFormat>
    <chartFormat chart="8" format="16" series="1">
      <pivotArea type="data" outline="0" fieldPosition="0">
        <references count="3">
          <reference field="4294967294" count="1" selected="0">
            <x v="0"/>
          </reference>
          <reference field="0" count="1" selected="0">
            <x v="1"/>
          </reference>
          <reference field="7" count="1" selected="0">
            <x v="4"/>
          </reference>
        </references>
      </pivotArea>
    </chartFormat>
    <chartFormat chart="8" format="17" series="1">
      <pivotArea type="data" outline="0" fieldPosition="0">
        <references count="3">
          <reference field="4294967294" count="1" selected="0">
            <x v="0"/>
          </reference>
          <reference field="0" count="1" selected="0">
            <x v="2"/>
          </reference>
          <reference field="7" count="1" selected="0">
            <x v="4"/>
          </reference>
        </references>
      </pivotArea>
    </chartFormat>
    <chartFormat chart="8" format="18" series="1">
      <pivotArea type="data" outline="0" fieldPosition="0">
        <references count="2">
          <reference field="4294967294" count="1" selected="0">
            <x v="0"/>
          </reference>
          <reference field="7" count="1" selected="0">
            <x v="3"/>
          </reference>
        </references>
      </pivotArea>
    </chartFormat>
    <chartFormat chart="10" format="23" series="1">
      <pivotArea type="data" outline="0" fieldPosition="0">
        <references count="2">
          <reference field="4294967294" count="1" selected="0">
            <x v="0"/>
          </reference>
          <reference field="7" count="1" selected="0">
            <x v="3"/>
          </reference>
        </references>
      </pivotArea>
    </chartFormat>
    <chartFormat chart="8" format="19" series="1">
      <pivotArea type="data" outline="0" fieldPosition="0">
        <references count="2">
          <reference field="4294967294" count="1" selected="0">
            <x v="0"/>
          </reference>
          <reference field="7" count="1" selected="0">
            <x v="6"/>
          </reference>
        </references>
      </pivotArea>
    </chartFormat>
    <chartFormat chart="10" format="24" series="1">
      <pivotArea type="data" outline="0" fieldPosition="0">
        <references count="2">
          <reference field="4294967294" count="1" selected="0">
            <x v="0"/>
          </reference>
          <reference field="7" count="1" selected="0">
            <x v="6"/>
          </reference>
        </references>
      </pivotArea>
    </chartFormat>
    <chartFormat chart="10" format="25" series="1">
      <pivotArea type="data" outline="0" fieldPosition="0">
        <references count="3">
          <reference field="4294967294" count="1" selected="0">
            <x v="0"/>
          </reference>
          <reference field="0" count="1" selected="0">
            <x v="5"/>
          </reference>
          <reference field="7" count="1" selected="0">
            <x v="5"/>
          </reference>
        </references>
      </pivotArea>
    </chartFormat>
    <chartFormat chart="8" format="20" series="1">
      <pivotArea type="data" outline="0" fieldPosition="0">
        <references count="3">
          <reference field="4294967294" count="1" selected="0">
            <x v="0"/>
          </reference>
          <reference field="0" count="1" selected="0">
            <x v="5"/>
          </reference>
          <reference field="7" count="1" selected="0">
            <x v="5"/>
          </reference>
        </references>
      </pivotArea>
    </chartFormat>
    <chartFormat chart="10" format="26" series="1">
      <pivotArea type="data" outline="0" fieldPosition="0">
        <references count="3">
          <reference field="4294967294" count="1" selected="0">
            <x v="0"/>
          </reference>
          <reference field="0" count="1" selected="0">
            <x v="6"/>
          </reference>
          <reference field="7" count="1" selected="0">
            <x v="5"/>
          </reference>
        </references>
      </pivotArea>
    </chartFormat>
    <chartFormat chart="8" format="22" series="1">
      <pivotArea type="data" outline="0" fieldPosition="0">
        <references count="3">
          <reference field="4294967294" count="1" selected="0">
            <x v="0"/>
          </reference>
          <reference field="0" count="1" selected="0">
            <x v="6"/>
          </reference>
          <reference field="7" count="1" selected="0">
            <x v="5"/>
          </reference>
        </references>
      </pivotArea>
    </chartFormat>
    <chartFormat chart="10" format="27" series="1">
      <pivotArea type="data" outline="0" fieldPosition="0">
        <references count="3">
          <reference field="4294967294" count="1" selected="0">
            <x v="0"/>
          </reference>
          <reference field="0" count="1" selected="0">
            <x v="7"/>
          </reference>
          <reference field="7" count="1" selected="0">
            <x v="5"/>
          </reference>
        </references>
      </pivotArea>
    </chartFormat>
    <chartFormat chart="8" format="23" series="1">
      <pivotArea type="data" outline="0" fieldPosition="0">
        <references count="3">
          <reference field="4294967294" count="1" selected="0">
            <x v="0"/>
          </reference>
          <reference field="0" count="1" selected="0">
            <x v="7"/>
          </reference>
          <reference field="7" count="1" selected="0">
            <x v="5"/>
          </reference>
        </references>
      </pivotArea>
    </chartFormat>
    <chartFormat chart="8" format="24" series="1">
      <pivotArea type="data" outline="0" fieldPosition="0">
        <references count="3">
          <reference field="4294967294" count="1" selected="0">
            <x v="0"/>
          </reference>
          <reference field="0" count="1" selected="0">
            <x v="8"/>
          </reference>
          <reference field="7" count="1" selected="0">
            <x v="5"/>
          </reference>
        </references>
      </pivotArea>
    </chartFormat>
    <chartFormat chart="10" format="28" series="1">
      <pivotArea type="data" outline="0" fieldPosition="0">
        <references count="3">
          <reference field="4294967294" count="1" selected="0">
            <x v="0"/>
          </reference>
          <reference field="0" count="1" selected="0">
            <x v="8"/>
          </reference>
          <reference field="7" count="1" selected="0">
            <x v="5"/>
          </reference>
        </references>
      </pivotArea>
    </chartFormat>
    <chartFormat chart="10" format="29" series="1">
      <pivotArea type="data" outline="0" fieldPosition="0">
        <references count="3">
          <reference field="4294967294" count="1" selected="0">
            <x v="0"/>
          </reference>
          <reference field="0" count="1" selected="0">
            <x v="9"/>
          </reference>
          <reference field="7" count="1" selected="0">
            <x v="5"/>
          </reference>
        </references>
      </pivotArea>
    </chartFormat>
    <chartFormat chart="8" format="25" series="1">
      <pivotArea type="data" outline="0" fieldPosition="0">
        <references count="3">
          <reference field="4294967294" count="1" selected="0">
            <x v="0"/>
          </reference>
          <reference field="0" count="1" selected="0">
            <x v="9"/>
          </reference>
          <reference field="7" count="1" selected="0">
            <x v="5"/>
          </reference>
        </references>
      </pivotArea>
    </chartFormat>
    <chartFormat chart="10" format="30" series="1">
      <pivotArea type="data" outline="0" fieldPosition="0">
        <references count="3">
          <reference field="4294967294" count="1" selected="0">
            <x v="0"/>
          </reference>
          <reference field="0" count="1" selected="0">
            <x v="10"/>
          </reference>
          <reference field="7" count="1" selected="0">
            <x v="5"/>
          </reference>
        </references>
      </pivotArea>
    </chartFormat>
    <chartFormat chart="8" format="26" series="1">
      <pivotArea type="data" outline="0" fieldPosition="0">
        <references count="3">
          <reference field="4294967294" count="1" selected="0">
            <x v="0"/>
          </reference>
          <reference field="0" count="1" selected="0">
            <x v="10"/>
          </reference>
          <reference field="7" count="1" selected="0">
            <x v="5"/>
          </reference>
        </references>
      </pivotArea>
    </chartFormat>
    <chartFormat chart="10" format="31" series="1">
      <pivotArea type="data" outline="0" fieldPosition="0">
        <references count="3">
          <reference field="4294967294" count="1" selected="0">
            <x v="0"/>
          </reference>
          <reference field="0" count="1" selected="0">
            <x v="11"/>
          </reference>
          <reference field="7" count="1" selected="0">
            <x v="5"/>
          </reference>
        </references>
      </pivotArea>
    </chartFormat>
    <chartFormat chart="8" format="27" series="1">
      <pivotArea type="data" outline="0" fieldPosition="0">
        <references count="3">
          <reference field="4294967294" count="1" selected="0">
            <x v="0"/>
          </reference>
          <reference field="0" count="1" selected="0">
            <x v="12"/>
          </reference>
          <reference field="7" count="1" selected="0">
            <x v="5"/>
          </reference>
        </references>
      </pivotArea>
    </chartFormat>
    <chartFormat chart="10" format="32" series="1">
      <pivotArea type="data" outline="0" fieldPosition="0">
        <references count="3">
          <reference field="4294967294" count="1" selected="0">
            <x v="0"/>
          </reference>
          <reference field="0" count="1" selected="0">
            <x v="12"/>
          </reference>
          <reference field="7" count="1" selected="0">
            <x v="5"/>
          </reference>
        </references>
      </pivotArea>
    </chartFormat>
    <chartFormat chart="8" format="28" series="1">
      <pivotArea type="data" outline="0" fieldPosition="0">
        <references count="2">
          <reference field="4294967294" count="1" selected="0">
            <x v="0"/>
          </reference>
          <reference field="7" count="1" selected="0">
            <x v="7"/>
          </reference>
        </references>
      </pivotArea>
    </chartFormat>
    <chartFormat chart="10" format="33" series="1">
      <pivotArea type="data" outline="0" fieldPosition="0">
        <references count="2">
          <reference field="4294967294" count="1" selected="0">
            <x v="0"/>
          </reference>
          <reference field="7" count="1" selected="0">
            <x v="7"/>
          </reference>
        </references>
      </pivotArea>
    </chartFormat>
    <chartFormat chart="10" format="34" series="1">
      <pivotArea type="data" outline="0" fieldPosition="0">
        <references count="3">
          <reference field="4294967294" count="1" selected="0">
            <x v="0"/>
          </reference>
          <reference field="0" count="1" selected="0">
            <x v="1"/>
          </reference>
          <reference field="7" count="1" selected="0">
            <x v="6"/>
          </reference>
        </references>
      </pivotArea>
    </chartFormat>
    <chartFormat chart="8" format="29" series="1">
      <pivotArea type="data" outline="0" fieldPosition="0">
        <references count="3">
          <reference field="4294967294" count="1" selected="0">
            <x v="0"/>
          </reference>
          <reference field="0" count="1" selected="0">
            <x v="1"/>
          </reference>
          <reference field="7" count="1" selected="0">
            <x v="6"/>
          </reference>
        </references>
      </pivotArea>
    </chartFormat>
    <chartFormat chart="10" format="35" series="1">
      <pivotArea type="data" outline="0" fieldPosition="0">
        <references count="3">
          <reference field="4294967294" count="1" selected="0">
            <x v="0"/>
          </reference>
          <reference field="0" count="1" selected="0">
            <x v="2"/>
          </reference>
          <reference field="7" count="1" selected="0">
            <x v="6"/>
          </reference>
        </references>
      </pivotArea>
    </chartFormat>
    <chartFormat chart="8" format="30" series="1">
      <pivotArea type="data" outline="0" fieldPosition="0">
        <references count="3">
          <reference field="4294967294" count="1" selected="0">
            <x v="0"/>
          </reference>
          <reference field="0" count="1" selected="0">
            <x v="2"/>
          </reference>
          <reference field="7" count="1" selected="0">
            <x v="6"/>
          </reference>
        </references>
      </pivotArea>
    </chartFormat>
    <chartFormat chart="10" format="36" series="1">
      <pivotArea type="data" outline="0" fieldPosition="0">
        <references count="3">
          <reference field="4294967294" count="1" selected="0">
            <x v="0"/>
          </reference>
          <reference field="0" count="1" selected="0">
            <x v="3"/>
          </reference>
          <reference field="7" count="1" selected="0">
            <x v="6"/>
          </reference>
        </references>
      </pivotArea>
    </chartFormat>
    <chartFormat chart="8" format="31" series="1">
      <pivotArea type="data" outline="0" fieldPosition="0">
        <references count="3">
          <reference field="4294967294" count="1" selected="0">
            <x v="0"/>
          </reference>
          <reference field="0" count="1" selected="0">
            <x v="3"/>
          </reference>
          <reference field="7" count="1" selected="0">
            <x v="6"/>
          </reference>
        </references>
      </pivotArea>
    </chartFormat>
    <chartFormat chart="10" format="37" series="1">
      <pivotArea type="data" outline="0" fieldPosition="0">
        <references count="3">
          <reference field="4294967294" count="1" selected="0">
            <x v="0"/>
          </reference>
          <reference field="0" count="1" selected="0">
            <x v="4"/>
          </reference>
          <reference field="7" count="1" selected="0">
            <x v="6"/>
          </reference>
        </references>
      </pivotArea>
    </chartFormat>
    <chartFormat chart="8" format="32" series="1">
      <pivotArea type="data" outline="0" fieldPosition="0">
        <references count="3">
          <reference field="4294967294" count="1" selected="0">
            <x v="0"/>
          </reference>
          <reference field="0" count="1" selected="0">
            <x v="5"/>
          </reference>
          <reference field="7" count="1" selected="0">
            <x v="6"/>
          </reference>
        </references>
      </pivotArea>
    </chartFormat>
    <chartFormat chart="10" format="38" series="1">
      <pivotArea type="data" outline="0" fieldPosition="0">
        <references count="3">
          <reference field="4294967294" count="1" selected="0">
            <x v="0"/>
          </reference>
          <reference field="0" count="1" selected="0">
            <x v="5"/>
          </reference>
          <reference field="7" count="1" selected="0">
            <x v="6"/>
          </reference>
        </references>
      </pivotArea>
    </chartFormat>
    <chartFormat chart="8" format="33" series="1">
      <pivotArea type="data" outline="0" fieldPosition="0">
        <references count="3">
          <reference field="4294967294" count="1" selected="0">
            <x v="0"/>
          </reference>
          <reference field="0" count="1" selected="0">
            <x v="6"/>
          </reference>
          <reference field="7" count="1" selected="0">
            <x v="6"/>
          </reference>
        </references>
      </pivotArea>
    </chartFormat>
    <chartFormat chart="10" format="39" series="1">
      <pivotArea type="data" outline="0" fieldPosition="0">
        <references count="3">
          <reference field="4294967294" count="1" selected="0">
            <x v="0"/>
          </reference>
          <reference field="0" count="1" selected="0">
            <x v="6"/>
          </reference>
          <reference field="7" count="1" selected="0">
            <x v="6"/>
          </reference>
        </references>
      </pivotArea>
    </chartFormat>
    <chartFormat chart="10" format="40" series="1">
      <pivotArea type="data" outline="0" fieldPosition="0">
        <references count="3">
          <reference field="4294967294" count="1" selected="0">
            <x v="0"/>
          </reference>
          <reference field="0" count="1" selected="0">
            <x v="7"/>
          </reference>
          <reference field="7" count="1" selected="0">
            <x v="6"/>
          </reference>
        </references>
      </pivotArea>
    </chartFormat>
    <chartFormat chart="8" format="34" series="1">
      <pivotArea type="data" outline="0" fieldPosition="0">
        <references count="3">
          <reference field="4294967294" count="1" selected="0">
            <x v="0"/>
          </reference>
          <reference field="0" count="1" selected="0">
            <x v="8"/>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3CA9CC-3689-4776-974A-C5C25EB625C5}" name="Динамика" cacheId="53" applyNumberFormats="0" applyBorderFormats="0" applyFontFormats="0" applyPatternFormats="0" applyAlignmentFormats="0" applyWidthHeightFormats="1" dataCaption="Значения" updatedVersion="8" minRefreshableVersion="3" rowGrandTotals="0" colGrandTotals="0" itemPrintTitles="1" createdVersion="7" indent="0" compact="0" compactData="0" multipleFieldFilters="0" chartFormat="17">
  <location ref="B6:L63" firstHeaderRow="1" firstDataRow="2" firstDataCol="2"/>
  <pivotFields count="8">
    <pivotField name="Месяц" axis="axisRow" compact="0" numFmtId="14" outline="0" multipleItemSelectionAllowed="1" showAll="0" defaultSubtotal="0">
      <items count="14">
        <item x="0"/>
        <item x="1"/>
        <item x="2"/>
        <item x="3"/>
        <item x="4"/>
        <item x="5"/>
        <item x="6"/>
        <item x="7"/>
        <item x="8"/>
        <item x="9"/>
        <item x="10"/>
        <item x="11"/>
        <item x="12"/>
        <item x="13"/>
      </items>
    </pivotField>
    <pivotField axis="axisCol" compact="0" outline="0" showAll="0" sortType="ascending" defaultSubtotal="0">
      <items count="12">
        <item x="0"/>
        <item x="1"/>
        <item h="1" x="11"/>
        <item x="2"/>
        <item x="3"/>
        <item x="4"/>
        <item x="5"/>
        <item h="1" x="6"/>
        <item h="1" x="7"/>
        <item x="8"/>
        <item x="9"/>
        <item x="10"/>
      </items>
    </pivotField>
    <pivotField compact="0" outline="0" showAll="0" defaultSubtotal="0"/>
    <pivotField dataField="1" compact="0" numFmtId="165" outline="0" showAll="0" defaultSubtotal="0"/>
    <pivotField compact="0" outline="0" subtotalTop="0" showAll="0" defaultSubtotal="0"/>
    <pivotField compact="0" outline="0" subtotalTop="0" showAll="0" defaultSubtotal="0"/>
    <pivotField compact="0" outline="0" showAll="0" defaultSubtotal="0">
      <items count="6">
        <item sd="0" x="1"/>
        <item sd="0" x="2"/>
        <item sd="0" x="3"/>
        <item sd="0" x="4"/>
        <item x="0"/>
        <item x="5"/>
      </items>
    </pivotField>
    <pivotField name="Год" axis="axisRow" compact="0" outline="0" multipleItemSelectionAllowed="1" showAll="0" sortType="ascending" defaultSubtotal="0">
      <items count="8">
        <item h="1" x="0"/>
        <item h="1" x="7"/>
        <item h="1" x="1"/>
        <item x="2"/>
        <item x="3"/>
        <item x="4"/>
        <item x="5"/>
        <item x="6"/>
      </items>
    </pivotField>
  </pivotFields>
  <rowFields count="2">
    <field x="7"/>
    <field x="0"/>
  </rowFields>
  <rowItems count="56">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i>
      <x v="5"/>
      <x v="1"/>
    </i>
    <i r="1">
      <x v="2"/>
    </i>
    <i r="1">
      <x v="3"/>
    </i>
    <i r="1">
      <x v="4"/>
    </i>
    <i r="1">
      <x v="5"/>
    </i>
    <i r="1">
      <x v="6"/>
    </i>
    <i r="1">
      <x v="7"/>
    </i>
    <i r="1">
      <x v="8"/>
    </i>
    <i r="1">
      <x v="9"/>
    </i>
    <i r="1">
      <x v="10"/>
    </i>
    <i r="1">
      <x v="11"/>
    </i>
    <i r="1">
      <x v="12"/>
    </i>
    <i>
      <x v="6"/>
      <x v="1"/>
    </i>
    <i r="1">
      <x v="2"/>
    </i>
    <i r="1">
      <x v="3"/>
    </i>
    <i r="1">
      <x v="4"/>
    </i>
    <i r="1">
      <x v="5"/>
    </i>
    <i r="1">
      <x v="6"/>
    </i>
    <i r="1">
      <x v="7"/>
    </i>
    <i r="1">
      <x v="8"/>
    </i>
    <i r="1">
      <x v="9"/>
    </i>
    <i r="1">
      <x v="10"/>
    </i>
    <i r="1">
      <x v="11"/>
    </i>
    <i r="1">
      <x v="12"/>
    </i>
    <i>
      <x v="7"/>
      <x v="1"/>
    </i>
    <i r="1">
      <x v="2"/>
    </i>
    <i r="1">
      <x v="3"/>
    </i>
    <i r="1">
      <x v="4"/>
    </i>
    <i r="1">
      <x v="5"/>
    </i>
    <i r="1">
      <x v="6"/>
    </i>
    <i r="1">
      <x v="7"/>
    </i>
    <i r="1">
      <x v="8"/>
    </i>
  </rowItems>
  <colFields count="1">
    <field x="1"/>
  </colFields>
  <colItems count="9">
    <i>
      <x/>
    </i>
    <i>
      <x v="1"/>
    </i>
    <i>
      <x v="3"/>
    </i>
    <i>
      <x v="4"/>
    </i>
    <i>
      <x v="5"/>
    </i>
    <i>
      <x v="6"/>
    </i>
    <i>
      <x v="9"/>
    </i>
    <i>
      <x v="10"/>
    </i>
    <i>
      <x v="11"/>
    </i>
  </colItems>
  <dataFields count="1">
    <dataField name="Сумма по полю Средневзвешенная цена" fld="3" baseField="0" baseItem="2" numFmtId="166"/>
  </dataFields>
  <formats count="3">
    <format dxfId="312">
      <pivotArea outline="0" fieldPosition="0">
        <references count="3">
          <reference field="0" count="1" selected="0">
            <x v="2"/>
          </reference>
          <reference field="1" count="1" selected="0">
            <x v="0"/>
          </reference>
          <reference field="7" count="1" selected="0">
            <x v="2"/>
          </reference>
        </references>
      </pivotArea>
    </format>
    <format dxfId="311">
      <pivotArea outline="0" collapsedLevelsAreSubtotals="1" fieldPosition="0"/>
    </format>
    <format dxfId="310">
      <pivotArea outline="0" fieldPosition="0">
        <references count="1">
          <reference field="4294967294" count="1">
            <x v="0"/>
          </reference>
        </references>
      </pivotArea>
    </format>
  </formats>
  <chartFormats count="30">
    <chartFormat chart="5" format="26" series="1">
      <pivotArea type="data" outline="0" fieldPosition="0">
        <references count="1">
          <reference field="1" count="1" selected="0">
            <x v="0"/>
          </reference>
        </references>
      </pivotArea>
    </chartFormat>
    <chartFormat chart="5" format="27" series="1">
      <pivotArea type="data" outline="0" fieldPosition="0">
        <references count="1">
          <reference field="1" count="1" selected="0">
            <x v="1"/>
          </reference>
        </references>
      </pivotArea>
    </chartFormat>
    <chartFormat chart="5" format="28" series="1">
      <pivotArea type="data" outline="0" fieldPosition="0">
        <references count="1">
          <reference field="1" count="1" selected="0">
            <x v="2"/>
          </reference>
        </references>
      </pivotArea>
    </chartFormat>
    <chartFormat chart="5" format="29" series="1">
      <pivotArea type="data" outline="0" fieldPosition="0">
        <references count="1">
          <reference field="1" count="1" selected="0">
            <x v="3"/>
          </reference>
        </references>
      </pivotArea>
    </chartFormat>
    <chartFormat chart="5" format="30" series="1">
      <pivotArea type="data" outline="0" fieldPosition="0">
        <references count="1">
          <reference field="1" count="1" selected="0">
            <x v="4"/>
          </reference>
        </references>
      </pivotArea>
    </chartFormat>
    <chartFormat chart="5" format="31" series="1">
      <pivotArea type="data" outline="0" fieldPosition="0">
        <references count="1">
          <reference field="1" count="1" selected="0">
            <x v="5"/>
          </reference>
        </references>
      </pivotArea>
    </chartFormat>
    <chartFormat chart="5" format="32" series="1">
      <pivotArea type="data" outline="0" fieldPosition="0">
        <references count="1">
          <reference field="1" count="1" selected="0">
            <x v="6"/>
          </reference>
        </references>
      </pivotArea>
    </chartFormat>
    <chartFormat chart="5" format="33" series="1">
      <pivotArea type="data" outline="0" fieldPosition="0">
        <references count="1">
          <reference field="1" count="1" selected="0">
            <x v="7"/>
          </reference>
        </references>
      </pivotArea>
    </chartFormat>
    <chartFormat chart="5" format="34" series="1">
      <pivotArea type="data" outline="0" fieldPosition="0">
        <references count="1">
          <reference field="1" count="1" selected="0">
            <x v="8"/>
          </reference>
        </references>
      </pivotArea>
    </chartFormat>
    <chartFormat chart="5" format="35" series="1">
      <pivotArea type="data" outline="0" fieldPosition="0">
        <references count="1">
          <reference field="1" count="1" selected="0">
            <x v="9"/>
          </reference>
        </references>
      </pivotArea>
    </chartFormat>
    <chartFormat chart="5" format="36" series="1">
      <pivotArea type="data" outline="0" fieldPosition="0">
        <references count="1">
          <reference field="1" count="1" selected="0">
            <x v="10"/>
          </reference>
        </references>
      </pivotArea>
    </chartFormat>
    <chartFormat chart="5" format="37" series="1">
      <pivotArea type="data" outline="0" fieldPosition="0">
        <references count="1">
          <reference field="1" count="1" selected="0">
            <x v="11"/>
          </reference>
        </references>
      </pivotArea>
    </chartFormat>
    <chartFormat chart="5" format="50" series="1">
      <pivotArea type="data" outline="0" fieldPosition="0">
        <references count="2">
          <reference field="4294967294" count="1" selected="0">
            <x v="0"/>
          </reference>
          <reference field="1" count="1" selected="0">
            <x v="0"/>
          </reference>
        </references>
      </pivotArea>
    </chartFormat>
    <chartFormat chart="5" format="51" series="1">
      <pivotArea type="data" outline="0" fieldPosition="0">
        <references count="2">
          <reference field="4294967294" count="1" selected="0">
            <x v="0"/>
          </reference>
          <reference field="1" count="1" selected="0">
            <x v="1"/>
          </reference>
        </references>
      </pivotArea>
    </chartFormat>
    <chartFormat chart="5" format="52" series="1">
      <pivotArea type="data" outline="0" fieldPosition="0">
        <references count="2">
          <reference field="4294967294" count="1" selected="0">
            <x v="0"/>
          </reference>
          <reference field="1" count="1" selected="0">
            <x v="3"/>
          </reference>
        </references>
      </pivotArea>
    </chartFormat>
    <chartFormat chart="5" format="53" series="1">
      <pivotArea type="data" outline="0" fieldPosition="0">
        <references count="2">
          <reference field="4294967294" count="1" selected="0">
            <x v="0"/>
          </reference>
          <reference field="1" count="1" selected="0">
            <x v="4"/>
          </reference>
        </references>
      </pivotArea>
    </chartFormat>
    <chartFormat chart="5" format="54" series="1">
      <pivotArea type="data" outline="0" fieldPosition="0">
        <references count="2">
          <reference field="4294967294" count="1" selected="0">
            <x v="0"/>
          </reference>
          <reference field="1" count="1" selected="0">
            <x v="5"/>
          </reference>
        </references>
      </pivotArea>
    </chartFormat>
    <chartFormat chart="5" format="55" series="1">
      <pivotArea type="data" outline="0" fieldPosition="0">
        <references count="2">
          <reference field="4294967294" count="1" selected="0">
            <x v="0"/>
          </reference>
          <reference field="1" count="1" selected="0">
            <x v="6"/>
          </reference>
        </references>
      </pivotArea>
    </chartFormat>
    <chartFormat chart="5" format="56" series="1">
      <pivotArea type="data" outline="0" fieldPosition="0">
        <references count="2">
          <reference field="4294967294" count="1" selected="0">
            <x v="0"/>
          </reference>
          <reference field="1" count="1" selected="0">
            <x v="9"/>
          </reference>
        </references>
      </pivotArea>
    </chartFormat>
    <chartFormat chart="5" format="57" series="1">
      <pivotArea type="data" outline="0" fieldPosition="0">
        <references count="2">
          <reference field="4294967294" count="1" selected="0">
            <x v="0"/>
          </reference>
          <reference field="1" count="1" selected="0">
            <x v="10"/>
          </reference>
        </references>
      </pivotArea>
    </chartFormat>
    <chartFormat chart="5" format="58" series="1">
      <pivotArea type="data" outline="0" fieldPosition="0">
        <references count="2">
          <reference field="4294967294" count="1" selected="0">
            <x v="0"/>
          </reference>
          <reference field="1" count="1" selected="0">
            <x v="11"/>
          </reference>
        </references>
      </pivotArea>
    </chartFormat>
    <chartFormat chart="12" format="68" series="1">
      <pivotArea type="data" outline="0" fieldPosition="0">
        <references count="2">
          <reference field="4294967294" count="1" selected="0">
            <x v="0"/>
          </reference>
          <reference field="1" count="1" selected="0">
            <x v="0"/>
          </reference>
        </references>
      </pivotArea>
    </chartFormat>
    <chartFormat chart="12" format="69" series="1">
      <pivotArea type="data" outline="0" fieldPosition="0">
        <references count="2">
          <reference field="4294967294" count="1" selected="0">
            <x v="0"/>
          </reference>
          <reference field="1" count="1" selected="0">
            <x v="1"/>
          </reference>
        </references>
      </pivotArea>
    </chartFormat>
    <chartFormat chart="12" format="70" series="1">
      <pivotArea type="data" outline="0" fieldPosition="0">
        <references count="2">
          <reference field="4294967294" count="1" selected="0">
            <x v="0"/>
          </reference>
          <reference field="1" count="1" selected="0">
            <x v="3"/>
          </reference>
        </references>
      </pivotArea>
    </chartFormat>
    <chartFormat chart="12" format="71" series="1">
      <pivotArea type="data" outline="0" fieldPosition="0">
        <references count="2">
          <reference field="4294967294" count="1" selected="0">
            <x v="0"/>
          </reference>
          <reference field="1" count="1" selected="0">
            <x v="4"/>
          </reference>
        </references>
      </pivotArea>
    </chartFormat>
    <chartFormat chart="12" format="72" series="1">
      <pivotArea type="data" outline="0" fieldPosition="0">
        <references count="2">
          <reference field="4294967294" count="1" selected="0">
            <x v="0"/>
          </reference>
          <reference field="1" count="1" selected="0">
            <x v="5"/>
          </reference>
        </references>
      </pivotArea>
    </chartFormat>
    <chartFormat chart="12" format="73" series="1">
      <pivotArea type="data" outline="0" fieldPosition="0">
        <references count="2">
          <reference field="4294967294" count="1" selected="0">
            <x v="0"/>
          </reference>
          <reference field="1" count="1" selected="0">
            <x v="6"/>
          </reference>
        </references>
      </pivotArea>
    </chartFormat>
    <chartFormat chart="12" format="74" series="1">
      <pivotArea type="data" outline="0" fieldPosition="0">
        <references count="2">
          <reference field="4294967294" count="1" selected="0">
            <x v="0"/>
          </reference>
          <reference field="1" count="1" selected="0">
            <x v="9"/>
          </reference>
        </references>
      </pivotArea>
    </chartFormat>
    <chartFormat chart="12" format="75" series="1">
      <pivotArea type="data" outline="0" fieldPosition="0">
        <references count="2">
          <reference field="4294967294" count="1" selected="0">
            <x v="0"/>
          </reference>
          <reference field="1" count="1" selected="0">
            <x v="10"/>
          </reference>
        </references>
      </pivotArea>
    </chartFormat>
    <chartFormat chart="12" format="76"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110D9-63D3-455C-8417-0054C086FFEA}" name="Объем-предл" cacheId="43" applyNumberFormats="0" applyBorderFormats="0" applyFontFormats="0" applyPatternFormats="0" applyAlignmentFormats="0" applyWidthHeightFormats="1" dataCaption="Значения" updatedVersion="8" minRefreshableVersion="3" rowGrandTotals="0" colGrandTotals="0" itemPrintTitles="1" createdVersion="7" indent="0" outline="1" outlineData="1" multipleFieldFilters="0" chartFormat="6">
  <location ref="A3:B64" firstHeaderRow="1" firstDataRow="1" firstDataCol="1"/>
  <pivotFields count="7">
    <pivotField axis="axisRow" numFmtId="14" showAll="0" defaultSubtotal="0">
      <items count="14">
        <item x="0"/>
        <item x="1"/>
        <item x="2"/>
        <item x="3"/>
        <item x="4"/>
        <item x="5"/>
        <item x="6"/>
        <item x="7"/>
        <item x="8"/>
        <item x="9"/>
        <item x="10"/>
        <item x="11"/>
        <item x="12"/>
        <item x="13"/>
      </items>
    </pivotField>
    <pivotField showAll="0" defaultSubtotal="0"/>
    <pivotField dataField="1" showAll="0" defaultSubtotal="0"/>
    <pivotField numFmtId="166" showAll="0" defaultSubtotal="0"/>
    <pivotField showAll="0" defaultSubtotal="0"/>
    <pivotField showAll="0" defaultSubtotal="0"/>
    <pivotField axis="axisRow" showAll="0" defaultSubtotal="0">
      <items count="8">
        <item x="0"/>
        <item h="1" x="1"/>
        <item x="2"/>
        <item x="3"/>
        <item x="4"/>
        <item x="5"/>
        <item x="6"/>
        <item h="1" x="7"/>
      </items>
    </pivotField>
  </pivotFields>
  <rowFields count="2">
    <field x="6"/>
    <field x="0"/>
  </rowFields>
  <rowItems count="61">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rowItems>
  <colItems count="1">
    <i/>
  </colItems>
  <dataFields count="1">
    <dataField name="объем предложения " fld="2" baseField="6" baseItem="1" numFmtId="3"/>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616316-7BAB-4DD5-80FF-918914A846B3}" name="Объем-по_годам" cacheId="43" applyNumberFormats="0" applyBorderFormats="0" applyFontFormats="0" applyPatternFormats="0" applyAlignmentFormats="0" applyWidthHeightFormats="1" dataCaption="Значения" updatedVersion="8" minRefreshableVersion="3" rowGrandTotals="0" colGrandTotals="0" itemPrintTitles="1" createdVersion="7" indent="0" outline="1" outlineData="1" multipleFieldFilters="0" chartFormat="13">
  <location ref="G2:M15" firstHeaderRow="1" firstDataRow="2" firstDataCol="1"/>
  <pivotFields count="7">
    <pivotField axis="axisRow" numFmtId="14" showAll="0" defaultSubtotal="0">
      <items count="14">
        <item x="0"/>
        <item x="1"/>
        <item x="2"/>
        <item x="3"/>
        <item x="4"/>
        <item x="5"/>
        <item x="6"/>
        <item x="7"/>
        <item x="8"/>
        <item x="9"/>
        <item x="10"/>
        <item x="11"/>
        <item x="12"/>
        <item x="13"/>
      </items>
    </pivotField>
    <pivotField showAll="0" defaultSubtotal="0"/>
    <pivotField dataField="1" showAll="0" defaultSubtotal="0"/>
    <pivotField numFmtId="166" showAll="0" defaultSubtotal="0"/>
    <pivotField showAll="0" defaultSubtotal="0"/>
    <pivotField showAll="0" defaultSubtotal="0"/>
    <pivotField axis="axisCol" showAll="0" defaultSubtotal="0">
      <items count="8">
        <item x="0"/>
        <item x="1"/>
        <item x="2"/>
        <item x="3"/>
        <item x="4"/>
        <item x="5"/>
        <item x="6"/>
        <item x="7"/>
      </items>
    </pivotField>
  </pivotFields>
  <rowFields count="1">
    <field x="0"/>
  </rowFields>
  <rowItems count="12">
    <i>
      <x v="1"/>
    </i>
    <i>
      <x v="2"/>
    </i>
    <i>
      <x v="3"/>
    </i>
    <i>
      <x v="4"/>
    </i>
    <i>
      <x v="5"/>
    </i>
    <i>
      <x v="6"/>
    </i>
    <i>
      <x v="7"/>
    </i>
    <i>
      <x v="8"/>
    </i>
    <i>
      <x v="9"/>
    </i>
    <i>
      <x v="10"/>
    </i>
    <i>
      <x v="11"/>
    </i>
    <i>
      <x v="12"/>
    </i>
  </rowItems>
  <colFields count="1">
    <field x="6"/>
  </colFields>
  <colItems count="6">
    <i>
      <x v="1"/>
    </i>
    <i>
      <x v="2"/>
    </i>
    <i>
      <x v="3"/>
    </i>
    <i>
      <x v="4"/>
    </i>
    <i>
      <x v="5"/>
    </i>
    <i>
      <x v="6"/>
    </i>
  </colItems>
  <dataFields count="1">
    <dataField name="объем предложения " fld="2" baseField="6" baseItem="1" numFmtId="3"/>
  </dataFields>
  <chartFormats count="18">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6" count="1" selected="0">
            <x v="1"/>
          </reference>
        </references>
      </pivotArea>
    </chartFormat>
    <chartFormat chart="10" format="1" series="1">
      <pivotArea type="data" outline="0" fieldPosition="0">
        <references count="2">
          <reference field="4294967294" count="1" selected="0">
            <x v="0"/>
          </reference>
          <reference field="6" count="1" selected="0">
            <x v="2"/>
          </reference>
        </references>
      </pivotArea>
    </chartFormat>
    <chartFormat chart="10" format="2" series="1">
      <pivotArea type="data" outline="0" fieldPosition="0">
        <references count="2">
          <reference field="4294967294" count="1" selected="0">
            <x v="0"/>
          </reference>
          <reference field="6" count="1" selected="0">
            <x v="3"/>
          </reference>
        </references>
      </pivotArea>
    </chartFormat>
    <chartFormat chart="10" format="3" series="1">
      <pivotArea type="data" outline="0" fieldPosition="0">
        <references count="2">
          <reference field="4294967294" count="1" selected="0">
            <x v="0"/>
          </reference>
          <reference field="6" count="1" selected="0">
            <x v="4"/>
          </reference>
        </references>
      </pivotArea>
    </chartFormat>
    <chartFormat chart="10" format="4" series="1">
      <pivotArea type="data" outline="0" fieldPosition="0">
        <references count="2">
          <reference field="4294967294" count="1" selected="0">
            <x v="0"/>
          </reference>
          <reference field="6" count="1" selected="0">
            <x v="5"/>
          </reference>
        </references>
      </pivotArea>
    </chartFormat>
    <chartFormat chart="11" format="5" series="1">
      <pivotArea type="data" outline="0" fieldPosition="0">
        <references count="2">
          <reference field="4294967294" count="1" selected="0">
            <x v="0"/>
          </reference>
          <reference field="6" count="1" selected="0">
            <x v="1"/>
          </reference>
        </references>
      </pivotArea>
    </chartFormat>
    <chartFormat chart="11" format="6" series="1">
      <pivotArea type="data" outline="0" fieldPosition="0">
        <references count="2">
          <reference field="4294967294" count="1" selected="0">
            <x v="0"/>
          </reference>
          <reference field="6" count="1" selected="0">
            <x v="2"/>
          </reference>
        </references>
      </pivotArea>
    </chartFormat>
    <chartFormat chart="11" format="7" series="1">
      <pivotArea type="data" outline="0" fieldPosition="0">
        <references count="2">
          <reference field="4294967294" count="1" selected="0">
            <x v="0"/>
          </reference>
          <reference field="6" count="1" selected="0">
            <x v="3"/>
          </reference>
        </references>
      </pivotArea>
    </chartFormat>
    <chartFormat chart="11" format="8" series="1">
      <pivotArea type="data" outline="0" fieldPosition="0">
        <references count="2">
          <reference field="4294967294" count="1" selected="0">
            <x v="0"/>
          </reference>
          <reference field="6" count="1" selected="0">
            <x v="4"/>
          </reference>
        </references>
      </pivotArea>
    </chartFormat>
    <chartFormat chart="11" format="9" series="1">
      <pivotArea type="data" outline="0" fieldPosition="0">
        <references count="2">
          <reference field="4294967294" count="1" selected="0">
            <x v="0"/>
          </reference>
          <reference field="6" count="1" selected="0">
            <x v="5"/>
          </reference>
        </references>
      </pivotArea>
    </chartFormat>
    <chartFormat chart="12" format="10" series="1">
      <pivotArea type="data" outline="0" fieldPosition="0">
        <references count="2">
          <reference field="4294967294" count="1" selected="0">
            <x v="0"/>
          </reference>
          <reference field="6" count="1" selected="0">
            <x v="1"/>
          </reference>
        </references>
      </pivotArea>
    </chartFormat>
    <chartFormat chart="12" format="11" series="1">
      <pivotArea type="data" outline="0" fieldPosition="0">
        <references count="2">
          <reference field="4294967294" count="1" selected="0">
            <x v="0"/>
          </reference>
          <reference field="6" count="1" selected="0">
            <x v="2"/>
          </reference>
        </references>
      </pivotArea>
    </chartFormat>
    <chartFormat chart="12" format="12" series="1">
      <pivotArea type="data" outline="0" fieldPosition="0">
        <references count="2">
          <reference field="4294967294" count="1" selected="0">
            <x v="0"/>
          </reference>
          <reference field="6" count="1" selected="0">
            <x v="3"/>
          </reference>
        </references>
      </pivotArea>
    </chartFormat>
    <chartFormat chart="12" format="13" series="1">
      <pivotArea type="data" outline="0" fieldPosition="0">
        <references count="2">
          <reference field="4294967294" count="1" selected="0">
            <x v="0"/>
          </reference>
          <reference field="6" count="1" selected="0">
            <x v="4"/>
          </reference>
        </references>
      </pivotArea>
    </chartFormat>
    <chartFormat chart="12" format="14" series="1">
      <pivotArea type="data" outline="0" fieldPosition="0">
        <references count="2">
          <reference field="4294967294" count="1" selected="0">
            <x v="0"/>
          </reference>
          <reference field="6" count="1" selected="0">
            <x v="5"/>
          </reference>
        </references>
      </pivotArea>
    </chartFormat>
    <chartFormat chart="10" format="5" series="1">
      <pivotArea type="data" outline="0" fieldPosition="0">
        <references count="2">
          <reference field="4294967294" count="1" selected="0">
            <x v="0"/>
          </reference>
          <reference field="6" count="1" selected="0">
            <x v="6"/>
          </reference>
        </references>
      </pivotArea>
    </chartFormat>
    <chartFormat chart="12" format="15"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Период" xr10:uid="{C61B4538-B90E-42B6-B9E0-E125DFB89453}" sourceName="Период">
  <pivotTables>
    <pivotTable tabId="20" name="Объем"/>
    <pivotTable tabId="20" name="Цена"/>
    <pivotTable tabId="23" name="Цена"/>
  </pivotTables>
  <data>
    <tabular pivotCacheId="1698484764">
      <items count="14">
        <i x="1"/>
        <i x="2"/>
        <i x="3"/>
        <i x="4"/>
        <i x="5"/>
        <i x="6"/>
        <i x="7"/>
        <i x="8" s="1"/>
        <i x="9"/>
        <i x="10"/>
        <i x="1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Годы" xr10:uid="{282104BE-721A-4FA8-88F4-170B9978DB1C}" sourceName="Годы">
  <pivotTables>
    <pivotTable tabId="20" name="Цена"/>
    <pivotTable tabId="20" name="Объем"/>
  </pivotTables>
  <data>
    <tabular pivotCacheId="1698484764">
      <items count="8">
        <i x="1"/>
        <i x="2"/>
        <i x="3"/>
        <i x="4"/>
        <i x="5"/>
        <i x="6" s="1"/>
        <i x="0"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xr10:uid="{C85EE6DB-2C06-403C-91AB-9C953EEBA18B}" cache="Срез_Период" caption="Месяц" lockedPosition="1" rowHeight="241300"/>
  <slicer name="Годы 1" xr10:uid="{6A5E66EE-892F-450A-B087-FACE68CA009C}" cache="Срез_Годы" caption="Годы"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C0B91-504A-4297-8063-11056BEC4BE3}" name="DT_data" displayName="DT_data" ref="A1:F805" totalsRowShown="0" headerRowDxfId="309">
  <autoFilter ref="A1:F805" xr:uid="{FCDB782E-59BC-4222-861C-9495CB5FFCFA}"/>
  <tableColumns count="6">
    <tableColumn id="1" xr3:uid="{BD5923C9-A961-428B-82CD-B2B01BECDCE6}" name="Период" dataDxfId="308"/>
    <tableColumn id="2" xr3:uid="{44412176-6D17-4987-B20C-0F361726C486}" name="Округ"/>
    <tableColumn id="3" xr3:uid="{A31B8833-2D33-40AB-863E-89CBEA6F43CE}" name="Объем предложения"/>
    <tableColumn id="4" xr3:uid="{88C1E878-F7A2-464A-BC0F-799C233040F6}" name="Средневзвешенная цена" dataDxfId="307" dataCellStyle="Финансовый"/>
    <tableColumn id="5" xr3:uid="{4DE4B572-3372-4357-A46A-D4B94D8B20AB}" name="Изменение объема к предыдущему месяцу" dataDxfId="306" dataCellStyle="Финансовый"/>
    <tableColumn id="6" xr3:uid="{6A0A54B7-92ED-4773-A0DB-AF1A03AB21DB}" name="Изменение цены к предыдущему месяцу" dataDxfId="305" dataCellStyle="Процентный"/>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ACAD-D1A2-4650-B639-F3C51134B16D}">
  <sheetPr codeName="Лист13"/>
  <dimension ref="A2:A3"/>
  <sheetViews>
    <sheetView showGridLines="0" zoomScale="59" zoomScaleNormal="59" workbookViewId="0">
      <selection activeCell="AF25" sqref="AF25"/>
    </sheetView>
  </sheetViews>
  <sheetFormatPr defaultColWidth="8.77734375" defaultRowHeight="14.4" x14ac:dyDescent="0.3"/>
  <cols>
    <col min="1" max="1" width="20.6640625" style="175" customWidth="1"/>
    <col min="2" max="2" width="20.44140625" style="175" bestFit="1" customWidth="1"/>
    <col min="3" max="3" width="34.44140625" style="175" customWidth="1"/>
    <col min="4" max="4" width="5.21875" style="175" customWidth="1"/>
    <col min="5" max="9" width="8.77734375" style="175"/>
    <col min="10" max="10" width="9.109375" style="175" customWidth="1"/>
    <col min="11" max="16384" width="8.77734375" style="175"/>
  </cols>
  <sheetData>
    <row r="2" spans="1:1" x14ac:dyDescent="0.3">
      <c r="A2" s="176"/>
    </row>
    <row r="3" spans="1:1" x14ac:dyDescent="0.3">
      <c r="A3" s="17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FEF9-0B10-4A05-A514-5381D4AE76AD}">
  <sheetPr codeName="Лист2"/>
  <dimension ref="A1:AN27"/>
  <sheetViews>
    <sheetView workbookViewId="0">
      <pane xSplit="1" ySplit="1" topLeftCell="B2" activePane="bottomRight" state="frozen"/>
      <selection pane="topRight" activeCell="B1" sqref="B1"/>
      <selection pane="bottomLeft" activeCell="A2" sqref="A2"/>
      <selection pane="bottomRight" activeCell="AN12" sqref="AN12"/>
    </sheetView>
  </sheetViews>
  <sheetFormatPr defaultRowHeight="14.4" x14ac:dyDescent="0.3"/>
  <cols>
    <col min="1" max="1" width="27.21875" customWidth="1"/>
    <col min="11" max="21" width="8.5546875" bestFit="1" customWidth="1"/>
    <col min="22" max="23" width="8.77734375" customWidth="1"/>
    <col min="34" max="35" width="8.5546875" bestFit="1" customWidth="1"/>
    <col min="40" max="40" width="8.5546875" bestFit="1" customWidth="1"/>
  </cols>
  <sheetData>
    <row r="1" spans="1:40" x14ac:dyDescent="0.3">
      <c r="A1" s="51"/>
      <c r="B1" s="94" t="s">
        <v>0</v>
      </c>
      <c r="C1" s="94" t="s">
        <v>1</v>
      </c>
      <c r="D1" s="94" t="s">
        <v>2</v>
      </c>
      <c r="E1" s="94" t="s">
        <v>3</v>
      </c>
      <c r="F1" s="94" t="s">
        <v>4</v>
      </c>
      <c r="G1" s="94" t="s">
        <v>5</v>
      </c>
      <c r="H1" s="94" t="s">
        <v>6</v>
      </c>
      <c r="I1" s="94" t="s">
        <v>171</v>
      </c>
      <c r="J1" s="94" t="s">
        <v>172</v>
      </c>
      <c r="K1" s="94" t="s">
        <v>173</v>
      </c>
      <c r="L1" s="94" t="s">
        <v>174</v>
      </c>
      <c r="M1" s="137">
        <v>44197</v>
      </c>
      <c r="N1" s="95">
        <v>44228</v>
      </c>
      <c r="O1" s="84">
        <v>44256</v>
      </c>
      <c r="P1" s="96">
        <v>44287</v>
      </c>
      <c r="Q1" s="96">
        <v>44317</v>
      </c>
      <c r="R1" s="96">
        <v>44348</v>
      </c>
      <c r="S1" s="96">
        <v>44378</v>
      </c>
      <c r="T1" s="96">
        <v>44409</v>
      </c>
      <c r="U1" s="96">
        <v>44440</v>
      </c>
      <c r="V1" s="96">
        <v>44470</v>
      </c>
      <c r="W1" s="96">
        <v>44501</v>
      </c>
      <c r="X1" s="149">
        <v>44531</v>
      </c>
      <c r="Y1" s="150">
        <v>44562</v>
      </c>
      <c r="Z1" s="151">
        <v>44593</v>
      </c>
      <c r="AA1" s="151">
        <v>44621</v>
      </c>
      <c r="AB1" s="151">
        <v>44652</v>
      </c>
      <c r="AC1" s="151">
        <v>44682</v>
      </c>
      <c r="AD1" s="151">
        <v>44713</v>
      </c>
      <c r="AE1" s="151">
        <v>44743</v>
      </c>
      <c r="AF1" s="151">
        <v>44774</v>
      </c>
      <c r="AG1" s="151">
        <v>44805</v>
      </c>
      <c r="AH1" s="151">
        <v>44835</v>
      </c>
      <c r="AI1" s="151">
        <v>44866</v>
      </c>
      <c r="AJ1" s="152">
        <v>44896</v>
      </c>
      <c r="AK1" s="162">
        <v>44927</v>
      </c>
      <c r="AL1" s="162">
        <v>44958</v>
      </c>
      <c r="AM1" s="162">
        <v>44986</v>
      </c>
      <c r="AN1" s="162">
        <v>45017</v>
      </c>
    </row>
    <row r="2" spans="1:40" x14ac:dyDescent="0.3">
      <c r="A2" s="93" t="s">
        <v>7</v>
      </c>
      <c r="B2" s="97">
        <v>186881.59883597228</v>
      </c>
      <c r="C2" s="97">
        <v>189676.16829017893</v>
      </c>
      <c r="D2" s="97">
        <v>193065.69226812199</v>
      </c>
      <c r="E2" s="97">
        <v>193645.07519025946</v>
      </c>
      <c r="F2" s="97">
        <v>193154.90732988881</v>
      </c>
      <c r="G2" s="97">
        <v>193771.53174194237</v>
      </c>
      <c r="H2" s="97">
        <v>196359.50406855665</v>
      </c>
      <c r="I2" s="98">
        <v>201082.52304088447</v>
      </c>
      <c r="J2" s="99">
        <v>207111.72337321992</v>
      </c>
      <c r="K2" s="98">
        <v>213064</v>
      </c>
      <c r="L2" s="99">
        <v>217457.92610578501</v>
      </c>
      <c r="M2" s="99">
        <v>222408.36348782439</v>
      </c>
      <c r="N2" s="99">
        <v>224060</v>
      </c>
      <c r="O2" s="99">
        <v>229760.2050391048</v>
      </c>
      <c r="P2" s="99">
        <v>231824.103198336</v>
      </c>
      <c r="Q2" s="99">
        <v>236146.7532297835</v>
      </c>
      <c r="R2" s="99">
        <v>230983.15311796564</v>
      </c>
      <c r="S2" s="1">
        <v>239462</v>
      </c>
      <c r="T2" s="1">
        <v>243817.904226457</v>
      </c>
      <c r="U2" s="1">
        <v>249485.8436743115</v>
      </c>
      <c r="V2" s="1">
        <v>253346.3276842862</v>
      </c>
      <c r="W2" s="1">
        <v>256232</v>
      </c>
      <c r="X2" s="1">
        <v>258976.40443368099</v>
      </c>
      <c r="Y2" s="153">
        <v>267946.63172765332</v>
      </c>
      <c r="Z2" s="61">
        <v>270974.11240620178</v>
      </c>
      <c r="AA2" s="61">
        <v>278463.86159667029</v>
      </c>
      <c r="AB2" s="130">
        <v>280226.01933808258</v>
      </c>
      <c r="AC2" s="130">
        <v>275858.12621868192</v>
      </c>
      <c r="AD2" s="130">
        <v>272522.22327429499</v>
      </c>
      <c r="AE2" s="130">
        <v>269980.5322232318</v>
      </c>
      <c r="AF2" s="130">
        <v>268038.24546257441</v>
      </c>
      <c r="AG2" s="130">
        <v>266117.43562820752</v>
      </c>
      <c r="AH2" s="61">
        <v>261889.18829567861</v>
      </c>
      <c r="AI2" s="61">
        <v>258588.9765727123</v>
      </c>
      <c r="AJ2" s="154">
        <v>258297.76694470219</v>
      </c>
      <c r="AK2" s="61">
        <v>259332.9226559925</v>
      </c>
      <c r="AL2" s="61">
        <v>259473.58519021151</v>
      </c>
      <c r="AM2" s="61">
        <v>259217.51369044819</v>
      </c>
      <c r="AN2" s="1">
        <v>260149.9673409111</v>
      </c>
    </row>
    <row r="3" spans="1:40" x14ac:dyDescent="0.3">
      <c r="A3" s="93" t="s">
        <v>8</v>
      </c>
      <c r="B3" s="97">
        <v>250628.75470015861</v>
      </c>
      <c r="C3" s="97">
        <v>253823.23408582856</v>
      </c>
      <c r="D3" s="97">
        <v>271405.14032733499</v>
      </c>
      <c r="E3" s="97">
        <v>262902.16734731762</v>
      </c>
      <c r="F3" s="97">
        <v>258806.72312859545</v>
      </c>
      <c r="G3" s="97">
        <v>259270.84422783839</v>
      </c>
      <c r="H3" s="97">
        <v>261062.05807217854</v>
      </c>
      <c r="I3" s="98">
        <v>267512.7984425716</v>
      </c>
      <c r="J3" s="99">
        <v>274968.23374355608</v>
      </c>
      <c r="K3" s="98">
        <v>284145.07223511301</v>
      </c>
      <c r="L3" s="99">
        <v>285015.17727373273</v>
      </c>
      <c r="M3" s="99">
        <v>288669.41646255122</v>
      </c>
      <c r="N3" s="99">
        <v>290704</v>
      </c>
      <c r="O3" s="99">
        <v>294686.30042326043</v>
      </c>
      <c r="P3" s="99">
        <v>299003.19790890749</v>
      </c>
      <c r="Q3" s="99">
        <v>303562.77174101147</v>
      </c>
      <c r="R3" s="99">
        <v>307644.74547330698</v>
      </c>
      <c r="S3" s="1">
        <v>307365.87509837101</v>
      </c>
      <c r="T3" s="1">
        <v>313986.35700671421</v>
      </c>
      <c r="U3" s="1">
        <v>318405.32816914219</v>
      </c>
      <c r="V3" s="1">
        <v>321496.05009821663</v>
      </c>
      <c r="W3" s="1">
        <v>326170</v>
      </c>
      <c r="X3" s="1">
        <v>330302.86080593202</v>
      </c>
      <c r="Y3" s="153">
        <v>340527.33672739542</v>
      </c>
      <c r="Z3" s="61">
        <v>346948.1862733243</v>
      </c>
      <c r="AA3" s="61">
        <v>363085.50828029233</v>
      </c>
      <c r="AB3" s="130">
        <v>367420.52702621918</v>
      </c>
      <c r="AC3" s="130">
        <v>359294.42630135908</v>
      </c>
      <c r="AD3" s="130">
        <v>348500.65509742312</v>
      </c>
      <c r="AE3" s="130">
        <v>343912.83252685261</v>
      </c>
      <c r="AF3" s="130">
        <v>340004.22844694433</v>
      </c>
      <c r="AG3" s="130">
        <v>336424.29970319528</v>
      </c>
      <c r="AH3" s="61">
        <v>330306.84382925881</v>
      </c>
      <c r="AI3" s="61">
        <v>326518.66673538182</v>
      </c>
      <c r="AJ3" s="155">
        <v>324768.07093273278</v>
      </c>
      <c r="AK3" s="61">
        <v>326279.82855966821</v>
      </c>
      <c r="AL3" s="61">
        <v>322496.14762979379</v>
      </c>
      <c r="AM3" s="61">
        <v>325831.62776930293</v>
      </c>
      <c r="AN3" s="1">
        <v>326518.58120994607</v>
      </c>
    </row>
    <row r="4" spans="1:40" x14ac:dyDescent="0.3">
      <c r="A4" s="93" t="s">
        <v>9</v>
      </c>
      <c r="B4" s="97">
        <v>149719.01674303104</v>
      </c>
      <c r="C4" s="97">
        <v>149130.44940832927</v>
      </c>
      <c r="D4" s="97">
        <v>149242.48659631106</v>
      </c>
      <c r="E4" s="97">
        <v>149825.17636999988</v>
      </c>
      <c r="F4" s="97">
        <v>150412.72032249469</v>
      </c>
      <c r="G4" s="97">
        <v>152758.76944807201</v>
      </c>
      <c r="H4" s="97">
        <v>154507.01946795025</v>
      </c>
      <c r="I4" s="98">
        <v>159503.01647369939</v>
      </c>
      <c r="J4" s="99">
        <v>163550.63416633816</v>
      </c>
      <c r="K4" s="98">
        <v>166987.00442482485</v>
      </c>
      <c r="L4" s="99">
        <v>168456</v>
      </c>
      <c r="M4" s="99">
        <v>174893.75244081969</v>
      </c>
      <c r="N4" s="99">
        <v>166469</v>
      </c>
      <c r="O4" s="99">
        <v>170101.71363001299</v>
      </c>
      <c r="P4" s="99">
        <v>171331.37824459199</v>
      </c>
      <c r="Q4" s="99">
        <v>185143.76767959961</v>
      </c>
      <c r="R4" s="99">
        <v>185631.433362765</v>
      </c>
      <c r="S4" s="1">
        <v>189270</v>
      </c>
      <c r="T4" s="1">
        <v>190978.5946016557</v>
      </c>
      <c r="U4" s="1">
        <v>191949.76357757431</v>
      </c>
      <c r="V4" s="1">
        <v>199505.4179037796</v>
      </c>
      <c r="W4" s="1">
        <v>204239.18979340579</v>
      </c>
      <c r="X4" s="1">
        <v>207782.7273838</v>
      </c>
      <c r="Y4" s="153">
        <v>209952.13364457179</v>
      </c>
      <c r="Z4" s="61">
        <v>212581.93896508319</v>
      </c>
      <c r="AA4" s="61">
        <v>221724.66943999371</v>
      </c>
      <c r="AB4" s="130">
        <v>224159.74462695079</v>
      </c>
      <c r="AC4" s="130">
        <v>224950.51592621111</v>
      </c>
      <c r="AD4" s="130">
        <v>223068.0169433133</v>
      </c>
      <c r="AE4" s="130">
        <v>218829.20562310121</v>
      </c>
      <c r="AF4" s="130">
        <v>217394.79671944631</v>
      </c>
      <c r="AG4" s="130">
        <v>219142.34026592321</v>
      </c>
      <c r="AH4" s="61">
        <v>218235.13738975261</v>
      </c>
      <c r="AI4" s="61">
        <v>213383.53864553969</v>
      </c>
      <c r="AJ4" s="155">
        <v>213351.93392868809</v>
      </c>
      <c r="AK4" s="61">
        <v>214267.87892695851</v>
      </c>
      <c r="AL4" s="61">
        <v>215088.57304761501</v>
      </c>
      <c r="AM4" s="61">
        <v>216997.25024225019</v>
      </c>
      <c r="AN4" s="1">
        <v>216056.46931929531</v>
      </c>
    </row>
    <row r="5" spans="1:40" x14ac:dyDescent="0.3">
      <c r="A5" s="93" t="s">
        <v>10</v>
      </c>
      <c r="B5" s="97">
        <v>219881.54225453085</v>
      </c>
      <c r="C5" s="97">
        <v>221727.08693223004</v>
      </c>
      <c r="D5" s="97">
        <v>231120.57598146616</v>
      </c>
      <c r="E5" s="97">
        <v>226815.92159930311</v>
      </c>
      <c r="F5" s="97">
        <v>226938.57650398079</v>
      </c>
      <c r="G5" s="97">
        <v>225564.80501194787</v>
      </c>
      <c r="H5" s="97">
        <v>228416.83481290759</v>
      </c>
      <c r="I5" s="98">
        <v>233369.73369604201</v>
      </c>
      <c r="J5" s="99">
        <v>240481.15474768801</v>
      </c>
      <c r="K5" s="98">
        <v>248660.81808217699</v>
      </c>
      <c r="L5" s="99">
        <v>249103.2130907815</v>
      </c>
      <c r="M5" s="99">
        <v>254214.55851797509</v>
      </c>
      <c r="N5" s="99">
        <v>250175</v>
      </c>
      <c r="O5" s="99">
        <v>255178.5</v>
      </c>
      <c r="P5" s="99">
        <v>262834</v>
      </c>
      <c r="Q5" s="99">
        <v>270519.52216606628</v>
      </c>
      <c r="R5" s="99">
        <v>271639.90676165489</v>
      </c>
      <c r="S5" s="1">
        <v>279829.87249036401</v>
      </c>
      <c r="T5" s="1">
        <v>285267.26389235689</v>
      </c>
      <c r="U5" s="1">
        <v>288234.28745723149</v>
      </c>
      <c r="V5" s="1">
        <v>290471.21689291118</v>
      </c>
      <c r="W5" s="1">
        <v>293787</v>
      </c>
      <c r="X5" s="1">
        <v>298124.974818199</v>
      </c>
      <c r="Y5" s="153">
        <v>301307.60404216993</v>
      </c>
      <c r="Z5" s="61">
        <v>306540.32746884797</v>
      </c>
      <c r="AA5" s="61">
        <v>320968.52090053831</v>
      </c>
      <c r="AB5" s="130">
        <v>327258.34607007517</v>
      </c>
      <c r="AC5" s="130">
        <v>321220.19261946628</v>
      </c>
      <c r="AD5" s="130">
        <v>314573.90563794709</v>
      </c>
      <c r="AE5" s="130">
        <v>308423.61822482687</v>
      </c>
      <c r="AF5" s="130">
        <v>308092.55807605002</v>
      </c>
      <c r="AG5" s="130">
        <v>307037.0851852576</v>
      </c>
      <c r="AH5" s="61">
        <v>301857.90412314358</v>
      </c>
      <c r="AI5" s="61">
        <v>298853.75503415312</v>
      </c>
      <c r="AJ5" s="155">
        <v>296416.32505120052</v>
      </c>
      <c r="AK5" s="61">
        <v>296895.23621274339</v>
      </c>
      <c r="AL5" s="61">
        <v>297406.94574075512</v>
      </c>
      <c r="AM5" s="61">
        <v>298460.60393010598</v>
      </c>
      <c r="AN5" s="1">
        <v>299938.94214565807</v>
      </c>
    </row>
    <row r="6" spans="1:40" x14ac:dyDescent="0.3">
      <c r="A6" s="93" t="s">
        <v>11</v>
      </c>
      <c r="B6" s="97">
        <v>195689.13369485462</v>
      </c>
      <c r="C6" s="97">
        <v>199279.43185268046</v>
      </c>
      <c r="D6" s="97">
        <v>203485.70774147296</v>
      </c>
      <c r="E6" s="97">
        <v>204127.9181143186</v>
      </c>
      <c r="F6" s="97">
        <v>204628.71519037255</v>
      </c>
      <c r="G6" s="97">
        <v>205183.89669872029</v>
      </c>
      <c r="H6" s="97">
        <v>208545.5849842903</v>
      </c>
      <c r="I6" s="98">
        <v>212295.60668226599</v>
      </c>
      <c r="J6" s="99">
        <v>218383.82581986193</v>
      </c>
      <c r="K6" s="98">
        <v>224126.573099884</v>
      </c>
      <c r="L6" s="99">
        <v>227430.00151716819</v>
      </c>
      <c r="M6" s="99">
        <v>233980.9473695881</v>
      </c>
      <c r="N6" s="99">
        <v>227817</v>
      </c>
      <c r="O6" s="99">
        <v>230654</v>
      </c>
      <c r="P6" s="99">
        <v>232671</v>
      </c>
      <c r="Q6" s="99">
        <v>242760</v>
      </c>
      <c r="R6" s="99">
        <v>250087.87851045234</v>
      </c>
      <c r="S6" s="1">
        <v>258704</v>
      </c>
      <c r="T6" s="1">
        <v>262066.97207549991</v>
      </c>
      <c r="U6" s="1">
        <v>267543.33263386798</v>
      </c>
      <c r="V6" s="1">
        <v>271461.21226723271</v>
      </c>
      <c r="W6" s="1">
        <v>275176.24553046102</v>
      </c>
      <c r="X6" s="1">
        <v>279581.36686801759</v>
      </c>
      <c r="Y6" s="153">
        <v>283948.77177602582</v>
      </c>
      <c r="Z6" s="61">
        <v>287890.35994628642</v>
      </c>
      <c r="AA6" s="61">
        <v>296364.80183482671</v>
      </c>
      <c r="AB6" s="130">
        <v>297827.46372484748</v>
      </c>
      <c r="AC6" s="130">
        <v>293393.42577519623</v>
      </c>
      <c r="AD6" s="130">
        <v>294060.66383427603</v>
      </c>
      <c r="AE6" s="130">
        <v>288945.80174840608</v>
      </c>
      <c r="AF6" s="130">
        <v>286930.18072477228</v>
      </c>
      <c r="AG6" s="130">
        <v>285504.26702068438</v>
      </c>
      <c r="AH6" s="61">
        <v>281794.19893284788</v>
      </c>
      <c r="AI6" s="61">
        <v>278597.23265815148</v>
      </c>
      <c r="AJ6" s="155">
        <v>275840.2238329539</v>
      </c>
      <c r="AK6" s="61">
        <v>275615.10457874852</v>
      </c>
      <c r="AL6" s="61">
        <v>276820.27551149769</v>
      </c>
      <c r="AM6" s="61">
        <v>277437.93456249143</v>
      </c>
      <c r="AN6" s="1">
        <v>277858.91699838708</v>
      </c>
    </row>
    <row r="7" spans="1:40" x14ac:dyDescent="0.3">
      <c r="A7" s="93" t="s">
        <v>12</v>
      </c>
      <c r="B7" s="97">
        <v>211922.92506207706</v>
      </c>
      <c r="C7" s="97">
        <v>214557.84009216924</v>
      </c>
      <c r="D7" s="97">
        <v>223078.79281268976</v>
      </c>
      <c r="E7" s="97">
        <v>219803.99452767361</v>
      </c>
      <c r="F7" s="97">
        <v>216294.95157286353</v>
      </c>
      <c r="G7" s="97">
        <v>216240.63454763751</v>
      </c>
      <c r="H7" s="97">
        <v>218489.12762679125</v>
      </c>
      <c r="I7" s="98">
        <v>223895.59241500843</v>
      </c>
      <c r="J7" s="99">
        <v>232284.88158100072</v>
      </c>
      <c r="K7" s="98">
        <v>240315.44433147885</v>
      </c>
      <c r="L7" s="99">
        <v>248499.86160222249</v>
      </c>
      <c r="M7" s="99">
        <v>252079.08210971011</v>
      </c>
      <c r="N7" s="99">
        <v>249379</v>
      </c>
      <c r="O7" s="99">
        <v>256057.22500537531</v>
      </c>
      <c r="P7" s="99">
        <v>259971.7770430946</v>
      </c>
      <c r="Q7" s="99">
        <v>264259.30843595619</v>
      </c>
      <c r="R7" s="99">
        <v>263638.9330597294</v>
      </c>
      <c r="S7" s="1">
        <v>270586.86449560802</v>
      </c>
      <c r="T7" s="1">
        <v>273464.63700159639</v>
      </c>
      <c r="U7" s="1">
        <v>278765.98798666633</v>
      </c>
      <c r="V7" s="1">
        <v>285228.90836500551</v>
      </c>
      <c r="W7" s="1">
        <v>289711.73171745968</v>
      </c>
      <c r="X7" s="1">
        <v>292388.12739667401</v>
      </c>
      <c r="Y7" s="153">
        <v>301531.94290582743</v>
      </c>
      <c r="Z7" s="61">
        <v>306505.3299040483</v>
      </c>
      <c r="AA7" s="61">
        <v>317477.79596749821</v>
      </c>
      <c r="AB7" s="130">
        <v>317865.33061718981</v>
      </c>
      <c r="AC7" s="130">
        <v>314491.06933455681</v>
      </c>
      <c r="AD7" s="130">
        <v>306747.44519740611</v>
      </c>
      <c r="AE7" s="130">
        <v>302028.76333584398</v>
      </c>
      <c r="AF7" s="130">
        <v>301502.58819331578</v>
      </c>
      <c r="AG7" s="130">
        <v>299742.17782187578</v>
      </c>
      <c r="AH7" s="61">
        <v>295218.10880760069</v>
      </c>
      <c r="AI7" s="61">
        <v>290013.10981768259</v>
      </c>
      <c r="AJ7" s="155">
        <v>289305.56698198023</v>
      </c>
      <c r="AK7" s="61">
        <v>290651.04610973608</v>
      </c>
      <c r="AL7" s="61">
        <v>289313.35217759508</v>
      </c>
      <c r="AM7" s="61">
        <v>291927.00474655448</v>
      </c>
      <c r="AN7" s="1">
        <v>294542.43336894322</v>
      </c>
    </row>
    <row r="8" spans="1:40" x14ac:dyDescent="0.3">
      <c r="A8" s="93" t="s">
        <v>13</v>
      </c>
      <c r="B8" s="97">
        <v>107661.93485617486</v>
      </c>
      <c r="C8" s="97">
        <v>109808.94645375002</v>
      </c>
      <c r="D8" s="97">
        <v>110007.16171009434</v>
      </c>
      <c r="E8" s="97">
        <v>114759.13339828324</v>
      </c>
      <c r="F8" s="97">
        <v>119193.28772187616</v>
      </c>
      <c r="G8" s="97">
        <v>118866.70313547953</v>
      </c>
      <c r="H8" s="97">
        <v>122283.18840027084</v>
      </c>
      <c r="I8" s="98">
        <v>124611.10201898518</v>
      </c>
      <c r="J8" s="99">
        <v>129934.95857910582</v>
      </c>
      <c r="K8" s="98">
        <v>129043</v>
      </c>
      <c r="L8" s="99">
        <v>129358</v>
      </c>
      <c r="M8" s="99">
        <v>129570.29291170731</v>
      </c>
      <c r="N8" s="99">
        <v>130229</v>
      </c>
      <c r="O8" s="99">
        <v>132518.89463728989</v>
      </c>
      <c r="P8" s="99">
        <v>139459.01967022661</v>
      </c>
      <c r="Q8" s="99">
        <v>142362.58756016791</v>
      </c>
      <c r="R8" s="99">
        <v>143498.26577306702</v>
      </c>
      <c r="S8" s="1">
        <v>147506.88143227229</v>
      </c>
      <c r="T8" s="1">
        <v>151436.4457790372</v>
      </c>
      <c r="U8" s="1">
        <v>155868.4950546629</v>
      </c>
      <c r="V8" s="1">
        <v>157390.60041545649</v>
      </c>
      <c r="W8" s="1">
        <v>159785.937546264</v>
      </c>
      <c r="X8" s="1">
        <v>161645.5357903064</v>
      </c>
      <c r="Y8" s="153">
        <v>170210.68660550661</v>
      </c>
      <c r="Z8" s="61">
        <v>174859.56953524469</v>
      </c>
      <c r="AA8" s="61">
        <v>179453.84332747641</v>
      </c>
      <c r="AB8" s="130">
        <v>179428.2809239756</v>
      </c>
      <c r="AC8" s="130">
        <v>177505.728807262</v>
      </c>
      <c r="AD8" s="130">
        <v>172695.16443705879</v>
      </c>
      <c r="AE8" s="130">
        <v>173119.69770832741</v>
      </c>
      <c r="AF8" s="130">
        <v>173425.58342890229</v>
      </c>
      <c r="AG8" s="130">
        <v>172950.42462868241</v>
      </c>
      <c r="AH8" s="61">
        <v>171117.59397983059</v>
      </c>
      <c r="AI8" s="61">
        <v>169378.69014830299</v>
      </c>
      <c r="AJ8" s="155">
        <v>166884.05761793401</v>
      </c>
      <c r="AK8" s="61">
        <v>166417.40270443531</v>
      </c>
      <c r="AL8" s="61">
        <v>167266.13257967349</v>
      </c>
      <c r="AM8" s="61">
        <v>167153.23560872281</v>
      </c>
      <c r="AN8" s="1">
        <v>169292.30333286771</v>
      </c>
    </row>
    <row r="9" spans="1:40" x14ac:dyDescent="0.3">
      <c r="A9" s="93" t="s">
        <v>14</v>
      </c>
      <c r="B9" s="97">
        <v>435844.15611544129</v>
      </c>
      <c r="C9" s="97">
        <v>454712.7449541252</v>
      </c>
      <c r="D9" s="97">
        <v>506845.22688288271</v>
      </c>
      <c r="E9" s="97">
        <v>476637.9608552499</v>
      </c>
      <c r="F9" s="97">
        <v>473423.35592662328</v>
      </c>
      <c r="G9" s="97">
        <v>470411.8491181531</v>
      </c>
      <c r="H9" s="97">
        <v>473782.59513865499</v>
      </c>
      <c r="I9" s="98">
        <v>480526.8372177697</v>
      </c>
      <c r="J9" s="99">
        <v>485369.39769288228</v>
      </c>
      <c r="K9" s="98">
        <v>492923.83831749501</v>
      </c>
      <c r="L9" s="99">
        <v>492266.94837677892</v>
      </c>
      <c r="M9" s="99">
        <v>496551.37231304799</v>
      </c>
      <c r="N9" s="99">
        <v>485358</v>
      </c>
      <c r="O9" s="99">
        <v>506384.34900950472</v>
      </c>
      <c r="P9" s="99">
        <v>506551.61429924797</v>
      </c>
      <c r="Q9" s="99">
        <v>517047.08268324181</v>
      </c>
      <c r="R9" s="99">
        <v>523622.43571524927</v>
      </c>
      <c r="S9" s="1">
        <v>537692.18327814108</v>
      </c>
      <c r="T9" s="1">
        <v>542877.9800446697</v>
      </c>
      <c r="U9" s="1">
        <v>543264.80966320937</v>
      </c>
      <c r="V9" s="1">
        <v>542715.61971284903</v>
      </c>
      <c r="W9" s="1">
        <v>555672.40852921503</v>
      </c>
      <c r="X9" s="1">
        <v>556712.36456874479</v>
      </c>
      <c r="Y9" s="153">
        <v>566412.42145575269</v>
      </c>
      <c r="Z9" s="61">
        <v>581480.31554015295</v>
      </c>
      <c r="AA9" s="61">
        <v>614649.65555774572</v>
      </c>
      <c r="AB9" s="130">
        <v>611145.75765048899</v>
      </c>
      <c r="AC9" s="130">
        <v>582476.15835085395</v>
      </c>
      <c r="AD9" s="130">
        <v>561015.95666451391</v>
      </c>
      <c r="AE9" s="130">
        <v>560227.79481246381</v>
      </c>
      <c r="AF9" s="130">
        <v>556845.13157476194</v>
      </c>
      <c r="AG9" s="130">
        <v>546331.8309059419</v>
      </c>
      <c r="AH9" s="61">
        <v>540294.95933754591</v>
      </c>
      <c r="AI9" s="61">
        <v>537600.66520599893</v>
      </c>
      <c r="AJ9" s="155">
        <v>536836.10728846374</v>
      </c>
      <c r="AK9" s="61">
        <v>538747.59144121234</v>
      </c>
      <c r="AL9" s="61">
        <v>536305.76087202888</v>
      </c>
      <c r="AM9" s="61">
        <v>536010.63663105911</v>
      </c>
      <c r="AN9" s="1">
        <v>543077.44689871592</v>
      </c>
    </row>
    <row r="10" spans="1:40" x14ac:dyDescent="0.3">
      <c r="A10" s="93" t="s">
        <v>15</v>
      </c>
      <c r="B10" s="97">
        <v>177566.66483721207</v>
      </c>
      <c r="C10" s="97">
        <v>178792.0863051303</v>
      </c>
      <c r="D10" s="97">
        <v>179632.39860105398</v>
      </c>
      <c r="E10" s="97">
        <v>180106.2554264222</v>
      </c>
      <c r="F10" s="97">
        <v>180518.92279830819</v>
      </c>
      <c r="G10" s="97">
        <v>181588.45967409431</v>
      </c>
      <c r="H10" s="97">
        <v>183216.8568633195</v>
      </c>
      <c r="I10" s="98">
        <v>187103.08992856898</v>
      </c>
      <c r="J10" s="99">
        <v>193257.30812112009</v>
      </c>
      <c r="K10" s="98">
        <v>198357.59282107299</v>
      </c>
      <c r="L10" s="99">
        <v>204423.53773625591</v>
      </c>
      <c r="M10" s="99">
        <v>207722.82884056869</v>
      </c>
      <c r="N10" s="99">
        <v>208923</v>
      </c>
      <c r="O10" s="99">
        <v>214923.24614204169</v>
      </c>
      <c r="P10" s="99">
        <v>214656</v>
      </c>
      <c r="Q10" s="99">
        <v>223160.25658915259</v>
      </c>
      <c r="R10" s="99">
        <v>221907.45513157058</v>
      </c>
      <c r="S10" s="1">
        <v>231525.01908459191</v>
      </c>
      <c r="T10" s="1">
        <v>236217.4435711597</v>
      </c>
      <c r="U10" s="1">
        <v>240456.28294197639</v>
      </c>
      <c r="V10" s="1">
        <v>244291.873544584</v>
      </c>
      <c r="W10" s="1">
        <v>248434.6984776</v>
      </c>
      <c r="X10" s="1">
        <v>250776.498061486</v>
      </c>
      <c r="Y10" s="153">
        <v>257687.7018565388</v>
      </c>
      <c r="Z10" s="61">
        <v>262051.61598266201</v>
      </c>
      <c r="AA10" s="61">
        <v>270818.45032309112</v>
      </c>
      <c r="AB10" s="130">
        <v>273327.71999100369</v>
      </c>
      <c r="AC10" s="130">
        <v>270054.66578569799</v>
      </c>
      <c r="AD10" s="130">
        <v>265723.44464542938</v>
      </c>
      <c r="AE10" s="130">
        <v>263884.01689317689</v>
      </c>
      <c r="AF10" s="130">
        <v>263479.18276773021</v>
      </c>
      <c r="AG10" s="130">
        <v>262155.09597327432</v>
      </c>
      <c r="AH10" s="61">
        <v>259166.2479942012</v>
      </c>
      <c r="AI10" s="61">
        <v>255999.51713306949</v>
      </c>
      <c r="AJ10" s="155">
        <v>253290.11788260931</v>
      </c>
      <c r="AK10" s="61">
        <v>252980.29083724669</v>
      </c>
      <c r="AL10" s="61">
        <v>252497.7358589184</v>
      </c>
      <c r="AM10" s="61">
        <v>251723.6431670411</v>
      </c>
      <c r="AN10" s="1">
        <v>253205.29192346189</v>
      </c>
    </row>
    <row r="11" spans="1:40" x14ac:dyDescent="0.3">
      <c r="A11" s="93" t="s">
        <v>16</v>
      </c>
      <c r="B11" s="97">
        <v>219292.47650745051</v>
      </c>
      <c r="C11" s="97">
        <v>220515.75756987921</v>
      </c>
      <c r="D11" s="97">
        <v>225259.64081914292</v>
      </c>
      <c r="E11" s="97">
        <v>224658.71785201639</v>
      </c>
      <c r="F11" s="97">
        <v>223714.34624876463</v>
      </c>
      <c r="G11" s="97">
        <v>224034.02776806464</v>
      </c>
      <c r="H11" s="97">
        <v>225873.2696417782</v>
      </c>
      <c r="I11" s="98">
        <v>231188.57252377388</v>
      </c>
      <c r="J11" s="99">
        <v>238795.99123354859</v>
      </c>
      <c r="K11" s="98">
        <v>242855.65252428901</v>
      </c>
      <c r="L11" s="99">
        <v>251075.408196409</v>
      </c>
      <c r="M11" s="99">
        <v>252676.76757866339</v>
      </c>
      <c r="N11" s="99">
        <v>251521</v>
      </c>
      <c r="O11" s="99">
        <v>257717.3994652222</v>
      </c>
      <c r="P11" s="99">
        <v>263055.17312146898</v>
      </c>
      <c r="Q11" s="99">
        <v>267496.63666675298</v>
      </c>
      <c r="R11" s="99">
        <v>267714.09157880186</v>
      </c>
      <c r="S11" s="1">
        <v>274500.01690092351</v>
      </c>
      <c r="T11" s="1">
        <v>279971.03003293643</v>
      </c>
      <c r="U11" s="1">
        <v>284425.09842203389</v>
      </c>
      <c r="V11" s="1">
        <v>287414.23817491438</v>
      </c>
      <c r="W11" s="1">
        <v>291686.34427841782</v>
      </c>
      <c r="X11" s="1">
        <v>295671.37932612142</v>
      </c>
      <c r="Y11" s="153">
        <v>301752.70797902631</v>
      </c>
      <c r="Z11" s="61">
        <v>307307.36865101598</v>
      </c>
      <c r="AA11" s="61">
        <v>320210.02967514237</v>
      </c>
      <c r="AB11" s="130">
        <v>324283.56090027408</v>
      </c>
      <c r="AC11" s="130">
        <v>318190.26654221967</v>
      </c>
      <c r="AD11" s="130">
        <v>312344.65072477132</v>
      </c>
      <c r="AE11" s="130">
        <v>309244.1348849741</v>
      </c>
      <c r="AF11" s="130">
        <v>308834.37533444568</v>
      </c>
      <c r="AG11" s="130">
        <v>306233.1175945258</v>
      </c>
      <c r="AH11" s="61">
        <v>301531.71527971758</v>
      </c>
      <c r="AI11" s="61">
        <v>299035.41672953381</v>
      </c>
      <c r="AJ11" s="155">
        <v>296629.6945765338</v>
      </c>
      <c r="AK11" s="61">
        <v>295773.71667826647</v>
      </c>
      <c r="AL11" s="61">
        <v>294978.52411132469</v>
      </c>
      <c r="AM11" s="61">
        <v>293915.58188242093</v>
      </c>
      <c r="AN11" s="1">
        <v>295572.76397545612</v>
      </c>
    </row>
    <row r="12" spans="1:40" ht="15" thickBot="1" x14ac:dyDescent="0.35">
      <c r="A12" s="93" t="s">
        <v>17</v>
      </c>
      <c r="B12" s="97">
        <v>194781.37282670615</v>
      </c>
      <c r="C12" s="97">
        <v>196955.88015947907</v>
      </c>
      <c r="D12" s="97">
        <v>198242.42804237796</v>
      </c>
      <c r="E12" s="97">
        <v>198537.20508864647</v>
      </c>
      <c r="F12" s="97">
        <v>197965.84965900352</v>
      </c>
      <c r="G12" s="97">
        <v>198828.68868675246</v>
      </c>
      <c r="H12" s="97">
        <v>201862.54458243187</v>
      </c>
      <c r="I12" s="98">
        <v>206029.49940472984</v>
      </c>
      <c r="J12" s="99">
        <v>213104.89335435766</v>
      </c>
      <c r="K12" s="98">
        <v>220071.7056246</v>
      </c>
      <c r="L12" s="99">
        <v>224172.18010997921</v>
      </c>
      <c r="M12" s="99">
        <v>229702.2527081068</v>
      </c>
      <c r="N12" s="99">
        <v>227762</v>
      </c>
      <c r="O12" s="99">
        <v>235586.81450968509</v>
      </c>
      <c r="P12" s="99">
        <v>240115.281335354</v>
      </c>
      <c r="Q12" s="99">
        <v>243481.25289579309</v>
      </c>
      <c r="R12" s="99">
        <v>238147.17446186498</v>
      </c>
      <c r="S12" s="1">
        <v>251078.98626123049</v>
      </c>
      <c r="T12" s="1">
        <v>255337.31070487079</v>
      </c>
      <c r="U12" s="1">
        <v>257160.38414682401</v>
      </c>
      <c r="V12" s="1">
        <v>260881.01090544171</v>
      </c>
      <c r="W12" s="1">
        <v>265469.06839972612</v>
      </c>
      <c r="X12" s="1">
        <v>271211.70766656921</v>
      </c>
      <c r="Y12" s="156">
        <v>276059.69586917787</v>
      </c>
      <c r="Z12" s="157">
        <v>279253.82993361098</v>
      </c>
      <c r="AA12" s="157">
        <v>289946.48951570521</v>
      </c>
      <c r="AB12" s="131">
        <v>293908.62513073621</v>
      </c>
      <c r="AC12" s="131">
        <v>290264.32717697421</v>
      </c>
      <c r="AD12" s="131">
        <v>285898.24451545969</v>
      </c>
      <c r="AE12" s="131">
        <v>283666.13279055618</v>
      </c>
      <c r="AF12" s="131">
        <v>282502.1327105618</v>
      </c>
      <c r="AG12" s="131">
        <v>283201.69586318691</v>
      </c>
      <c r="AH12" s="157">
        <v>278112.6184314813</v>
      </c>
      <c r="AI12" s="157">
        <v>274615.69143664488</v>
      </c>
      <c r="AJ12" s="158">
        <v>272147.78095598659</v>
      </c>
      <c r="AK12" s="61">
        <v>271771.28308731172</v>
      </c>
      <c r="AL12" s="61">
        <v>271944.71502837329</v>
      </c>
      <c r="AM12" s="61">
        <v>271339.62750437472</v>
      </c>
      <c r="AN12" s="1">
        <v>271537.54008447792</v>
      </c>
    </row>
    <row r="13" spans="1:40" x14ac:dyDescent="0.3">
      <c r="M13" s="99"/>
      <c r="N13" s="99"/>
      <c r="R13" s="112"/>
      <c r="S13" s="79"/>
      <c r="T13" s="1"/>
      <c r="V13" s="34"/>
      <c r="X13" s="128"/>
      <c r="Y13" s="61"/>
      <c r="Z13" s="127"/>
      <c r="AA13" s="1"/>
    </row>
    <row r="15" spans="1:40" x14ac:dyDescent="0.3">
      <c r="B15" t="s">
        <v>157</v>
      </c>
    </row>
    <row r="16" spans="1:40" x14ac:dyDescent="0.3">
      <c r="A16" s="2" t="s">
        <v>7</v>
      </c>
      <c r="B16" s="59">
        <v>5111</v>
      </c>
    </row>
    <row r="17" spans="1:2" x14ac:dyDescent="0.3">
      <c r="A17" s="2" t="s">
        <v>8</v>
      </c>
      <c r="B17" s="59">
        <v>5624</v>
      </c>
    </row>
    <row r="18" spans="1:2" x14ac:dyDescent="0.3">
      <c r="A18" s="2" t="s">
        <v>175</v>
      </c>
      <c r="B18" s="59">
        <v>697</v>
      </c>
    </row>
    <row r="19" spans="1:2" x14ac:dyDescent="0.3">
      <c r="A19" s="2" t="s">
        <v>9</v>
      </c>
      <c r="B19" s="59">
        <v>1776</v>
      </c>
    </row>
    <row r="20" spans="1:2" x14ac:dyDescent="0.3">
      <c r="A20" s="2" t="s">
        <v>10</v>
      </c>
      <c r="B20" s="59">
        <v>5135</v>
      </c>
    </row>
    <row r="21" spans="1:2" x14ac:dyDescent="0.3">
      <c r="A21" s="2" t="s">
        <v>11</v>
      </c>
      <c r="B21" s="59">
        <v>4709</v>
      </c>
    </row>
    <row r="22" spans="1:2" x14ac:dyDescent="0.3">
      <c r="A22" s="2" t="s">
        <v>12</v>
      </c>
      <c r="B22" s="59">
        <v>3148</v>
      </c>
    </row>
    <row r="23" spans="1:2" x14ac:dyDescent="0.3">
      <c r="A23" s="2" t="s">
        <v>13</v>
      </c>
      <c r="B23" s="59">
        <v>632</v>
      </c>
    </row>
    <row r="24" spans="1:2" x14ac:dyDescent="0.3">
      <c r="A24" s="2" t="s">
        <v>14</v>
      </c>
      <c r="B24" s="59">
        <v>6266</v>
      </c>
    </row>
    <row r="25" spans="1:2" x14ac:dyDescent="0.3">
      <c r="A25" s="2" t="s">
        <v>15</v>
      </c>
      <c r="B25" s="59">
        <v>5061</v>
      </c>
    </row>
    <row r="26" spans="1:2" x14ac:dyDescent="0.3">
      <c r="A26" s="2" t="s">
        <v>16</v>
      </c>
      <c r="B26" s="59">
        <v>5388</v>
      </c>
    </row>
    <row r="27" spans="1:2" x14ac:dyDescent="0.3">
      <c r="A27" s="2" t="s">
        <v>17</v>
      </c>
      <c r="B27" s="59">
        <v>5270</v>
      </c>
    </row>
  </sheetData>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16E7-1516-4247-AA3A-07661DB50F86}">
  <sheetPr codeName="Лист17"/>
  <dimension ref="B1:EF52"/>
  <sheetViews>
    <sheetView tabSelected="1" zoomScale="70" zoomScaleNormal="70" workbookViewId="0">
      <pane xSplit="2" ySplit="5" topLeftCell="DC6" activePane="bottomRight" state="frozen"/>
      <selection pane="topRight" activeCell="C1" sqref="C1"/>
      <selection pane="bottomLeft" activeCell="A7" sqref="A7"/>
      <selection pane="bottomRight" activeCell="EG1" sqref="EG1"/>
    </sheetView>
  </sheetViews>
  <sheetFormatPr defaultRowHeight="14.55" customHeight="1" outlineLevelCol="1" x14ac:dyDescent="0.3"/>
  <cols>
    <col min="1" max="1" width="4.77734375" customWidth="1"/>
    <col min="2" max="2" width="20.21875" bestFit="1" customWidth="1"/>
    <col min="3" max="3" width="8.5546875" customWidth="1" outlineLevel="1"/>
    <col min="4" max="4" width="10.6640625" customWidth="1" outlineLevel="1"/>
    <col min="5" max="5" width="11.33203125" customWidth="1" outlineLevel="1"/>
    <col min="6" max="6" width="10.6640625" style="13" customWidth="1" outlineLevel="1"/>
    <col min="7" max="7" width="8.5546875" customWidth="1" outlineLevel="1"/>
    <col min="8" max="8" width="10.6640625" style="13" customWidth="1" outlineLevel="1"/>
    <col min="9" max="9" width="8.5546875" customWidth="1" outlineLevel="1"/>
    <col min="10" max="10" width="10.6640625" style="13" customWidth="1" outlineLevel="1"/>
    <col min="11" max="11" width="8.5546875" customWidth="1" outlineLevel="1"/>
    <col min="12" max="12" width="10.6640625" style="13" customWidth="1" outlineLevel="1"/>
    <col min="13" max="13" width="8.5546875" customWidth="1" outlineLevel="1"/>
    <col min="14" max="14" width="10.6640625" style="13" customWidth="1" outlineLevel="1"/>
    <col min="15" max="15" width="8.5546875" customWidth="1" outlineLevel="1"/>
    <col min="16" max="16" width="10.6640625" style="13" customWidth="1" outlineLevel="1"/>
    <col min="17" max="17" width="8.5546875" customWidth="1" outlineLevel="1"/>
    <col min="18" max="18" width="10.6640625" style="13" customWidth="1" outlineLevel="1"/>
    <col min="19" max="19" width="8.5546875" customWidth="1" outlineLevel="1"/>
    <col min="20" max="20" width="10.6640625" style="13" customWidth="1" outlineLevel="1"/>
    <col min="21" max="21" width="8.5546875" customWidth="1" outlineLevel="1"/>
    <col min="22" max="22" width="10.6640625" style="13" customWidth="1" outlineLevel="1"/>
    <col min="23" max="23" width="8.5546875" customWidth="1" outlineLevel="1"/>
    <col min="24" max="24" width="10.6640625" style="13" customWidth="1" outlineLevel="1"/>
    <col min="25" max="25" width="8.5546875" customWidth="1" outlineLevel="1" collapsed="1"/>
    <col min="26" max="26" width="10.6640625" style="13" customWidth="1" outlineLevel="1"/>
    <col min="27" max="27" width="8.5546875" customWidth="1" outlineLevel="1"/>
    <col min="28" max="28" width="10.6640625" style="13" customWidth="1" outlineLevel="1"/>
    <col min="29" max="29" width="8.5546875" customWidth="1" outlineLevel="1"/>
    <col min="30" max="30" width="10.6640625" style="13" customWidth="1" outlineLevel="1"/>
    <col min="31" max="31" width="8.5546875" customWidth="1" outlineLevel="1"/>
    <col min="32" max="32" width="10.6640625" style="13" customWidth="1" outlineLevel="1"/>
    <col min="33" max="33" width="8.5546875" customWidth="1" outlineLevel="1"/>
    <col min="34" max="34" width="10.6640625" style="13" customWidth="1" outlineLevel="1"/>
    <col min="35" max="35" width="8.5546875" customWidth="1" outlineLevel="1"/>
    <col min="36" max="36" width="10.6640625" style="13" customWidth="1" outlineLevel="1"/>
    <col min="37" max="37" width="8.5546875" customWidth="1" outlineLevel="1"/>
    <col min="38" max="38" width="10.6640625" style="13" customWidth="1" outlineLevel="1"/>
    <col min="39" max="39" width="8.5546875" customWidth="1" outlineLevel="1"/>
    <col min="40" max="40" width="10.6640625" style="13" customWidth="1" outlineLevel="1"/>
    <col min="41" max="41" width="8.5546875" customWidth="1" outlineLevel="1"/>
    <col min="42" max="42" width="10.6640625" style="13" customWidth="1" outlineLevel="1"/>
    <col min="43" max="43" width="8.5546875" customWidth="1" outlineLevel="1"/>
    <col min="44" max="44" width="10.6640625" style="13" customWidth="1" outlineLevel="1"/>
    <col min="45" max="45" width="8.5546875" customWidth="1" outlineLevel="1"/>
    <col min="46" max="46" width="10.6640625" style="13" customWidth="1" outlineLevel="1"/>
    <col min="47" max="47" width="8.5546875" customWidth="1" outlineLevel="1"/>
    <col min="48" max="48" width="10.6640625" style="13" customWidth="1" outlineLevel="1"/>
    <col min="49" max="49" width="8.5546875" customWidth="1" outlineLevel="1" collapsed="1"/>
    <col min="50" max="50" width="10.6640625" customWidth="1" outlineLevel="1"/>
    <col min="51" max="51" width="8.5546875" customWidth="1" outlineLevel="1"/>
    <col min="52" max="52" width="10.6640625" customWidth="1" outlineLevel="1"/>
    <col min="53" max="53" width="8.5546875" customWidth="1" outlineLevel="1"/>
    <col min="54" max="54" width="10.6640625" customWidth="1" outlineLevel="1"/>
    <col min="55" max="55" width="8.5546875" customWidth="1" outlineLevel="1"/>
    <col min="56" max="56" width="10.6640625" customWidth="1" outlineLevel="1"/>
    <col min="57" max="57" width="8.5546875" customWidth="1" outlineLevel="1"/>
    <col min="58" max="58" width="10.6640625" customWidth="1" outlineLevel="1"/>
    <col min="59" max="59" width="8.5546875" customWidth="1" outlineLevel="1"/>
    <col min="60" max="60" width="10.6640625" customWidth="1" outlineLevel="1"/>
    <col min="61" max="61" width="8.5546875" customWidth="1" outlineLevel="1"/>
    <col min="62" max="62" width="10.6640625" customWidth="1" outlineLevel="1"/>
    <col min="63" max="63" width="8.5546875" customWidth="1" outlineLevel="1"/>
    <col min="64" max="64" width="10.6640625" customWidth="1" outlineLevel="1"/>
    <col min="65" max="65" width="8.5546875" customWidth="1" outlineLevel="1"/>
    <col min="66" max="66" width="10.6640625" customWidth="1" outlineLevel="1"/>
    <col min="67" max="67" width="8.5546875" customWidth="1" outlineLevel="1"/>
    <col min="68" max="68" width="10.6640625" customWidth="1" outlineLevel="1"/>
    <col min="69" max="69" width="8.5546875" customWidth="1" outlineLevel="1"/>
    <col min="70" max="70" width="10.6640625" customWidth="1" outlineLevel="1"/>
    <col min="71" max="71" width="8.5546875" customWidth="1" outlineLevel="1"/>
    <col min="72" max="72" width="10.6640625" customWidth="1" outlineLevel="1"/>
    <col min="73" max="73" width="8.5546875" bestFit="1" customWidth="1"/>
    <col min="74" max="74" width="10.6640625" bestFit="1" customWidth="1"/>
    <col min="75" max="75" width="8.5546875" bestFit="1" customWidth="1"/>
    <col min="76" max="76" width="10.6640625" bestFit="1" customWidth="1"/>
    <col min="77" max="77" width="8.5546875" bestFit="1" customWidth="1"/>
    <col min="78" max="78" width="10.6640625" bestFit="1" customWidth="1"/>
    <col min="79" max="79" width="8.5546875" bestFit="1" customWidth="1"/>
    <col min="80" max="80" width="10.6640625" bestFit="1" customWidth="1"/>
    <col min="81" max="81" width="8.21875" customWidth="1"/>
    <col min="82" max="82" width="11.88671875" customWidth="1"/>
    <col min="83" max="83" width="8.6640625" customWidth="1"/>
    <col min="84" max="84" width="10.21875" bestFit="1" customWidth="1"/>
    <col min="85" max="85" width="8" customWidth="1"/>
    <col min="86" max="86" width="10.21875" bestFit="1" customWidth="1"/>
    <col min="87" max="87" width="9.21875" customWidth="1"/>
    <col min="88" max="88" width="10.21875" bestFit="1" customWidth="1"/>
    <col min="89" max="89" width="7.77734375" bestFit="1" customWidth="1"/>
    <col min="90" max="116" width="8.77734375" customWidth="1"/>
    <col min="117" max="117" width="11.109375" customWidth="1"/>
    <col min="118" max="188" width="8.77734375" customWidth="1"/>
  </cols>
  <sheetData>
    <row r="1" spans="2:136" ht="14.4" x14ac:dyDescent="0.3">
      <c r="B1" s="177" t="s">
        <v>225</v>
      </c>
      <c r="CC1" s="13"/>
    </row>
    <row r="2" spans="2:136" ht="14.4" x14ac:dyDescent="0.3">
      <c r="C2" s="172" t="s">
        <v>206</v>
      </c>
      <c r="D2" s="172" t="s">
        <v>188</v>
      </c>
      <c r="E2" s="172" t="s">
        <v>205</v>
      </c>
      <c r="F2"/>
      <c r="H2"/>
      <c r="J2"/>
      <c r="L2"/>
      <c r="N2"/>
      <c r="P2"/>
      <c r="R2"/>
      <c r="T2"/>
      <c r="V2"/>
      <c r="X2"/>
      <c r="Z2"/>
      <c r="AB2"/>
      <c r="AD2"/>
      <c r="AF2"/>
      <c r="AH2"/>
      <c r="AJ2"/>
      <c r="AL2"/>
      <c r="AN2"/>
      <c r="AP2"/>
      <c r="AR2"/>
      <c r="AT2"/>
      <c r="AV2"/>
    </row>
    <row r="3" spans="2:136" ht="14.4" x14ac:dyDescent="0.3">
      <c r="C3" t="s">
        <v>232</v>
      </c>
      <c r="F3"/>
      <c r="H3"/>
      <c r="J3"/>
      <c r="L3"/>
      <c r="N3"/>
      <c r="P3"/>
      <c r="R3"/>
      <c r="T3"/>
      <c r="V3"/>
      <c r="X3"/>
      <c r="Y3" t="s">
        <v>233</v>
      </c>
      <c r="Z3"/>
      <c r="AB3"/>
      <c r="AD3"/>
      <c r="AF3"/>
      <c r="AH3"/>
      <c r="AJ3"/>
      <c r="AL3"/>
      <c r="AN3"/>
      <c r="AP3"/>
      <c r="AR3"/>
      <c r="AT3"/>
      <c r="AV3"/>
      <c r="AW3" t="s">
        <v>191</v>
      </c>
      <c r="BU3" t="s">
        <v>192</v>
      </c>
      <c r="CS3" t="s">
        <v>242</v>
      </c>
      <c r="DQ3" t="s">
        <v>247</v>
      </c>
    </row>
    <row r="4" spans="2:136" ht="14.4" x14ac:dyDescent="0.3">
      <c r="C4" s="164" t="s">
        <v>194</v>
      </c>
      <c r="E4" s="164" t="s">
        <v>195</v>
      </c>
      <c r="F4"/>
      <c r="G4" s="164" t="s">
        <v>196</v>
      </c>
      <c r="H4"/>
      <c r="I4" s="164" t="s">
        <v>3</v>
      </c>
      <c r="J4"/>
      <c r="K4" s="164" t="s">
        <v>197</v>
      </c>
      <c r="L4"/>
      <c r="M4" s="164" t="s">
        <v>198</v>
      </c>
      <c r="N4"/>
      <c r="O4" s="164" t="s">
        <v>199</v>
      </c>
      <c r="P4"/>
      <c r="Q4" s="164" t="s">
        <v>200</v>
      </c>
      <c r="R4"/>
      <c r="S4" s="164" t="s">
        <v>201</v>
      </c>
      <c r="T4"/>
      <c r="U4" s="164" t="s">
        <v>202</v>
      </c>
      <c r="V4"/>
      <c r="W4" s="164" t="s">
        <v>203</v>
      </c>
      <c r="X4"/>
      <c r="Y4" s="164" t="s">
        <v>193</v>
      </c>
      <c r="Z4"/>
      <c r="AA4" s="164" t="s">
        <v>194</v>
      </c>
      <c r="AB4"/>
      <c r="AC4" s="164" t="s">
        <v>195</v>
      </c>
      <c r="AD4"/>
      <c r="AE4" s="164" t="s">
        <v>196</v>
      </c>
      <c r="AF4"/>
      <c r="AG4" s="164" t="s">
        <v>3</v>
      </c>
      <c r="AH4"/>
      <c r="AI4" s="164" t="s">
        <v>197</v>
      </c>
      <c r="AJ4"/>
      <c r="AK4" s="164" t="s">
        <v>198</v>
      </c>
      <c r="AL4"/>
      <c r="AM4" s="164" t="s">
        <v>199</v>
      </c>
      <c r="AN4"/>
      <c r="AO4" s="164" t="s">
        <v>200</v>
      </c>
      <c r="AP4"/>
      <c r="AQ4" s="164" t="s">
        <v>201</v>
      </c>
      <c r="AR4"/>
      <c r="AS4" s="164" t="s">
        <v>202</v>
      </c>
      <c r="AT4"/>
      <c r="AU4" s="164" t="s">
        <v>203</v>
      </c>
      <c r="AV4"/>
      <c r="AW4" s="164" t="s">
        <v>193</v>
      </c>
      <c r="AY4" s="164" t="s">
        <v>194</v>
      </c>
      <c r="BA4" s="164" t="s">
        <v>195</v>
      </c>
      <c r="BC4" s="164" t="s">
        <v>196</v>
      </c>
      <c r="BE4" s="164" t="s">
        <v>3</v>
      </c>
      <c r="BG4" s="164" t="s">
        <v>197</v>
      </c>
      <c r="BI4" s="164" t="s">
        <v>198</v>
      </c>
      <c r="BK4" s="164" t="s">
        <v>199</v>
      </c>
      <c r="BM4" s="164" t="s">
        <v>200</v>
      </c>
      <c r="BO4" s="164" t="s">
        <v>201</v>
      </c>
      <c r="BQ4" s="164" t="s">
        <v>202</v>
      </c>
      <c r="BS4" s="164" t="s">
        <v>203</v>
      </c>
      <c r="BU4" s="164" t="s">
        <v>193</v>
      </c>
      <c r="BW4" s="164" t="s">
        <v>194</v>
      </c>
      <c r="BY4" s="164" t="s">
        <v>195</v>
      </c>
      <c r="CA4" s="164" t="s">
        <v>196</v>
      </c>
      <c r="CC4" s="164" t="s">
        <v>3</v>
      </c>
      <c r="CE4" s="164" t="s">
        <v>197</v>
      </c>
      <c r="CG4" s="164" t="s">
        <v>198</v>
      </c>
      <c r="CI4" s="164" t="s">
        <v>199</v>
      </c>
      <c r="CK4" s="164" t="s">
        <v>200</v>
      </c>
      <c r="CM4" s="164" t="s">
        <v>201</v>
      </c>
      <c r="CO4" s="164" t="s">
        <v>202</v>
      </c>
      <c r="CQ4" s="164" t="s">
        <v>203</v>
      </c>
      <c r="CS4" s="164" t="s">
        <v>193</v>
      </c>
      <c r="CU4" s="164" t="s">
        <v>194</v>
      </c>
      <c r="CW4" s="164" t="s">
        <v>195</v>
      </c>
      <c r="CY4" s="164" t="s">
        <v>196</v>
      </c>
      <c r="DA4" s="164" t="s">
        <v>3</v>
      </c>
      <c r="DC4" s="164" t="s">
        <v>197</v>
      </c>
      <c r="DE4" s="164" t="s">
        <v>198</v>
      </c>
      <c r="DG4" s="164" t="s">
        <v>199</v>
      </c>
      <c r="DI4" s="164" t="s">
        <v>200</v>
      </c>
      <c r="DK4" s="164" t="s">
        <v>201</v>
      </c>
      <c r="DM4" s="164" t="s">
        <v>202</v>
      </c>
      <c r="DO4" s="164" t="s">
        <v>203</v>
      </c>
      <c r="DQ4" s="164" t="s">
        <v>193</v>
      </c>
      <c r="DS4" s="164" t="s">
        <v>194</v>
      </c>
      <c r="DU4" s="164" t="s">
        <v>195</v>
      </c>
      <c r="DW4" s="164" t="s">
        <v>196</v>
      </c>
      <c r="DY4" s="164" t="s">
        <v>3</v>
      </c>
      <c r="EA4" s="164" t="s">
        <v>197</v>
      </c>
      <c r="EC4" s="164" t="s">
        <v>198</v>
      </c>
      <c r="EE4" s="164" t="s">
        <v>199</v>
      </c>
    </row>
    <row r="5" spans="2:136" ht="16.05" customHeight="1" x14ac:dyDescent="0.3">
      <c r="B5" s="172" t="s">
        <v>186</v>
      </c>
      <c r="C5" t="s">
        <v>209</v>
      </c>
      <c r="D5" t="s">
        <v>236</v>
      </c>
      <c r="E5" t="s">
        <v>209</v>
      </c>
      <c r="F5" t="s">
        <v>236</v>
      </c>
      <c r="G5" t="s">
        <v>209</v>
      </c>
      <c r="H5" t="s">
        <v>236</v>
      </c>
      <c r="I5" t="s">
        <v>209</v>
      </c>
      <c r="J5" t="s">
        <v>236</v>
      </c>
      <c r="K5" t="s">
        <v>209</v>
      </c>
      <c r="L5" t="s">
        <v>236</v>
      </c>
      <c r="M5" t="s">
        <v>209</v>
      </c>
      <c r="N5" t="s">
        <v>236</v>
      </c>
      <c r="O5" t="s">
        <v>209</v>
      </c>
      <c r="P5" t="s">
        <v>236</v>
      </c>
      <c r="Q5" t="s">
        <v>209</v>
      </c>
      <c r="R5" t="s">
        <v>236</v>
      </c>
      <c r="S5" t="s">
        <v>209</v>
      </c>
      <c r="T5" t="s">
        <v>236</v>
      </c>
      <c r="U5" t="s">
        <v>209</v>
      </c>
      <c r="V5" t="s">
        <v>236</v>
      </c>
      <c r="W5" t="s">
        <v>209</v>
      </c>
      <c r="X5" t="s">
        <v>236</v>
      </c>
      <c r="Y5" t="s">
        <v>209</v>
      </c>
      <c r="Z5" t="s">
        <v>236</v>
      </c>
      <c r="AA5" t="s">
        <v>209</v>
      </c>
      <c r="AB5" t="s">
        <v>236</v>
      </c>
      <c r="AC5" t="s">
        <v>209</v>
      </c>
      <c r="AD5" t="s">
        <v>236</v>
      </c>
      <c r="AE5" t="s">
        <v>209</v>
      </c>
      <c r="AF5" t="s">
        <v>236</v>
      </c>
      <c r="AG5" t="s">
        <v>209</v>
      </c>
      <c r="AH5" t="s">
        <v>236</v>
      </c>
      <c r="AI5" t="s">
        <v>209</v>
      </c>
      <c r="AJ5" t="s">
        <v>236</v>
      </c>
      <c r="AK5" t="s">
        <v>209</v>
      </c>
      <c r="AL5" t="s">
        <v>236</v>
      </c>
      <c r="AM5" t="s">
        <v>209</v>
      </c>
      <c r="AN5" t="s">
        <v>236</v>
      </c>
      <c r="AO5" t="s">
        <v>209</v>
      </c>
      <c r="AP5" t="s">
        <v>236</v>
      </c>
      <c r="AQ5" t="s">
        <v>209</v>
      </c>
      <c r="AR5" t="s">
        <v>236</v>
      </c>
      <c r="AS5" t="s">
        <v>209</v>
      </c>
      <c r="AT5" t="s">
        <v>236</v>
      </c>
      <c r="AU5" t="s">
        <v>209</v>
      </c>
      <c r="AV5" t="s">
        <v>236</v>
      </c>
      <c r="AW5" t="s">
        <v>209</v>
      </c>
      <c r="AX5" s="236" t="s">
        <v>236</v>
      </c>
      <c r="AY5" s="236" t="s">
        <v>209</v>
      </c>
      <c r="AZ5" s="236" t="s">
        <v>236</v>
      </c>
      <c r="BA5" s="236" t="s">
        <v>209</v>
      </c>
      <c r="BB5" s="236" t="s">
        <v>236</v>
      </c>
      <c r="BC5" s="236" t="s">
        <v>209</v>
      </c>
      <c r="BD5" s="236" t="s">
        <v>236</v>
      </c>
      <c r="BE5" s="236" t="s">
        <v>209</v>
      </c>
      <c r="BF5" s="236" t="s">
        <v>236</v>
      </c>
      <c r="BG5" s="236" t="s">
        <v>209</v>
      </c>
      <c r="BH5" s="236" t="s">
        <v>236</v>
      </c>
      <c r="BI5" s="236" t="s">
        <v>209</v>
      </c>
      <c r="BJ5" s="236" t="s">
        <v>236</v>
      </c>
      <c r="BK5" s="236" t="s">
        <v>209</v>
      </c>
      <c r="BL5" s="236" t="s">
        <v>236</v>
      </c>
      <c r="BM5" s="236" t="s">
        <v>209</v>
      </c>
      <c r="BN5" s="236" t="s">
        <v>236</v>
      </c>
      <c r="BO5" s="236" t="s">
        <v>209</v>
      </c>
      <c r="BP5" s="236" t="s">
        <v>236</v>
      </c>
      <c r="BQ5" s="236" t="s">
        <v>209</v>
      </c>
      <c r="BR5" s="236" t="s">
        <v>236</v>
      </c>
      <c r="BS5" s="236" t="s">
        <v>209</v>
      </c>
      <c r="BT5" s="236" t="s">
        <v>236</v>
      </c>
      <c r="BU5" s="236" t="s">
        <v>209</v>
      </c>
      <c r="BV5" s="236" t="s">
        <v>236</v>
      </c>
      <c r="BW5" s="236" t="s">
        <v>209</v>
      </c>
      <c r="BX5" s="236" t="s">
        <v>236</v>
      </c>
      <c r="BY5" s="236" t="s">
        <v>209</v>
      </c>
      <c r="BZ5" s="236" t="s">
        <v>236</v>
      </c>
      <c r="CA5" s="236" t="s">
        <v>209</v>
      </c>
      <c r="CB5" s="236" t="s">
        <v>236</v>
      </c>
      <c r="CC5" t="s">
        <v>209</v>
      </c>
      <c r="CD5" t="s">
        <v>236</v>
      </c>
      <c r="CE5" t="s">
        <v>209</v>
      </c>
      <c r="CF5" t="s">
        <v>236</v>
      </c>
      <c r="CG5" t="s">
        <v>209</v>
      </c>
      <c r="CH5" t="s">
        <v>236</v>
      </c>
      <c r="CI5" t="s">
        <v>209</v>
      </c>
      <c r="CJ5" t="s">
        <v>236</v>
      </c>
      <c r="CK5" t="s">
        <v>209</v>
      </c>
      <c r="CL5" t="s">
        <v>236</v>
      </c>
      <c r="CM5" t="s">
        <v>209</v>
      </c>
      <c r="CN5" t="s">
        <v>236</v>
      </c>
      <c r="CO5" t="s">
        <v>209</v>
      </c>
      <c r="CP5" t="s">
        <v>236</v>
      </c>
      <c r="CQ5" t="s">
        <v>209</v>
      </c>
      <c r="CR5" s="237" t="s">
        <v>236</v>
      </c>
      <c r="CS5" t="s">
        <v>209</v>
      </c>
      <c r="CT5" t="s">
        <v>236</v>
      </c>
      <c r="CU5" t="s">
        <v>209</v>
      </c>
      <c r="CV5" t="s">
        <v>236</v>
      </c>
      <c r="CW5" t="s">
        <v>209</v>
      </c>
      <c r="CX5" t="s">
        <v>236</v>
      </c>
      <c r="CY5" t="s">
        <v>209</v>
      </c>
      <c r="CZ5" t="s">
        <v>236</v>
      </c>
      <c r="DA5" t="s">
        <v>209</v>
      </c>
      <c r="DB5" t="s">
        <v>236</v>
      </c>
      <c r="DC5" t="s">
        <v>209</v>
      </c>
      <c r="DD5" t="s">
        <v>236</v>
      </c>
      <c r="DE5" t="s">
        <v>209</v>
      </c>
      <c r="DF5" t="s">
        <v>236</v>
      </c>
      <c r="DG5" t="s">
        <v>209</v>
      </c>
      <c r="DH5" t="s">
        <v>236</v>
      </c>
      <c r="DI5" t="s">
        <v>209</v>
      </c>
      <c r="DJ5" t="s">
        <v>236</v>
      </c>
      <c r="DK5" t="s">
        <v>209</v>
      </c>
      <c r="DL5" t="s">
        <v>236</v>
      </c>
      <c r="DM5" t="s">
        <v>209</v>
      </c>
      <c r="DN5" t="s">
        <v>236</v>
      </c>
      <c r="DO5" t="s">
        <v>209</v>
      </c>
      <c r="DP5" t="s">
        <v>236</v>
      </c>
      <c r="DQ5" t="s">
        <v>209</v>
      </c>
      <c r="DR5" t="s">
        <v>236</v>
      </c>
      <c r="DS5" t="s">
        <v>209</v>
      </c>
      <c r="DT5" t="s">
        <v>236</v>
      </c>
      <c r="DU5" t="s">
        <v>209</v>
      </c>
      <c r="DV5" t="s">
        <v>236</v>
      </c>
      <c r="DW5" t="s">
        <v>209</v>
      </c>
      <c r="DX5" t="s">
        <v>236</v>
      </c>
      <c r="DY5" t="s">
        <v>209</v>
      </c>
      <c r="DZ5" t="s">
        <v>236</v>
      </c>
      <c r="EA5" t="s">
        <v>209</v>
      </c>
      <c r="EB5" t="s">
        <v>236</v>
      </c>
      <c r="EC5" t="s">
        <v>209</v>
      </c>
      <c r="ED5" t="s">
        <v>236</v>
      </c>
      <c r="EE5" t="s">
        <v>209</v>
      </c>
      <c r="EF5" t="s">
        <v>236</v>
      </c>
    </row>
    <row r="6" spans="2:136" ht="14.4" x14ac:dyDescent="0.3">
      <c r="B6" t="s">
        <v>23</v>
      </c>
      <c r="C6" s="183">
        <v>4978</v>
      </c>
      <c r="D6" s="36">
        <v>0</v>
      </c>
      <c r="E6" s="183">
        <v>4751</v>
      </c>
      <c r="F6" s="36">
        <v>-4.5600642828445115E-2</v>
      </c>
      <c r="G6" s="183">
        <v>3184</v>
      </c>
      <c r="H6" s="36">
        <v>-0.32982529993685539</v>
      </c>
      <c r="I6" s="183">
        <v>3693</v>
      </c>
      <c r="J6" s="36">
        <v>0.15986180904522618</v>
      </c>
      <c r="K6" s="183">
        <v>4359</v>
      </c>
      <c r="L6" s="36">
        <v>0.18034118602761984</v>
      </c>
      <c r="M6" s="183">
        <v>4398</v>
      </c>
      <c r="N6" s="36">
        <v>8.9470061940812862E-3</v>
      </c>
      <c r="O6" s="183">
        <v>4406</v>
      </c>
      <c r="P6" s="36">
        <v>1.8190086402909422E-3</v>
      </c>
      <c r="Q6" s="183">
        <v>4412</v>
      </c>
      <c r="R6" s="36">
        <v>1.3617793917386489E-3</v>
      </c>
      <c r="S6" s="183">
        <v>4141</v>
      </c>
      <c r="T6" s="36">
        <v>-6.1423390752493146E-2</v>
      </c>
      <c r="U6" s="183">
        <v>3694</v>
      </c>
      <c r="V6" s="36">
        <v>-0.10794494083554695</v>
      </c>
      <c r="W6" s="183">
        <v>3285</v>
      </c>
      <c r="X6" s="36">
        <v>-0.11072008662696264</v>
      </c>
      <c r="Y6" s="183">
        <v>3195</v>
      </c>
      <c r="Z6" s="36">
        <v>-2.7397260273972601E-2</v>
      </c>
      <c r="AA6" s="183">
        <v>3591</v>
      </c>
      <c r="AB6" s="36">
        <v>0.12394366197183104</v>
      </c>
      <c r="AC6" s="183">
        <v>3899.49</v>
      </c>
      <c r="AD6" s="36">
        <v>8.5906432748537931E-2</v>
      </c>
      <c r="AE6" s="183">
        <v>3817</v>
      </c>
      <c r="AF6" s="36">
        <v>-2.1154048349912413E-2</v>
      </c>
      <c r="AG6" s="183">
        <v>3810</v>
      </c>
      <c r="AH6" s="36">
        <v>-1.8339009693476571E-3</v>
      </c>
      <c r="AI6" s="183">
        <v>4015</v>
      </c>
      <c r="AJ6" s="36">
        <v>5.3805774278215202E-2</v>
      </c>
      <c r="AK6" s="183">
        <v>3909</v>
      </c>
      <c r="AL6" s="36">
        <v>-2.6400996264009935E-2</v>
      </c>
      <c r="AM6" s="183">
        <v>3911</v>
      </c>
      <c r="AN6" s="36">
        <v>5.1163980557689115E-4</v>
      </c>
      <c r="AO6" s="183">
        <v>4049</v>
      </c>
      <c r="AP6" s="36">
        <v>3.5285093326514971E-2</v>
      </c>
      <c r="AQ6" s="183">
        <v>4337</v>
      </c>
      <c r="AR6" s="36">
        <v>7.1128673746604143E-2</v>
      </c>
      <c r="AS6" s="183">
        <v>4287</v>
      </c>
      <c r="AT6" s="36">
        <v>-1.1528706479133066E-2</v>
      </c>
      <c r="AU6" s="183">
        <v>4143</v>
      </c>
      <c r="AV6" s="36">
        <v>-3.3589923023093049E-2</v>
      </c>
      <c r="AW6" s="183">
        <v>3736</v>
      </c>
      <c r="AX6" s="36">
        <v>-9.8237991793386437E-2</v>
      </c>
      <c r="AY6" s="183">
        <v>4066</v>
      </c>
      <c r="AZ6" s="36">
        <v>8.8329764453961346E-2</v>
      </c>
      <c r="BA6" s="183">
        <v>3814</v>
      </c>
      <c r="BB6" s="36">
        <v>-6.1977373339891839E-2</v>
      </c>
      <c r="BC6" s="183">
        <v>3544</v>
      </c>
      <c r="BD6" s="36">
        <v>-7.0791819611955908E-2</v>
      </c>
      <c r="BE6" s="183">
        <v>3839</v>
      </c>
      <c r="BF6" s="178">
        <v>8.3239277652370269E-2</v>
      </c>
      <c r="BG6" s="183">
        <v>4363</v>
      </c>
      <c r="BH6" s="178">
        <v>0.13649387861422246</v>
      </c>
      <c r="BI6" s="183">
        <v>4660</v>
      </c>
      <c r="BJ6" s="178">
        <v>6.8072427228971E-2</v>
      </c>
      <c r="BK6" s="183">
        <v>4854</v>
      </c>
      <c r="BL6" s="178">
        <v>4.1630901287553757E-2</v>
      </c>
      <c r="BM6" s="183">
        <v>5392</v>
      </c>
      <c r="BN6" s="178">
        <v>0.11083642356819112</v>
      </c>
      <c r="BO6" s="183">
        <v>5520</v>
      </c>
      <c r="BP6" s="178">
        <v>2.3738872403560762E-2</v>
      </c>
      <c r="BQ6" s="183">
        <v>5411</v>
      </c>
      <c r="BR6" s="178">
        <v>-1.9746376811594191E-2</v>
      </c>
      <c r="BS6" s="183">
        <v>5176</v>
      </c>
      <c r="BT6" s="178">
        <v>-4.3430049898355194E-2</v>
      </c>
      <c r="BU6" s="183">
        <v>4868</v>
      </c>
      <c r="BV6" s="178">
        <v>-5.950540958268935E-2</v>
      </c>
      <c r="BW6" s="183">
        <v>5206</v>
      </c>
      <c r="BX6" s="178">
        <v>6.9433032046014809E-2</v>
      </c>
      <c r="BY6" s="183">
        <v>5434</v>
      </c>
      <c r="BZ6" s="178">
        <v>4.3795620437956151E-2</v>
      </c>
      <c r="CA6" s="183">
        <v>5111</v>
      </c>
      <c r="CB6" s="178">
        <v>-5.9440559440559482E-2</v>
      </c>
      <c r="CC6" s="183">
        <v>4977</v>
      </c>
      <c r="CD6" s="186">
        <v>-2.62179612600274E-2</v>
      </c>
      <c r="CE6" s="183">
        <v>4803</v>
      </c>
      <c r="CF6" s="186">
        <v>-3.4960819770946339E-2</v>
      </c>
      <c r="CG6" s="183">
        <v>4490</v>
      </c>
      <c r="CH6" s="186">
        <v>-6.516760358109519E-2</v>
      </c>
      <c r="CI6" s="183">
        <v>4217</v>
      </c>
      <c r="CJ6" s="186">
        <v>-6.080178173719375E-2</v>
      </c>
      <c r="CK6" s="183">
        <v>4035</v>
      </c>
      <c r="CL6" s="186">
        <v>-4.3158643585487266E-2</v>
      </c>
      <c r="CM6" s="183">
        <v>3969</v>
      </c>
      <c r="CN6" s="186">
        <v>-1.635687732342006E-2</v>
      </c>
      <c r="CO6" s="183">
        <v>3959</v>
      </c>
      <c r="CP6" s="186">
        <v>-2.5195263290501702E-3</v>
      </c>
      <c r="CQ6" s="183">
        <v>3579</v>
      </c>
      <c r="CR6" s="186">
        <v>-9.5983834301591298E-2</v>
      </c>
      <c r="CS6" s="183">
        <v>3611</v>
      </c>
      <c r="CT6" s="36">
        <v>8.9410449846325513E-3</v>
      </c>
      <c r="CU6" s="183">
        <v>4098</v>
      </c>
      <c r="CV6" s="36">
        <v>0.13486568817502076</v>
      </c>
      <c r="CW6" s="183">
        <v>4345</v>
      </c>
      <c r="CX6" s="36">
        <v>6.0273304050756371E-2</v>
      </c>
      <c r="CY6" s="183">
        <v>4504</v>
      </c>
      <c r="CZ6" s="36">
        <v>3.6593785960874481E-2</v>
      </c>
      <c r="DA6" s="183">
        <v>4588</v>
      </c>
      <c r="DB6" s="36">
        <v>1.8650088809946785E-2</v>
      </c>
      <c r="DC6" s="183">
        <v>4665</v>
      </c>
      <c r="DD6" s="36">
        <v>1.6782911944202228E-2</v>
      </c>
      <c r="DE6" s="183">
        <v>4661</v>
      </c>
      <c r="DF6" s="36">
        <v>-8.5744908896034921E-4</v>
      </c>
      <c r="DG6" s="183">
        <v>4820</v>
      </c>
      <c r="DH6" s="36">
        <v>3.4112851319459292E-2</v>
      </c>
      <c r="DI6" s="183">
        <v>4873</v>
      </c>
      <c r="DJ6" s="194">
        <v>1.09958506224066E-2</v>
      </c>
      <c r="DK6" s="183">
        <v>4960.5200000000004</v>
      </c>
      <c r="DL6" s="194">
        <v>1.7960188795403287E-2</v>
      </c>
      <c r="DM6" s="183">
        <v>4960</v>
      </c>
      <c r="DN6" s="194">
        <v>-1.0482771967468274E-4</v>
      </c>
      <c r="DO6" s="183">
        <v>4286</v>
      </c>
      <c r="DP6" s="194">
        <v>-0.13588709677419353</v>
      </c>
      <c r="DQ6" s="183">
        <v>3874</v>
      </c>
      <c r="DR6" s="194">
        <v>-9.6126924871675179E-2</v>
      </c>
      <c r="DS6" s="183">
        <v>3995</v>
      </c>
      <c r="DT6" s="194">
        <v>3.1233866804336596E-2</v>
      </c>
      <c r="DU6" s="183">
        <v>4031</v>
      </c>
      <c r="DV6" s="194">
        <v>9.011264080100112E-3</v>
      </c>
      <c r="DW6" s="183">
        <v>3945</v>
      </c>
      <c r="DX6" s="194">
        <v>-2.1334656412800745E-2</v>
      </c>
      <c r="DY6" s="183">
        <v>3937</v>
      </c>
      <c r="DZ6" s="194">
        <v>-2.0278833967046772E-3</v>
      </c>
      <c r="EA6" s="183">
        <v>3717</v>
      </c>
      <c r="EB6" s="194">
        <v>-5.5880111760223561E-2</v>
      </c>
      <c r="EC6" s="183">
        <v>3894</v>
      </c>
      <c r="ED6" s="194">
        <v>4.7619047619047672E-2</v>
      </c>
      <c r="EE6" s="183">
        <v>3771</v>
      </c>
      <c r="EF6" s="36">
        <v>-3.1587057010785791E-2</v>
      </c>
    </row>
    <row r="7" spans="2:136" ht="14.4" x14ac:dyDescent="0.3">
      <c r="B7" t="s">
        <v>226</v>
      </c>
      <c r="C7" s="183">
        <v>6871</v>
      </c>
      <c r="D7" s="36">
        <v>0</v>
      </c>
      <c r="E7" s="183">
        <v>6539</v>
      </c>
      <c r="F7" s="36">
        <v>-4.8319021976422682E-2</v>
      </c>
      <c r="G7" s="183">
        <v>4784</v>
      </c>
      <c r="H7" s="36">
        <v>-0.26838966202783299</v>
      </c>
      <c r="I7" s="183">
        <v>5340</v>
      </c>
      <c r="J7" s="36">
        <v>0.11622073578595327</v>
      </c>
      <c r="K7" s="183">
        <v>5910</v>
      </c>
      <c r="L7" s="36">
        <v>0.10674157303370779</v>
      </c>
      <c r="M7" s="183">
        <v>5846</v>
      </c>
      <c r="N7" s="36">
        <v>-1.0829103214890057E-2</v>
      </c>
      <c r="O7" s="183">
        <v>5723</v>
      </c>
      <c r="P7" s="36">
        <v>-2.1040027369141345E-2</v>
      </c>
      <c r="Q7" s="183">
        <v>5422</v>
      </c>
      <c r="R7" s="36">
        <v>-5.25947929407653E-2</v>
      </c>
      <c r="S7" s="183">
        <v>5134</v>
      </c>
      <c r="T7" s="36">
        <v>-5.3116931021763181E-2</v>
      </c>
      <c r="U7" s="183">
        <v>4691</v>
      </c>
      <c r="V7" s="36">
        <v>-8.628749513050249E-2</v>
      </c>
      <c r="W7" s="183">
        <v>4250</v>
      </c>
      <c r="X7" s="36">
        <v>-9.4009806011511432E-2</v>
      </c>
      <c r="Y7" s="183">
        <v>4300</v>
      </c>
      <c r="Z7" s="36">
        <v>1.1764705882352899E-2</v>
      </c>
      <c r="AA7" s="183">
        <v>4594</v>
      </c>
      <c r="AB7" s="36">
        <v>6.8372093023255864E-2</v>
      </c>
      <c r="AC7" s="183">
        <v>4920.16</v>
      </c>
      <c r="AD7" s="36">
        <v>7.0996952546800163E-2</v>
      </c>
      <c r="AE7" s="183">
        <v>4885</v>
      </c>
      <c r="AF7" s="36">
        <v>-7.1461090696237628E-3</v>
      </c>
      <c r="AG7" s="183">
        <v>4742</v>
      </c>
      <c r="AH7" s="36">
        <v>-2.9273285568065521E-2</v>
      </c>
      <c r="AI7" s="183">
        <v>4716</v>
      </c>
      <c r="AJ7" s="36">
        <v>-5.4829185997469221E-3</v>
      </c>
      <c r="AK7" s="183">
        <v>4686</v>
      </c>
      <c r="AL7" s="36">
        <v>-6.3613231552163141E-3</v>
      </c>
      <c r="AM7" s="183">
        <v>4497</v>
      </c>
      <c r="AN7" s="36">
        <v>-4.0332906530089585E-2</v>
      </c>
      <c r="AO7" s="183">
        <v>4608</v>
      </c>
      <c r="AP7" s="36">
        <v>2.4683122081387676E-2</v>
      </c>
      <c r="AQ7" s="183">
        <v>4784</v>
      </c>
      <c r="AR7" s="36">
        <v>3.819444444444442E-2</v>
      </c>
      <c r="AS7" s="183">
        <v>4565</v>
      </c>
      <c r="AT7" s="36">
        <v>-4.5777591973244158E-2</v>
      </c>
      <c r="AU7" s="183">
        <v>4438</v>
      </c>
      <c r="AV7" s="36">
        <v>-2.7820372398685622E-2</v>
      </c>
      <c r="AW7" s="183">
        <v>4084</v>
      </c>
      <c r="AX7" s="36">
        <v>-7.9765660207300582E-2</v>
      </c>
      <c r="AY7" s="183">
        <v>4474</v>
      </c>
      <c r="AZ7" s="36">
        <v>9.5494613124387895E-2</v>
      </c>
      <c r="BA7" s="183">
        <v>4342</v>
      </c>
      <c r="BB7" s="36">
        <v>-2.9503799731783631E-2</v>
      </c>
      <c r="BC7" s="183">
        <v>3957</v>
      </c>
      <c r="BD7" s="36">
        <v>-8.8668816213726354E-2</v>
      </c>
      <c r="BE7" s="183">
        <v>4248</v>
      </c>
      <c r="BF7" s="178">
        <v>7.3540561031084195E-2</v>
      </c>
      <c r="BG7" s="183">
        <v>4886</v>
      </c>
      <c r="BH7" s="178">
        <v>0.15018832391713755</v>
      </c>
      <c r="BI7" s="183">
        <v>5282</v>
      </c>
      <c r="BJ7" s="178">
        <v>8.1047891936144145E-2</v>
      </c>
      <c r="BK7" s="183">
        <v>5343</v>
      </c>
      <c r="BL7" s="178">
        <v>1.1548655812192443E-2</v>
      </c>
      <c r="BM7" s="183">
        <v>5886</v>
      </c>
      <c r="BN7" s="178">
        <v>0.10162829870859058</v>
      </c>
      <c r="BO7" s="183">
        <v>6034</v>
      </c>
      <c r="BP7" s="178">
        <v>2.5144410465511413E-2</v>
      </c>
      <c r="BQ7" s="183">
        <v>5864</v>
      </c>
      <c r="BR7" s="178">
        <v>-2.8173682466025807E-2</v>
      </c>
      <c r="BS7" s="183">
        <v>5684</v>
      </c>
      <c r="BT7" s="178">
        <v>-3.0695770804911371E-2</v>
      </c>
      <c r="BU7" s="183">
        <v>5442</v>
      </c>
      <c r="BV7" s="178">
        <v>-4.2575650950035238E-2</v>
      </c>
      <c r="BW7" s="183">
        <v>5638</v>
      </c>
      <c r="BX7" s="178">
        <v>3.6016170525542179E-2</v>
      </c>
      <c r="BY7" s="183">
        <v>5901</v>
      </c>
      <c r="BZ7" s="178">
        <v>4.6647747428165909E-2</v>
      </c>
      <c r="CA7" s="183">
        <v>5624</v>
      </c>
      <c r="CB7" s="178">
        <v>-4.6941196407388586E-2</v>
      </c>
      <c r="CC7" s="183">
        <v>5481</v>
      </c>
      <c r="CD7" s="186">
        <v>-2.5426742532005719E-2</v>
      </c>
      <c r="CE7" s="183">
        <v>5316</v>
      </c>
      <c r="CF7" s="186">
        <v>-3.0103995621237001E-2</v>
      </c>
      <c r="CG7" s="183">
        <v>4966</v>
      </c>
      <c r="CH7" s="186">
        <v>-6.5838976674191141E-2</v>
      </c>
      <c r="CI7" s="183">
        <v>4721</v>
      </c>
      <c r="CJ7" s="186">
        <v>-4.933548127265408E-2</v>
      </c>
      <c r="CK7" s="183">
        <v>4516</v>
      </c>
      <c r="CL7" s="186">
        <v>-4.3423003600931986E-2</v>
      </c>
      <c r="CM7" s="183">
        <v>4334</v>
      </c>
      <c r="CN7" s="186">
        <v>-4.0301151461470286E-2</v>
      </c>
      <c r="CO7" s="183">
        <v>4372</v>
      </c>
      <c r="CP7" s="186">
        <v>8.7678818643286416E-3</v>
      </c>
      <c r="CQ7" s="183">
        <v>4021</v>
      </c>
      <c r="CR7" s="186">
        <v>-8.0283623055809716E-2</v>
      </c>
      <c r="CS7" s="183">
        <v>4015</v>
      </c>
      <c r="CT7" s="36">
        <v>-1.4921661278288756E-3</v>
      </c>
      <c r="CU7" s="183">
        <v>4441</v>
      </c>
      <c r="CV7" s="36">
        <v>0.10610211706102124</v>
      </c>
      <c r="CW7" s="183">
        <v>4535</v>
      </c>
      <c r="CX7" s="36">
        <v>2.1166403963071456E-2</v>
      </c>
      <c r="CY7" s="183">
        <v>4636</v>
      </c>
      <c r="CZ7" s="36">
        <v>2.2271223814773977E-2</v>
      </c>
      <c r="DA7" s="183">
        <v>4632</v>
      </c>
      <c r="DB7" s="36">
        <v>-8.6281276962896225E-4</v>
      </c>
      <c r="DC7" s="183">
        <v>4673</v>
      </c>
      <c r="DD7" s="36">
        <v>8.8514680483593455E-3</v>
      </c>
      <c r="DE7" s="183">
        <v>4621</v>
      </c>
      <c r="DF7" s="36">
        <v>-1.1127755189385802E-2</v>
      </c>
      <c r="DG7" s="183">
        <v>4673</v>
      </c>
      <c r="DH7" s="36">
        <v>1.1252975546418575E-2</v>
      </c>
      <c r="DI7" s="183">
        <v>4721</v>
      </c>
      <c r="DJ7" s="194">
        <v>1.0271774020971458E-2</v>
      </c>
      <c r="DK7" s="183">
        <v>4821.42</v>
      </c>
      <c r="DL7" s="194">
        <v>2.1270917178563886E-2</v>
      </c>
      <c r="DM7" s="183">
        <v>4833</v>
      </c>
      <c r="DN7" s="194">
        <v>2.401782047612544E-3</v>
      </c>
      <c r="DO7" s="183">
        <v>4408</v>
      </c>
      <c r="DP7" s="194">
        <v>-8.7937099110283468E-2</v>
      </c>
      <c r="DQ7" s="183">
        <v>4008</v>
      </c>
      <c r="DR7" s="194">
        <v>-9.0744101633393859E-2</v>
      </c>
      <c r="DS7" s="183">
        <v>4055</v>
      </c>
      <c r="DT7" s="194">
        <v>1.1726546906187574E-2</v>
      </c>
      <c r="DU7" s="183">
        <v>4060</v>
      </c>
      <c r="DV7" s="194">
        <v>1.2330456226881115E-3</v>
      </c>
      <c r="DW7" s="183">
        <v>4053</v>
      </c>
      <c r="DX7" s="194">
        <v>-1.7241379310344307E-3</v>
      </c>
      <c r="DY7" s="183">
        <v>4124</v>
      </c>
      <c r="DZ7" s="194">
        <v>1.7517887984209279E-2</v>
      </c>
      <c r="EA7" s="183">
        <v>3981</v>
      </c>
      <c r="EB7" s="194">
        <v>-3.4675072744907887E-2</v>
      </c>
      <c r="EC7" s="183">
        <v>4124</v>
      </c>
      <c r="ED7" s="194">
        <v>3.5920622959055404E-2</v>
      </c>
      <c r="EE7" s="183">
        <v>4115</v>
      </c>
      <c r="EF7" s="36">
        <v>-2.1823472356935492E-3</v>
      </c>
    </row>
    <row r="8" spans="2:136" ht="14.4" x14ac:dyDescent="0.3">
      <c r="B8" t="s">
        <v>9</v>
      </c>
      <c r="C8" s="183">
        <v>904</v>
      </c>
      <c r="D8" s="36">
        <v>0</v>
      </c>
      <c r="E8" s="183">
        <v>820</v>
      </c>
      <c r="F8" s="36">
        <v>-9.2920353982300918E-2</v>
      </c>
      <c r="G8" s="183">
        <v>619</v>
      </c>
      <c r="H8" s="36">
        <v>-0.24512195121951219</v>
      </c>
      <c r="I8" s="183">
        <v>725</v>
      </c>
      <c r="J8" s="36">
        <v>0.17124394184168024</v>
      </c>
      <c r="K8" s="183">
        <v>835</v>
      </c>
      <c r="L8" s="36">
        <v>0.15172413793103456</v>
      </c>
      <c r="M8" s="183">
        <v>734</v>
      </c>
      <c r="N8" s="36">
        <v>-0.12095808383233531</v>
      </c>
      <c r="O8" s="183">
        <v>686</v>
      </c>
      <c r="P8" s="36">
        <v>-6.5395095367847378E-2</v>
      </c>
      <c r="Q8" s="183">
        <v>690</v>
      </c>
      <c r="R8" s="36">
        <v>5.8309037900874383E-3</v>
      </c>
      <c r="S8" s="183">
        <v>667</v>
      </c>
      <c r="T8" s="36">
        <v>-3.3333333333333326E-2</v>
      </c>
      <c r="U8" s="183">
        <v>555</v>
      </c>
      <c r="V8" s="36">
        <v>-0.16791604197901044</v>
      </c>
      <c r="W8" s="183">
        <v>402</v>
      </c>
      <c r="X8" s="36">
        <v>-0.27567567567567564</v>
      </c>
      <c r="Y8" s="183">
        <v>1004</v>
      </c>
      <c r="Z8" s="36">
        <v>1.4975124378109452</v>
      </c>
      <c r="AA8" s="183">
        <v>1045</v>
      </c>
      <c r="AB8" s="36">
        <v>4.0836653386454147E-2</v>
      </c>
      <c r="AC8" s="183">
        <v>1120.05</v>
      </c>
      <c r="AD8" s="36">
        <v>7.1818181818181781E-2</v>
      </c>
      <c r="AE8" s="183">
        <v>1150</v>
      </c>
      <c r="AF8" s="36">
        <v>2.6739877684031965E-2</v>
      </c>
      <c r="AG8" s="183">
        <v>998</v>
      </c>
      <c r="AH8" s="36">
        <v>-0.13217391304347825</v>
      </c>
      <c r="AI8" s="183">
        <v>1045</v>
      </c>
      <c r="AJ8" s="36">
        <v>4.7094188376753499E-2</v>
      </c>
      <c r="AK8" s="183">
        <v>1083</v>
      </c>
      <c r="AL8" s="36">
        <v>3.6363636363636376E-2</v>
      </c>
      <c r="AM8" s="183">
        <v>1029</v>
      </c>
      <c r="AN8" s="36">
        <v>-4.9861495844875314E-2</v>
      </c>
      <c r="AO8" s="183">
        <v>1036</v>
      </c>
      <c r="AP8" s="36">
        <v>6.8027210884353817E-3</v>
      </c>
      <c r="AQ8" s="183">
        <v>1172</v>
      </c>
      <c r="AR8" s="36">
        <v>0.13127413127413123</v>
      </c>
      <c r="AS8" s="183">
        <v>1255</v>
      </c>
      <c r="AT8" s="36">
        <v>7.0819112627986458E-2</v>
      </c>
      <c r="AU8" s="183">
        <v>1214</v>
      </c>
      <c r="AV8" s="36">
        <v>-3.266932270916334E-2</v>
      </c>
      <c r="AW8" s="183">
        <v>1018</v>
      </c>
      <c r="AX8" s="36">
        <v>-0.16144975288303132</v>
      </c>
      <c r="AY8" s="183">
        <v>1187</v>
      </c>
      <c r="AZ8" s="36">
        <v>0.16601178781925352</v>
      </c>
      <c r="BA8" s="183">
        <v>1035</v>
      </c>
      <c r="BB8" s="36">
        <v>-0.12805391743892169</v>
      </c>
      <c r="BC8" s="183">
        <v>893</v>
      </c>
      <c r="BD8" s="36">
        <v>-0.13719806763285025</v>
      </c>
      <c r="BE8" s="183">
        <v>963</v>
      </c>
      <c r="BF8" s="178">
        <v>7.838745800671898E-2</v>
      </c>
      <c r="BG8" s="183">
        <v>1088</v>
      </c>
      <c r="BH8" s="178">
        <v>0.12980269989615789</v>
      </c>
      <c r="BI8" s="183">
        <v>1210</v>
      </c>
      <c r="BJ8" s="178">
        <v>0.11213235294117641</v>
      </c>
      <c r="BK8" s="183">
        <v>1262</v>
      </c>
      <c r="BL8" s="178">
        <v>4.2975206611570282E-2</v>
      </c>
      <c r="BM8" s="183">
        <v>1442</v>
      </c>
      <c r="BN8" s="178">
        <v>0.14263074484944527</v>
      </c>
      <c r="BO8" s="183">
        <v>1461</v>
      </c>
      <c r="BP8" s="178">
        <v>1.3176144244105403E-2</v>
      </c>
      <c r="BQ8" s="183">
        <v>1383</v>
      </c>
      <c r="BR8" s="178">
        <v>-5.3388090349075989E-2</v>
      </c>
      <c r="BS8" s="183">
        <v>1450</v>
      </c>
      <c r="BT8" s="178">
        <v>4.8445408532176382E-2</v>
      </c>
      <c r="BU8" s="183">
        <v>1426</v>
      </c>
      <c r="BV8" s="178">
        <v>-1.6551724137931045E-2</v>
      </c>
      <c r="BW8" s="183">
        <v>1521</v>
      </c>
      <c r="BX8" s="178">
        <v>6.6619915848527445E-2</v>
      </c>
      <c r="BY8" s="183">
        <v>1674</v>
      </c>
      <c r="BZ8" s="178">
        <v>0.10059171597633143</v>
      </c>
      <c r="CA8" s="183">
        <v>1776</v>
      </c>
      <c r="CB8" s="178">
        <v>6.0931899641577081E-2</v>
      </c>
      <c r="CC8" s="183">
        <v>1781</v>
      </c>
      <c r="CD8" s="186">
        <v>2.8153153153154253E-3</v>
      </c>
      <c r="CE8" s="183">
        <v>1846</v>
      </c>
      <c r="CF8" s="186">
        <v>3.649635036496357E-2</v>
      </c>
      <c r="CG8" s="183">
        <v>1713</v>
      </c>
      <c r="CH8" s="186">
        <v>-7.2047670639219907E-2</v>
      </c>
      <c r="CI8" s="183">
        <v>1650</v>
      </c>
      <c r="CJ8" s="186">
        <v>-3.677758318739055E-2</v>
      </c>
      <c r="CK8" s="183">
        <v>1548</v>
      </c>
      <c r="CL8" s="186">
        <v>-6.1818181818181772E-2</v>
      </c>
      <c r="CM8" s="183">
        <v>1537</v>
      </c>
      <c r="CN8" s="186">
        <v>-7.10594315245483E-3</v>
      </c>
      <c r="CO8" s="183">
        <v>1498</v>
      </c>
      <c r="CP8" s="186">
        <v>-2.5374105400130076E-2</v>
      </c>
      <c r="CQ8" s="183">
        <v>1372</v>
      </c>
      <c r="CR8" s="186">
        <v>-8.411214953271029E-2</v>
      </c>
      <c r="CS8" s="183">
        <v>1330</v>
      </c>
      <c r="CT8" s="36">
        <v>-3.0612244897959218E-2</v>
      </c>
      <c r="CU8" s="183">
        <v>1528</v>
      </c>
      <c r="CV8" s="36">
        <v>0.14887218045112771</v>
      </c>
      <c r="CW8" s="183">
        <v>1552</v>
      </c>
      <c r="CX8" s="36">
        <v>1.5706806282722585E-2</v>
      </c>
      <c r="CY8" s="183">
        <v>1552</v>
      </c>
      <c r="CZ8" s="36">
        <v>0</v>
      </c>
      <c r="DA8" s="183">
        <v>1532</v>
      </c>
      <c r="DB8" s="36">
        <v>-1.2886597938144284E-2</v>
      </c>
      <c r="DC8" s="183">
        <v>2308</v>
      </c>
      <c r="DD8" s="36">
        <v>0.50652741514360322</v>
      </c>
      <c r="DE8" s="183">
        <v>3477</v>
      </c>
      <c r="DF8" s="36">
        <v>0.50649913344887354</v>
      </c>
      <c r="DG8" s="183">
        <v>3926</v>
      </c>
      <c r="DH8" s="36">
        <v>0.12913431118780561</v>
      </c>
      <c r="DI8" s="183">
        <v>3468</v>
      </c>
      <c r="DJ8" s="194">
        <v>-0.11665817626082531</v>
      </c>
      <c r="DK8" s="183">
        <v>3478.57</v>
      </c>
      <c r="DL8" s="194">
        <v>3.047866205305727E-3</v>
      </c>
      <c r="DM8" s="183">
        <v>3174</v>
      </c>
      <c r="DN8" s="194">
        <v>-8.7556093452194506E-2</v>
      </c>
      <c r="DO8" s="183">
        <v>2419</v>
      </c>
      <c r="DP8" s="194">
        <v>-0.23787019533711407</v>
      </c>
      <c r="DQ8" s="183">
        <v>2007</v>
      </c>
      <c r="DR8" s="194">
        <v>-0.17031831335262504</v>
      </c>
      <c r="DS8" s="183">
        <v>2021</v>
      </c>
      <c r="DT8" s="194">
        <v>6.9755854509216952E-3</v>
      </c>
      <c r="DU8" s="183">
        <v>1979</v>
      </c>
      <c r="DV8" s="194">
        <v>-2.0781791192478916E-2</v>
      </c>
      <c r="DW8" s="183">
        <v>1946</v>
      </c>
      <c r="DX8" s="194">
        <v>-1.6675088428499296E-2</v>
      </c>
      <c r="DY8" s="183">
        <v>1912</v>
      </c>
      <c r="DZ8" s="194">
        <v>-1.7471736896197299E-2</v>
      </c>
      <c r="EA8" s="183">
        <v>1678</v>
      </c>
      <c r="EB8" s="194">
        <v>-0.12238493723849375</v>
      </c>
      <c r="EC8" s="183">
        <v>1473</v>
      </c>
      <c r="ED8" s="194">
        <v>-0.12216924910607863</v>
      </c>
      <c r="EE8" s="183">
        <v>1327</v>
      </c>
      <c r="EF8" s="36">
        <v>-9.9117447386286472E-2</v>
      </c>
    </row>
    <row r="9" spans="2:136" ht="14.4" x14ac:dyDescent="0.3">
      <c r="B9" t="s">
        <v>90</v>
      </c>
      <c r="C9" s="183">
        <v>5244</v>
      </c>
      <c r="D9" s="36">
        <v>0</v>
      </c>
      <c r="E9" s="183">
        <v>5076</v>
      </c>
      <c r="F9" s="36">
        <v>-3.2036613272311221E-2</v>
      </c>
      <c r="G9" s="183">
        <v>3608</v>
      </c>
      <c r="H9" s="36">
        <v>-0.28920409771473599</v>
      </c>
      <c r="I9" s="183">
        <v>4110</v>
      </c>
      <c r="J9" s="36">
        <v>0.13913525498891355</v>
      </c>
      <c r="K9" s="183">
        <v>4639</v>
      </c>
      <c r="L9" s="36">
        <v>0.1287104622871047</v>
      </c>
      <c r="M9" s="183">
        <v>4557</v>
      </c>
      <c r="N9" s="36">
        <v>-1.7676223323992213E-2</v>
      </c>
      <c r="O9" s="183">
        <v>4338</v>
      </c>
      <c r="P9" s="36">
        <v>-4.8057932850559593E-2</v>
      </c>
      <c r="Q9" s="183">
        <v>4169</v>
      </c>
      <c r="R9" s="36">
        <v>-3.8958045182111545E-2</v>
      </c>
      <c r="S9" s="183">
        <v>3988</v>
      </c>
      <c r="T9" s="36">
        <v>-4.3415687215159537E-2</v>
      </c>
      <c r="U9" s="183">
        <v>3591</v>
      </c>
      <c r="V9" s="36">
        <v>-9.9548645937813429E-2</v>
      </c>
      <c r="W9" s="183">
        <v>3271</v>
      </c>
      <c r="X9" s="36">
        <v>-8.9111668059036475E-2</v>
      </c>
      <c r="Y9" s="183">
        <v>3263</v>
      </c>
      <c r="Z9" s="36">
        <v>-2.4457352491592532E-3</v>
      </c>
      <c r="AA9" s="183">
        <v>3674</v>
      </c>
      <c r="AB9" s="36">
        <v>0.12595770763101433</v>
      </c>
      <c r="AC9" s="183">
        <v>3931.1</v>
      </c>
      <c r="AD9" s="36">
        <v>6.99782253674468E-2</v>
      </c>
      <c r="AE9" s="183">
        <v>3958</v>
      </c>
      <c r="AF9" s="36">
        <v>6.8428684083334801E-3</v>
      </c>
      <c r="AG9" s="183">
        <v>3991</v>
      </c>
      <c r="AH9" s="36">
        <v>8.3375442142497036E-3</v>
      </c>
      <c r="AI9" s="183">
        <v>3984</v>
      </c>
      <c r="AJ9" s="36">
        <v>-1.7539463793535548E-3</v>
      </c>
      <c r="AK9" s="183">
        <v>3998</v>
      </c>
      <c r="AL9" s="36">
        <v>3.5140562248996421E-3</v>
      </c>
      <c r="AM9" s="183">
        <v>3932</v>
      </c>
      <c r="AN9" s="36">
        <v>-1.6508254127063582E-2</v>
      </c>
      <c r="AO9" s="183">
        <v>4049.96</v>
      </c>
      <c r="AP9" s="36">
        <v>3.0000000000000027E-2</v>
      </c>
      <c r="AQ9" s="183">
        <v>3949</v>
      </c>
      <c r="AR9" s="36">
        <v>-2.4928641270531071E-2</v>
      </c>
      <c r="AS9" s="183">
        <v>3838</v>
      </c>
      <c r="AT9" s="36">
        <v>-2.8108381868827581E-2</v>
      </c>
      <c r="AU9" s="183">
        <v>3729</v>
      </c>
      <c r="AV9" s="36">
        <v>-2.8400208441896835E-2</v>
      </c>
      <c r="AW9" s="183">
        <v>3454</v>
      </c>
      <c r="AX9" s="36">
        <v>-7.3746312684365822E-2</v>
      </c>
      <c r="AY9" s="183">
        <v>3790</v>
      </c>
      <c r="AZ9" s="36">
        <v>9.7278517660683184E-2</v>
      </c>
      <c r="BA9" s="183">
        <v>3672</v>
      </c>
      <c r="BB9" s="36">
        <v>-3.1134564643799489E-2</v>
      </c>
      <c r="BC9" s="183">
        <v>3319</v>
      </c>
      <c r="BD9" s="36">
        <v>-9.6132897603485867E-2</v>
      </c>
      <c r="BE9" s="183">
        <v>3715</v>
      </c>
      <c r="BF9" s="178">
        <v>0.11931304609822235</v>
      </c>
      <c r="BG9" s="183">
        <v>4146</v>
      </c>
      <c r="BH9" s="178">
        <v>0.11601615074024219</v>
      </c>
      <c r="BI9" s="183">
        <v>4412</v>
      </c>
      <c r="BJ9" s="178">
        <v>6.415822479498301E-2</v>
      </c>
      <c r="BK9" s="183">
        <v>4509</v>
      </c>
      <c r="BL9" s="178">
        <v>2.1985494106981029E-2</v>
      </c>
      <c r="BM9" s="183">
        <v>4984</v>
      </c>
      <c r="BN9" s="178">
        <v>0.10534486582390779</v>
      </c>
      <c r="BO9" s="183">
        <v>5141</v>
      </c>
      <c r="BP9" s="178">
        <v>3.1500802568218189E-2</v>
      </c>
      <c r="BQ9" s="183">
        <v>5135</v>
      </c>
      <c r="BR9" s="178">
        <v>-1.167088115152648E-3</v>
      </c>
      <c r="BS9" s="183">
        <v>5116</v>
      </c>
      <c r="BT9" s="178">
        <v>-3.700097370983424E-3</v>
      </c>
      <c r="BU9" s="183">
        <v>5001</v>
      </c>
      <c r="BV9" s="178">
        <v>-2.2478498827208759E-2</v>
      </c>
      <c r="BW9" s="183">
        <v>5188</v>
      </c>
      <c r="BX9" s="178">
        <v>3.7392521495700937E-2</v>
      </c>
      <c r="BY9" s="183">
        <v>5408</v>
      </c>
      <c r="BZ9" s="178">
        <v>4.2405551272166608E-2</v>
      </c>
      <c r="CA9" s="183">
        <v>5135</v>
      </c>
      <c r="CB9" s="178">
        <v>-5.0480769230769273E-2</v>
      </c>
      <c r="CC9" s="183">
        <v>4966</v>
      </c>
      <c r="CD9" s="186">
        <v>-3.2911392405063244E-2</v>
      </c>
      <c r="CE9" s="183">
        <v>4837</v>
      </c>
      <c r="CF9" s="186">
        <v>-2.5976641159887182E-2</v>
      </c>
      <c r="CG9" s="183">
        <v>4496</v>
      </c>
      <c r="CH9" s="186">
        <v>-7.0498242712425108E-2</v>
      </c>
      <c r="CI9" s="183">
        <v>4167</v>
      </c>
      <c r="CJ9" s="186">
        <v>-7.3176156583629859E-2</v>
      </c>
      <c r="CK9" s="183">
        <v>3942</v>
      </c>
      <c r="CL9" s="186">
        <v>-5.3995680345572339E-2</v>
      </c>
      <c r="CM9" s="183">
        <v>3857</v>
      </c>
      <c r="CN9" s="186">
        <v>-2.156265854895989E-2</v>
      </c>
      <c r="CO9" s="183">
        <v>3813</v>
      </c>
      <c r="CP9" s="186">
        <v>-1.1407829919626633E-2</v>
      </c>
      <c r="CQ9" s="183">
        <v>3514</v>
      </c>
      <c r="CR9" s="186">
        <v>-7.8415945449777036E-2</v>
      </c>
      <c r="CS9" s="183">
        <v>3513</v>
      </c>
      <c r="CT9" s="36">
        <v>-2.8457598178710519E-4</v>
      </c>
      <c r="CU9" s="183">
        <v>4039</v>
      </c>
      <c r="CV9" s="36">
        <v>0.14972957586108748</v>
      </c>
      <c r="CW9" s="183">
        <v>4273</v>
      </c>
      <c r="CX9" s="36">
        <v>5.7935132458529326E-2</v>
      </c>
      <c r="CY9" s="183">
        <v>4324</v>
      </c>
      <c r="CZ9" s="36">
        <v>1.1935408378188628E-2</v>
      </c>
      <c r="DA9" s="183">
        <v>4222</v>
      </c>
      <c r="DB9" s="36">
        <v>-2.3589269195189666E-2</v>
      </c>
      <c r="DC9" s="183">
        <v>4288</v>
      </c>
      <c r="DD9" s="36">
        <v>1.563240170535285E-2</v>
      </c>
      <c r="DE9" s="183">
        <v>4257</v>
      </c>
      <c r="DF9" s="36">
        <v>-7.2294776119402604E-3</v>
      </c>
      <c r="DG9" s="183">
        <v>4213</v>
      </c>
      <c r="DH9" s="36">
        <v>-1.033591731266148E-2</v>
      </c>
      <c r="DI9" s="183">
        <v>4308</v>
      </c>
      <c r="DJ9" s="194">
        <v>2.2549252314265411E-2</v>
      </c>
      <c r="DK9" s="183">
        <v>4441.5700000000006</v>
      </c>
      <c r="DL9" s="194">
        <v>3.1005106778087432E-2</v>
      </c>
      <c r="DM9" s="183">
        <v>4324</v>
      </c>
      <c r="DN9" s="194">
        <v>-2.6470369711611097E-2</v>
      </c>
      <c r="DO9" s="183">
        <v>3836</v>
      </c>
      <c r="DP9" s="194">
        <v>-0.11285846438482883</v>
      </c>
      <c r="DQ9" s="183">
        <v>3469</v>
      </c>
      <c r="DR9" s="194">
        <v>-9.5672575599582865E-2</v>
      </c>
      <c r="DS9" s="183">
        <v>3577</v>
      </c>
      <c r="DT9" s="194">
        <v>3.1132891323147893E-2</v>
      </c>
      <c r="DU9" s="183">
        <v>3676</v>
      </c>
      <c r="DV9" s="194">
        <v>2.7676824154319268E-2</v>
      </c>
      <c r="DW9" s="183">
        <v>3600</v>
      </c>
      <c r="DX9" s="194">
        <v>-2.0674646354733373E-2</v>
      </c>
      <c r="DY9" s="183">
        <v>3642</v>
      </c>
      <c r="DZ9" s="194">
        <v>1.1666666666666714E-2</v>
      </c>
      <c r="EA9" s="183">
        <v>3479</v>
      </c>
      <c r="EB9" s="194">
        <v>-4.4755628775398182E-2</v>
      </c>
      <c r="EC9" s="183">
        <v>3606</v>
      </c>
      <c r="ED9" s="194">
        <v>3.6504742742167196E-2</v>
      </c>
      <c r="EE9" s="183">
        <v>3596</v>
      </c>
      <c r="EF9" s="36">
        <v>-2.7731558513588439E-3</v>
      </c>
    </row>
    <row r="10" spans="2:136" ht="14.4" x14ac:dyDescent="0.3">
      <c r="B10" t="s">
        <v>244</v>
      </c>
      <c r="C10" s="183">
        <v>5331</v>
      </c>
      <c r="D10" s="36">
        <v>0</v>
      </c>
      <c r="E10" s="183">
        <v>5014</v>
      </c>
      <c r="F10" s="36">
        <v>-5.9463515287938473E-2</v>
      </c>
      <c r="G10" s="183">
        <v>3381</v>
      </c>
      <c r="H10" s="36">
        <v>-0.32568807339449546</v>
      </c>
      <c r="I10" s="183">
        <v>3845</v>
      </c>
      <c r="J10" s="36">
        <v>0.13723750369713095</v>
      </c>
      <c r="K10" s="183">
        <v>4374</v>
      </c>
      <c r="L10" s="36">
        <v>0.1375812743823146</v>
      </c>
      <c r="M10" s="183">
        <v>4320</v>
      </c>
      <c r="N10" s="36">
        <v>-1.2345679012345734E-2</v>
      </c>
      <c r="O10" s="183">
        <v>4320</v>
      </c>
      <c r="P10" s="36">
        <v>0</v>
      </c>
      <c r="Q10" s="183">
        <v>4126</v>
      </c>
      <c r="R10" s="36">
        <v>-4.4907407407407396E-2</v>
      </c>
      <c r="S10" s="183">
        <v>3863</v>
      </c>
      <c r="T10" s="36">
        <v>-6.3742123121667493E-2</v>
      </c>
      <c r="U10" s="183">
        <v>3504</v>
      </c>
      <c r="V10" s="36">
        <v>-9.2932953662956286E-2</v>
      </c>
      <c r="W10" s="183">
        <v>3212</v>
      </c>
      <c r="X10" s="36">
        <v>-8.333333333333337E-2</v>
      </c>
      <c r="Y10" s="183">
        <v>3218</v>
      </c>
      <c r="Z10" s="36">
        <v>1.8679950186799577E-3</v>
      </c>
      <c r="AA10" s="183">
        <v>3538</v>
      </c>
      <c r="AB10" s="36">
        <v>9.9440646364201468E-2</v>
      </c>
      <c r="AC10" s="183">
        <v>3772.45</v>
      </c>
      <c r="AD10" s="36">
        <v>6.6266252119841607E-2</v>
      </c>
      <c r="AE10" s="183">
        <v>3777</v>
      </c>
      <c r="AF10" s="36">
        <v>1.2061127384062065E-3</v>
      </c>
      <c r="AG10" s="183">
        <v>3734</v>
      </c>
      <c r="AH10" s="36">
        <v>-1.1384696849351283E-2</v>
      </c>
      <c r="AI10" s="183">
        <v>3643</v>
      </c>
      <c r="AJ10" s="36">
        <v>-2.4370648098553827E-2</v>
      </c>
      <c r="AK10" s="183">
        <v>3669</v>
      </c>
      <c r="AL10" s="36">
        <v>7.1369750205874105E-3</v>
      </c>
      <c r="AM10" s="183">
        <v>3694</v>
      </c>
      <c r="AN10" s="36">
        <v>6.8138457345325865E-3</v>
      </c>
      <c r="AO10" s="183">
        <v>3908</v>
      </c>
      <c r="AP10" s="36">
        <v>5.7931781266919335E-2</v>
      </c>
      <c r="AQ10" s="183">
        <v>4163</v>
      </c>
      <c r="AR10" s="36">
        <v>6.5250767656090058E-2</v>
      </c>
      <c r="AS10" s="183">
        <v>3956</v>
      </c>
      <c r="AT10" s="36">
        <v>-4.9723756906077332E-2</v>
      </c>
      <c r="AU10" s="183">
        <v>3794</v>
      </c>
      <c r="AV10" s="36">
        <v>-4.0950455005055564E-2</v>
      </c>
      <c r="AW10" s="183">
        <v>3524</v>
      </c>
      <c r="AX10" s="36">
        <v>-7.1164997364259408E-2</v>
      </c>
      <c r="AY10" s="183">
        <v>3808</v>
      </c>
      <c r="AZ10" s="36">
        <v>8.0590238365493727E-2</v>
      </c>
      <c r="BA10" s="183">
        <v>3632</v>
      </c>
      <c r="BB10" s="36">
        <v>-4.621848739495793E-2</v>
      </c>
      <c r="BC10" s="183">
        <v>3131</v>
      </c>
      <c r="BD10" s="36">
        <v>-0.13794052863436124</v>
      </c>
      <c r="BE10" s="183">
        <v>3500</v>
      </c>
      <c r="BF10" s="178">
        <v>0.11785372085595647</v>
      </c>
      <c r="BG10" s="183">
        <v>4008</v>
      </c>
      <c r="BH10" s="178">
        <v>0.14514285714285724</v>
      </c>
      <c r="BI10" s="183">
        <v>4259</v>
      </c>
      <c r="BJ10" s="178">
        <v>6.2624750499002069E-2</v>
      </c>
      <c r="BK10" s="183">
        <v>4356</v>
      </c>
      <c r="BL10" s="178">
        <v>2.2775299366048385E-2</v>
      </c>
      <c r="BM10" s="183">
        <v>4848</v>
      </c>
      <c r="BN10" s="178">
        <v>0.11294765840220378</v>
      </c>
      <c r="BO10" s="183">
        <v>5071</v>
      </c>
      <c r="BP10" s="178">
        <v>4.599834983498341E-2</v>
      </c>
      <c r="BQ10" s="183">
        <v>4985</v>
      </c>
      <c r="BR10" s="178">
        <v>-1.6959179648984413E-2</v>
      </c>
      <c r="BS10" s="183">
        <v>4728</v>
      </c>
      <c r="BT10" s="178">
        <v>-5.1554663991975946E-2</v>
      </c>
      <c r="BU10" s="183">
        <v>4540</v>
      </c>
      <c r="BV10" s="178">
        <v>-3.9763113367174308E-2</v>
      </c>
      <c r="BW10" s="183">
        <v>4691</v>
      </c>
      <c r="BX10" s="178">
        <v>3.3259911894273131E-2</v>
      </c>
      <c r="BY10" s="183">
        <v>5008</v>
      </c>
      <c r="BZ10" s="178">
        <v>6.7576209763376749E-2</v>
      </c>
      <c r="CA10" s="183">
        <v>4709</v>
      </c>
      <c r="CB10" s="178">
        <v>-5.9704472843450485E-2</v>
      </c>
      <c r="CC10" s="183">
        <v>4642</v>
      </c>
      <c r="CD10" s="186">
        <v>-1.4228073901040528E-2</v>
      </c>
      <c r="CE10" s="183">
        <v>4484</v>
      </c>
      <c r="CF10" s="186">
        <v>-3.4037052994398964E-2</v>
      </c>
      <c r="CG10" s="183">
        <v>4116</v>
      </c>
      <c r="CH10" s="186">
        <v>-8.2069580731489733E-2</v>
      </c>
      <c r="CI10" s="183">
        <v>3883</v>
      </c>
      <c r="CJ10" s="186">
        <v>-5.6608357628765815E-2</v>
      </c>
      <c r="CK10" s="183">
        <v>3659</v>
      </c>
      <c r="CL10" s="186">
        <v>-5.7687355137780116E-2</v>
      </c>
      <c r="CM10" s="183">
        <v>3624</v>
      </c>
      <c r="CN10" s="186">
        <v>-9.5654550423612816E-3</v>
      </c>
      <c r="CO10" s="183">
        <v>3725</v>
      </c>
      <c r="CP10" s="186">
        <v>2.7869757174392884E-2</v>
      </c>
      <c r="CQ10" s="183">
        <v>3379</v>
      </c>
      <c r="CR10" s="186">
        <v>-9.2885906040268473E-2</v>
      </c>
      <c r="CS10" s="183">
        <v>3468</v>
      </c>
      <c r="CT10" s="36">
        <v>2.6339153595738463E-2</v>
      </c>
      <c r="CU10" s="183">
        <v>3779</v>
      </c>
      <c r="CV10" s="36">
        <v>8.9677047289504097E-2</v>
      </c>
      <c r="CW10" s="183">
        <v>3891</v>
      </c>
      <c r="CX10" s="36">
        <v>2.9637470230219565E-2</v>
      </c>
      <c r="CY10" s="183">
        <v>3960</v>
      </c>
      <c r="CZ10" s="36">
        <v>1.7733230531996824E-2</v>
      </c>
      <c r="DA10" s="183">
        <v>3978</v>
      </c>
      <c r="DB10" s="36">
        <v>4.5454545454546302E-3</v>
      </c>
      <c r="DC10" s="183">
        <v>4056</v>
      </c>
      <c r="DD10" s="36">
        <v>1.9607843137254832E-2</v>
      </c>
      <c r="DE10" s="183">
        <v>3997</v>
      </c>
      <c r="DF10" s="36">
        <v>-1.4546351084812614E-2</v>
      </c>
      <c r="DG10" s="183">
        <v>4129</v>
      </c>
      <c r="DH10" s="36">
        <v>3.3024768576432217E-2</v>
      </c>
      <c r="DI10" s="183">
        <v>4236</v>
      </c>
      <c r="DJ10" s="194">
        <v>2.5914264955194888E-2</v>
      </c>
      <c r="DK10" s="183">
        <v>4393.42</v>
      </c>
      <c r="DL10" s="194">
        <v>3.7162417374881906E-2</v>
      </c>
      <c r="DM10" s="183">
        <v>4381</v>
      </c>
      <c r="DN10" s="194">
        <v>-2.8269548552153356E-3</v>
      </c>
      <c r="DO10" s="183">
        <v>3781</v>
      </c>
      <c r="DP10" s="194">
        <v>-0.13695503309746637</v>
      </c>
      <c r="DQ10" s="183">
        <v>3397</v>
      </c>
      <c r="DR10" s="194">
        <v>-0.10156043374768575</v>
      </c>
      <c r="DS10" s="183">
        <v>3476</v>
      </c>
      <c r="DT10" s="194">
        <v>2.3255813953488413E-2</v>
      </c>
      <c r="DU10" s="183">
        <v>3467</v>
      </c>
      <c r="DV10" s="194">
        <v>-2.5891829689298484E-3</v>
      </c>
      <c r="DW10" s="183">
        <v>3406</v>
      </c>
      <c r="DX10" s="194">
        <v>-1.7594462070954719E-2</v>
      </c>
      <c r="DY10" s="183">
        <v>3420</v>
      </c>
      <c r="DZ10" s="194">
        <v>4.1103934233706063E-3</v>
      </c>
      <c r="EA10" s="183">
        <v>3280</v>
      </c>
      <c r="EB10" s="194">
        <v>-4.0935672514619936E-2</v>
      </c>
      <c r="EC10" s="183">
        <v>3406</v>
      </c>
      <c r="ED10" s="194">
        <v>3.8414634146341387E-2</v>
      </c>
      <c r="EE10" s="183">
        <v>3408</v>
      </c>
      <c r="EF10" s="36">
        <v>5.8719906048154691E-4</v>
      </c>
    </row>
    <row r="11" spans="2:136" ht="14.4" x14ac:dyDescent="0.3">
      <c r="B11" t="s">
        <v>227</v>
      </c>
      <c r="C11" s="183">
        <v>3139</v>
      </c>
      <c r="D11" s="36">
        <v>0</v>
      </c>
      <c r="E11" s="183">
        <v>3084</v>
      </c>
      <c r="F11" s="36">
        <v>-1.7521503663587179E-2</v>
      </c>
      <c r="G11" s="183">
        <v>2134</v>
      </c>
      <c r="H11" s="36">
        <v>-0.30804150453955903</v>
      </c>
      <c r="I11" s="183">
        <v>2384</v>
      </c>
      <c r="J11" s="36">
        <v>0.11715089034676662</v>
      </c>
      <c r="K11" s="183">
        <v>2802</v>
      </c>
      <c r="L11" s="36">
        <v>0.17533557046979875</v>
      </c>
      <c r="M11" s="183">
        <v>2834</v>
      </c>
      <c r="N11" s="36">
        <v>1.142041399000715E-2</v>
      </c>
      <c r="O11" s="183">
        <v>2681</v>
      </c>
      <c r="P11" s="36">
        <v>-5.3987297106563137E-2</v>
      </c>
      <c r="Q11" s="183">
        <v>2541</v>
      </c>
      <c r="R11" s="36">
        <v>-5.2219321148825104E-2</v>
      </c>
      <c r="S11" s="183">
        <v>2408</v>
      </c>
      <c r="T11" s="36">
        <v>-5.2341597796143224E-2</v>
      </c>
      <c r="U11" s="183">
        <v>2275</v>
      </c>
      <c r="V11" s="36">
        <v>-5.5232558139534871E-2</v>
      </c>
      <c r="W11" s="183">
        <v>2059</v>
      </c>
      <c r="X11" s="36">
        <v>-9.4945054945054896E-2</v>
      </c>
      <c r="Y11" s="183">
        <v>2011</v>
      </c>
      <c r="Z11" s="36">
        <v>-2.3312287518212682E-2</v>
      </c>
      <c r="AA11" s="183">
        <v>2316</v>
      </c>
      <c r="AB11" s="36">
        <v>0.15166583789159627</v>
      </c>
      <c r="AC11" s="183">
        <v>2399.6999999999998</v>
      </c>
      <c r="AD11" s="36">
        <v>3.6139896373056812E-2</v>
      </c>
      <c r="AE11" s="183">
        <v>2340</v>
      </c>
      <c r="AF11" s="36">
        <v>-2.4878109763720402E-2</v>
      </c>
      <c r="AG11" s="183">
        <v>2330</v>
      </c>
      <c r="AH11" s="36">
        <v>-4.2735042735042583E-3</v>
      </c>
      <c r="AI11" s="183">
        <v>2457</v>
      </c>
      <c r="AJ11" s="36">
        <v>5.4506437768240268E-2</v>
      </c>
      <c r="AK11" s="183">
        <v>2411</v>
      </c>
      <c r="AL11" s="36">
        <v>-1.872201872201873E-2</v>
      </c>
      <c r="AM11" s="183">
        <v>2442</v>
      </c>
      <c r="AN11" s="36">
        <v>1.2857735379510515E-2</v>
      </c>
      <c r="AO11" s="183">
        <v>2514</v>
      </c>
      <c r="AP11" s="36">
        <v>2.9484029484029506E-2</v>
      </c>
      <c r="AQ11" s="183">
        <v>2540</v>
      </c>
      <c r="AR11" s="36">
        <v>1.0342084327764622E-2</v>
      </c>
      <c r="AS11" s="183">
        <v>2434</v>
      </c>
      <c r="AT11" s="36">
        <v>-4.1732283464566922E-2</v>
      </c>
      <c r="AU11" s="183">
        <v>2334</v>
      </c>
      <c r="AV11" s="36">
        <v>-4.1084634346754356E-2</v>
      </c>
      <c r="AW11" s="183">
        <v>2076</v>
      </c>
      <c r="AX11" s="36">
        <v>-0.11053984575835474</v>
      </c>
      <c r="AY11" s="183">
        <v>2350</v>
      </c>
      <c r="AZ11" s="36">
        <v>0.13198458574181116</v>
      </c>
      <c r="BA11" s="183">
        <v>2221</v>
      </c>
      <c r="BB11" s="36">
        <v>-5.4893617021276597E-2</v>
      </c>
      <c r="BC11" s="183">
        <v>2045</v>
      </c>
      <c r="BD11" s="36">
        <v>-7.9243583971184139E-2</v>
      </c>
      <c r="BE11" s="183">
        <v>2324</v>
      </c>
      <c r="BF11" s="178">
        <v>0.13643031784841075</v>
      </c>
      <c r="BG11" s="183">
        <v>2578</v>
      </c>
      <c r="BH11" s="178">
        <v>0.10929432013769369</v>
      </c>
      <c r="BI11" s="183">
        <v>2799</v>
      </c>
      <c r="BJ11" s="178">
        <v>8.5725368502715282E-2</v>
      </c>
      <c r="BK11" s="183">
        <v>2901</v>
      </c>
      <c r="BL11" s="178">
        <v>3.6441586280814509E-2</v>
      </c>
      <c r="BM11" s="183">
        <v>3264</v>
      </c>
      <c r="BN11" s="178">
        <v>0.12512926577042394</v>
      </c>
      <c r="BO11" s="183">
        <v>3390</v>
      </c>
      <c r="BP11" s="178">
        <v>3.8602941176470562E-2</v>
      </c>
      <c r="BQ11" s="183">
        <v>3374</v>
      </c>
      <c r="BR11" s="178">
        <v>-4.71976401179941E-3</v>
      </c>
      <c r="BS11" s="183">
        <v>3261</v>
      </c>
      <c r="BT11" s="178">
        <v>-3.3491404860699459E-2</v>
      </c>
      <c r="BU11" s="183">
        <v>3060</v>
      </c>
      <c r="BV11" s="178">
        <v>-6.1637534498620083E-2</v>
      </c>
      <c r="BW11" s="183">
        <v>3207</v>
      </c>
      <c r="BX11" s="178">
        <v>4.8039215686274561E-2</v>
      </c>
      <c r="BY11" s="183">
        <v>3337</v>
      </c>
      <c r="BZ11" s="178">
        <v>4.0536326785157506E-2</v>
      </c>
      <c r="CA11" s="183">
        <v>3148</v>
      </c>
      <c r="CB11" s="178">
        <v>-5.6637698531615266E-2</v>
      </c>
      <c r="CC11" s="183">
        <v>2995</v>
      </c>
      <c r="CD11" s="186">
        <v>-4.8602287166454872E-2</v>
      </c>
      <c r="CE11" s="183">
        <v>2857</v>
      </c>
      <c r="CF11" s="186">
        <v>-4.6076794657762932E-2</v>
      </c>
      <c r="CG11" s="183">
        <v>2689</v>
      </c>
      <c r="CH11" s="186">
        <v>-5.8802940147007376E-2</v>
      </c>
      <c r="CI11" s="183">
        <v>2507</v>
      </c>
      <c r="CJ11" s="186">
        <v>-6.76831535886947E-2</v>
      </c>
      <c r="CK11" s="183">
        <v>2374</v>
      </c>
      <c r="CL11" s="186">
        <v>-5.3051455923414426E-2</v>
      </c>
      <c r="CM11" s="183">
        <v>2255</v>
      </c>
      <c r="CN11" s="186">
        <v>-5.0126368997472581E-2</v>
      </c>
      <c r="CO11" s="183">
        <v>2403</v>
      </c>
      <c r="CP11" s="186">
        <v>6.5631929046563231E-2</v>
      </c>
      <c r="CQ11" s="183">
        <v>2227</v>
      </c>
      <c r="CR11" s="186">
        <v>-7.3241781106949677E-2</v>
      </c>
      <c r="CS11" s="183">
        <v>2268</v>
      </c>
      <c r="CT11" s="36">
        <v>1.8410417602155338E-2</v>
      </c>
      <c r="CU11" s="183">
        <v>2574</v>
      </c>
      <c r="CV11" s="36">
        <v>0.13492063492063489</v>
      </c>
      <c r="CW11" s="183">
        <v>2758</v>
      </c>
      <c r="CX11" s="36">
        <v>7.1484071484071432E-2</v>
      </c>
      <c r="CY11" s="183">
        <v>2807</v>
      </c>
      <c r="CZ11" s="36">
        <v>1.7766497461928932E-2</v>
      </c>
      <c r="DA11" s="183">
        <v>2760</v>
      </c>
      <c r="DB11" s="36">
        <v>-1.6743854649091561E-2</v>
      </c>
      <c r="DC11" s="183">
        <v>2845</v>
      </c>
      <c r="DD11" s="36">
        <v>3.0797101449275388E-2</v>
      </c>
      <c r="DE11" s="183">
        <v>2823</v>
      </c>
      <c r="DF11" s="36">
        <v>-7.7328646748682228E-3</v>
      </c>
      <c r="DG11" s="183">
        <v>2777</v>
      </c>
      <c r="DH11" s="36">
        <v>-1.6294721927027966E-2</v>
      </c>
      <c r="DI11" s="183">
        <v>2881</v>
      </c>
      <c r="DJ11" s="194">
        <v>3.7450486136118011E-2</v>
      </c>
      <c r="DK11" s="183">
        <v>2996</v>
      </c>
      <c r="DL11" s="194">
        <v>3.9916695591808438E-2</v>
      </c>
      <c r="DM11" s="183">
        <v>2898</v>
      </c>
      <c r="DN11" s="194">
        <v>-3.2710280373831724E-2</v>
      </c>
      <c r="DO11" s="183">
        <v>2615</v>
      </c>
      <c r="DP11" s="194">
        <v>-9.7653554175293311E-2</v>
      </c>
      <c r="DQ11" s="183">
        <v>2373</v>
      </c>
      <c r="DR11" s="194">
        <v>-9.254302103250478E-2</v>
      </c>
      <c r="DS11" s="183">
        <v>2462</v>
      </c>
      <c r="DT11" s="194">
        <v>3.750526759376327E-2</v>
      </c>
      <c r="DU11" s="183">
        <v>2467</v>
      </c>
      <c r="DV11" s="194">
        <v>2.0308692120227789E-3</v>
      </c>
      <c r="DW11" s="183">
        <v>2420</v>
      </c>
      <c r="DX11" s="194">
        <v>-1.9051479529793247E-2</v>
      </c>
      <c r="DY11" s="183">
        <v>2404</v>
      </c>
      <c r="DZ11" s="194">
        <v>-6.6115702479339067E-3</v>
      </c>
      <c r="EA11" s="183">
        <v>2190</v>
      </c>
      <c r="EB11" s="194">
        <v>-8.9018302828619E-2</v>
      </c>
      <c r="EC11" s="183">
        <v>2255</v>
      </c>
      <c r="ED11" s="194">
        <v>2.9680365296803624E-2</v>
      </c>
      <c r="EE11" s="183">
        <v>2270</v>
      </c>
      <c r="EF11" s="36">
        <v>6.6518847006651338E-3</v>
      </c>
    </row>
    <row r="12" spans="2:136" ht="14.4" x14ac:dyDescent="0.3">
      <c r="B12" t="s">
        <v>13</v>
      </c>
      <c r="C12" s="183">
        <v>183</v>
      </c>
      <c r="D12" s="36">
        <v>0</v>
      </c>
      <c r="E12" s="183">
        <v>152</v>
      </c>
      <c r="F12" s="36">
        <v>-0.1693989071038251</v>
      </c>
      <c r="G12" s="183">
        <v>101</v>
      </c>
      <c r="H12" s="36">
        <v>-0.33552631578947367</v>
      </c>
      <c r="I12" s="183">
        <v>108</v>
      </c>
      <c r="J12" s="36">
        <v>6.9306930693069368E-2</v>
      </c>
      <c r="K12" s="183">
        <v>133</v>
      </c>
      <c r="L12" s="36">
        <v>0.2314814814814814</v>
      </c>
      <c r="M12" s="183">
        <v>153</v>
      </c>
      <c r="N12" s="36">
        <v>0.15037593984962405</v>
      </c>
      <c r="O12" s="183">
        <v>155</v>
      </c>
      <c r="P12" s="36">
        <v>1.3071895424836555E-2</v>
      </c>
      <c r="Q12" s="183">
        <v>152</v>
      </c>
      <c r="R12" s="36">
        <v>-1.9354838709677469E-2</v>
      </c>
      <c r="S12" s="183">
        <v>143</v>
      </c>
      <c r="T12" s="36">
        <v>-5.9210526315789491E-2</v>
      </c>
      <c r="U12" s="183">
        <v>128</v>
      </c>
      <c r="V12" s="36">
        <v>-0.1048951048951049</v>
      </c>
      <c r="W12" s="183">
        <v>0</v>
      </c>
      <c r="X12" s="36">
        <v>0</v>
      </c>
      <c r="Y12" s="183">
        <v>366</v>
      </c>
      <c r="Z12" s="36">
        <v>0</v>
      </c>
      <c r="AA12" s="183">
        <v>395</v>
      </c>
      <c r="AB12" s="36">
        <v>7.9234972677595605E-2</v>
      </c>
      <c r="AC12" s="183">
        <v>413.25</v>
      </c>
      <c r="AD12" s="36">
        <v>4.6202531645569644E-2</v>
      </c>
      <c r="AE12" s="183">
        <v>422</v>
      </c>
      <c r="AF12" s="36">
        <v>2.1173623714458634E-2</v>
      </c>
      <c r="AG12" s="183">
        <v>473</v>
      </c>
      <c r="AH12" s="36">
        <v>0.12085308056872046</v>
      </c>
      <c r="AI12" s="183">
        <v>490</v>
      </c>
      <c r="AJ12" s="36">
        <v>3.5940803382663811E-2</v>
      </c>
      <c r="AK12" s="183">
        <v>480</v>
      </c>
      <c r="AL12" s="36">
        <v>-2.0408163265306145E-2</v>
      </c>
      <c r="AM12" s="183">
        <v>477</v>
      </c>
      <c r="AN12" s="36">
        <v>-6.2499999999999778E-3</v>
      </c>
      <c r="AO12" s="183">
        <v>528</v>
      </c>
      <c r="AP12" s="36">
        <v>0.10691823899371067</v>
      </c>
      <c r="AQ12" s="183">
        <v>530</v>
      </c>
      <c r="AR12" s="36">
        <v>3.7878787878788955E-3</v>
      </c>
      <c r="AS12" s="183">
        <v>476</v>
      </c>
      <c r="AT12" s="36">
        <v>-0.10188679245283017</v>
      </c>
      <c r="AU12" s="183">
        <v>465</v>
      </c>
      <c r="AV12" s="36">
        <v>-2.3109243697479021E-2</v>
      </c>
      <c r="AW12" s="183">
        <v>435</v>
      </c>
      <c r="AX12" s="36">
        <v>-6.4516129032258118E-2</v>
      </c>
      <c r="AY12" s="183">
        <v>462</v>
      </c>
      <c r="AZ12" s="36">
        <v>6.2068965517241281E-2</v>
      </c>
      <c r="BA12" s="183">
        <v>491</v>
      </c>
      <c r="BB12" s="36">
        <v>6.277056277056281E-2</v>
      </c>
      <c r="BC12" s="183">
        <v>430</v>
      </c>
      <c r="BD12" s="36">
        <v>-0.12423625254582482</v>
      </c>
      <c r="BE12" s="183">
        <v>505</v>
      </c>
      <c r="BF12" s="178">
        <v>0.17441860465116288</v>
      </c>
      <c r="BG12" s="183">
        <v>558</v>
      </c>
      <c r="BH12" s="178">
        <v>0.10495049504950504</v>
      </c>
      <c r="BI12" s="183">
        <v>597</v>
      </c>
      <c r="BJ12" s="178">
        <v>6.9892473118279508E-2</v>
      </c>
      <c r="BK12" s="183">
        <v>613</v>
      </c>
      <c r="BL12" s="178">
        <v>2.6800670016750461E-2</v>
      </c>
      <c r="BM12" s="183">
        <v>649</v>
      </c>
      <c r="BN12" s="178">
        <v>5.8727569331158191E-2</v>
      </c>
      <c r="BO12" s="183">
        <v>653</v>
      </c>
      <c r="BP12" s="178">
        <v>6.1633281972264253E-3</v>
      </c>
      <c r="BQ12" s="183">
        <v>652</v>
      </c>
      <c r="BR12" s="178">
        <v>-1.5313935681470214E-3</v>
      </c>
      <c r="BS12" s="183">
        <v>632</v>
      </c>
      <c r="BT12" s="178">
        <v>-3.0674846625766916E-2</v>
      </c>
      <c r="BU12" s="183">
        <v>590</v>
      </c>
      <c r="BV12" s="178">
        <v>-6.6455696202531667E-2</v>
      </c>
      <c r="BW12" s="183">
        <v>639</v>
      </c>
      <c r="BX12" s="178">
        <v>8.3050847457627031E-2</v>
      </c>
      <c r="BY12" s="183">
        <v>677</v>
      </c>
      <c r="BZ12" s="178">
        <v>5.946791862284817E-2</v>
      </c>
      <c r="CA12" s="183">
        <v>632</v>
      </c>
      <c r="CB12" s="178">
        <v>-6.6469719350073841E-2</v>
      </c>
      <c r="CC12" s="183">
        <v>641</v>
      </c>
      <c r="CD12" s="186">
        <v>1.4240506329114E-2</v>
      </c>
      <c r="CE12" s="183">
        <v>616</v>
      </c>
      <c r="CF12" s="186">
        <v>-3.9001560062402518E-2</v>
      </c>
      <c r="CG12" s="183">
        <v>600</v>
      </c>
      <c r="CH12" s="186">
        <v>-2.5974025974025983E-2</v>
      </c>
      <c r="CI12" s="183">
        <v>611</v>
      </c>
      <c r="CJ12" s="186">
        <v>1.8333333333333313E-2</v>
      </c>
      <c r="CK12" s="183">
        <v>579</v>
      </c>
      <c r="CL12" s="186">
        <v>-5.2373158756137461E-2</v>
      </c>
      <c r="CM12" s="183">
        <v>560</v>
      </c>
      <c r="CN12" s="186">
        <v>-3.2815198618307395E-2</v>
      </c>
      <c r="CO12" s="183">
        <v>574</v>
      </c>
      <c r="CP12" s="186">
        <v>2.4999999999999911E-2</v>
      </c>
      <c r="CQ12" s="183">
        <v>531</v>
      </c>
      <c r="CR12" s="186">
        <v>-7.4912891986062768E-2</v>
      </c>
      <c r="CS12" s="183">
        <v>543</v>
      </c>
      <c r="CT12" s="36">
        <v>2.2598870056497189E-2</v>
      </c>
      <c r="CU12" s="183">
        <v>597</v>
      </c>
      <c r="CV12" s="36">
        <v>9.9447513812154664E-2</v>
      </c>
      <c r="CW12" s="183">
        <v>626</v>
      </c>
      <c r="CX12" s="36">
        <v>4.8576214405360085E-2</v>
      </c>
      <c r="CY12" s="183">
        <v>600</v>
      </c>
      <c r="CZ12" s="36">
        <v>-4.1533546325878579E-2</v>
      </c>
      <c r="DA12" s="183">
        <v>567</v>
      </c>
      <c r="DB12" s="36">
        <v>-5.5000000000000049E-2</v>
      </c>
      <c r="DC12" s="183">
        <v>584</v>
      </c>
      <c r="DD12" s="36">
        <v>2.9982363315696592E-2</v>
      </c>
      <c r="DE12" s="183">
        <v>720</v>
      </c>
      <c r="DF12" s="36">
        <v>0.23287671232876717</v>
      </c>
      <c r="DG12" s="183">
        <v>802</v>
      </c>
      <c r="DH12" s="36">
        <v>0.11388888888888893</v>
      </c>
      <c r="DI12" s="183">
        <v>783</v>
      </c>
      <c r="DJ12" s="194">
        <v>-2.3690773067331694E-2</v>
      </c>
      <c r="DK12" s="183">
        <v>761.84</v>
      </c>
      <c r="DL12" s="194">
        <v>-2.7024265644955303E-2</v>
      </c>
      <c r="DM12" s="183">
        <v>765</v>
      </c>
      <c r="DN12" s="194">
        <v>4.147852567468302E-3</v>
      </c>
      <c r="DO12" s="183">
        <v>642</v>
      </c>
      <c r="DP12" s="194">
        <v>-0.16078431372549018</v>
      </c>
      <c r="DQ12" s="183">
        <v>598</v>
      </c>
      <c r="DR12" s="194">
        <v>-6.8535825545171347E-2</v>
      </c>
      <c r="DS12" s="183">
        <v>590</v>
      </c>
      <c r="DT12" s="194">
        <v>-1.3377926421404673E-2</v>
      </c>
      <c r="DU12" s="183">
        <v>587</v>
      </c>
      <c r="DV12" s="194">
        <v>-5.0847457627118953E-3</v>
      </c>
      <c r="DW12" s="183">
        <v>578</v>
      </c>
      <c r="DX12" s="194">
        <v>-1.5332197614991494E-2</v>
      </c>
      <c r="DY12" s="183">
        <v>587</v>
      </c>
      <c r="DZ12" s="194">
        <v>1.5570934256055269E-2</v>
      </c>
      <c r="EA12" s="183">
        <v>543</v>
      </c>
      <c r="EB12" s="194">
        <v>-7.4957410562180526E-2</v>
      </c>
      <c r="EC12" s="183">
        <v>571</v>
      </c>
      <c r="ED12" s="194">
        <v>5.1565377532228451E-2</v>
      </c>
      <c r="EE12" s="183">
        <v>545</v>
      </c>
      <c r="EF12" s="36">
        <v>-4.5534150612959734E-2</v>
      </c>
    </row>
    <row r="13" spans="2:136" ht="14.4" x14ac:dyDescent="0.3">
      <c r="B13" t="s">
        <v>228</v>
      </c>
      <c r="C13" s="183">
        <v>8180</v>
      </c>
      <c r="D13" s="36">
        <v>0</v>
      </c>
      <c r="E13" s="183">
        <v>8128</v>
      </c>
      <c r="F13" s="36">
        <v>-6.3569682151589646E-3</v>
      </c>
      <c r="G13" s="183">
        <v>7125</v>
      </c>
      <c r="H13" s="36">
        <v>-0.12340059055118113</v>
      </c>
      <c r="I13" s="183">
        <v>7471</v>
      </c>
      <c r="J13" s="36">
        <v>4.8561403508772027E-2</v>
      </c>
      <c r="K13" s="183">
        <v>7449</v>
      </c>
      <c r="L13" s="36">
        <v>-2.9447195823851802E-3</v>
      </c>
      <c r="M13" s="183">
        <v>7266</v>
      </c>
      <c r="N13" s="36">
        <v>-2.4567055980668551E-2</v>
      </c>
      <c r="O13" s="183">
        <v>7104</v>
      </c>
      <c r="P13" s="36">
        <v>-2.2295623451692781E-2</v>
      </c>
      <c r="Q13" s="183">
        <v>7049</v>
      </c>
      <c r="R13" s="36">
        <v>-7.7421171171171421E-3</v>
      </c>
      <c r="S13" s="183">
        <v>6784</v>
      </c>
      <c r="T13" s="36">
        <v>-3.7593984962406068E-2</v>
      </c>
      <c r="U13" s="183">
        <v>6356</v>
      </c>
      <c r="V13" s="36">
        <v>-6.3089622641509413E-2</v>
      </c>
      <c r="W13" s="183">
        <v>6021</v>
      </c>
      <c r="X13" s="36">
        <v>-5.2706104468218995E-2</v>
      </c>
      <c r="Y13" s="183">
        <v>5911</v>
      </c>
      <c r="Z13" s="36">
        <v>-1.8269390466699842E-2</v>
      </c>
      <c r="AA13" s="183">
        <v>6167</v>
      </c>
      <c r="AB13" s="36">
        <v>4.3309084757232386E-2</v>
      </c>
      <c r="AC13" s="183">
        <v>6806.7</v>
      </c>
      <c r="AD13" s="36">
        <v>0.10372952813361436</v>
      </c>
      <c r="AE13" s="183">
        <v>6750</v>
      </c>
      <c r="AF13" s="36">
        <v>-8.3300277667591738E-3</v>
      </c>
      <c r="AG13" s="183">
        <v>6427</v>
      </c>
      <c r="AH13" s="36">
        <v>-4.7851851851851812E-2</v>
      </c>
      <c r="AI13" s="183">
        <v>6281</v>
      </c>
      <c r="AJ13" s="36">
        <v>-2.2716664073440196E-2</v>
      </c>
      <c r="AK13" s="183">
        <v>6230</v>
      </c>
      <c r="AL13" s="36">
        <v>-8.1197261582550695E-3</v>
      </c>
      <c r="AM13" s="183">
        <v>5895</v>
      </c>
      <c r="AN13" s="36">
        <v>-5.3772070626003199E-2</v>
      </c>
      <c r="AO13" s="183">
        <v>6071.85</v>
      </c>
      <c r="AP13" s="36">
        <v>3.0000000000000027E-2</v>
      </c>
      <c r="AQ13" s="183">
        <v>5722</v>
      </c>
      <c r="AR13" s="36">
        <v>-5.7618353549577228E-2</v>
      </c>
      <c r="AS13" s="183">
        <v>5276</v>
      </c>
      <c r="AT13" s="36">
        <v>-7.794477455435167E-2</v>
      </c>
      <c r="AU13" s="183">
        <v>5051</v>
      </c>
      <c r="AV13" s="36">
        <v>-4.264594389689158E-2</v>
      </c>
      <c r="AW13" s="183">
        <v>4645</v>
      </c>
      <c r="AX13" s="36">
        <v>-8.0380122747970684E-2</v>
      </c>
      <c r="AY13" s="183">
        <v>4969</v>
      </c>
      <c r="AZ13" s="36">
        <v>6.9752421959095701E-2</v>
      </c>
      <c r="BA13" s="183">
        <v>4989</v>
      </c>
      <c r="BB13" s="36">
        <v>4.0249547192594548E-3</v>
      </c>
      <c r="BC13" s="183">
        <v>4684</v>
      </c>
      <c r="BD13" s="36">
        <v>-6.1134495890960094E-2</v>
      </c>
      <c r="BE13" s="183">
        <v>5078</v>
      </c>
      <c r="BF13" s="178">
        <v>8.4116140051238242E-2</v>
      </c>
      <c r="BG13" s="183">
        <v>5504</v>
      </c>
      <c r="BH13" s="178">
        <v>8.3891295785742503E-2</v>
      </c>
      <c r="BI13" s="183">
        <v>5763</v>
      </c>
      <c r="BJ13" s="178">
        <v>4.7056686046511587E-2</v>
      </c>
      <c r="BK13" s="183">
        <v>5700</v>
      </c>
      <c r="BL13" s="178">
        <v>-1.0931806350858886E-2</v>
      </c>
      <c r="BM13" s="183">
        <v>6098</v>
      </c>
      <c r="BN13" s="178">
        <v>6.9824561403508678E-2</v>
      </c>
      <c r="BO13" s="183">
        <v>6450</v>
      </c>
      <c r="BP13" s="178">
        <v>5.7723843883240367E-2</v>
      </c>
      <c r="BQ13" s="183">
        <v>6518</v>
      </c>
      <c r="BR13" s="178">
        <v>1.0542635658914667E-2</v>
      </c>
      <c r="BS13" s="183">
        <v>6326</v>
      </c>
      <c r="BT13" s="178">
        <v>-2.9456888616139931E-2</v>
      </c>
      <c r="BU13" s="183">
        <v>6012</v>
      </c>
      <c r="BV13" s="178">
        <v>-4.9636421119190643E-2</v>
      </c>
      <c r="BW13" s="183">
        <v>6277</v>
      </c>
      <c r="BX13" s="178">
        <v>4.4078509647371922E-2</v>
      </c>
      <c r="BY13" s="183">
        <v>6617</v>
      </c>
      <c r="BZ13" s="178">
        <v>5.4166002867611862E-2</v>
      </c>
      <c r="CA13" s="183">
        <v>6266</v>
      </c>
      <c r="CB13" s="178">
        <v>-5.3045186640471531E-2</v>
      </c>
      <c r="CC13" s="183">
        <v>6052</v>
      </c>
      <c r="CD13" s="186">
        <v>-3.4152569422278956E-2</v>
      </c>
      <c r="CE13" s="183">
        <v>5945</v>
      </c>
      <c r="CF13" s="186">
        <v>-1.7680105750165209E-2</v>
      </c>
      <c r="CG13" s="183">
        <v>5708</v>
      </c>
      <c r="CH13" s="186">
        <v>-3.9865433137090012E-2</v>
      </c>
      <c r="CI13" s="183">
        <v>5480</v>
      </c>
      <c r="CJ13" s="186">
        <v>-3.9943938332165363E-2</v>
      </c>
      <c r="CK13" s="183">
        <v>5223</v>
      </c>
      <c r="CL13" s="186">
        <v>-4.6897810218978098E-2</v>
      </c>
      <c r="CM13" s="183">
        <v>5134</v>
      </c>
      <c r="CN13" s="186">
        <v>-1.7040015316867718E-2</v>
      </c>
      <c r="CO13" s="183">
        <v>5021</v>
      </c>
      <c r="CP13" s="186">
        <v>-2.2010128554733166E-2</v>
      </c>
      <c r="CQ13" s="183">
        <v>4644</v>
      </c>
      <c r="CR13" s="186">
        <v>-7.5084644493128905E-2</v>
      </c>
      <c r="CS13" s="183">
        <v>4523</v>
      </c>
      <c r="CT13" s="36">
        <v>-2.6055124892334192E-2</v>
      </c>
      <c r="CU13" s="183">
        <v>4969</v>
      </c>
      <c r="CV13" s="36">
        <v>9.8607119168693247E-2</v>
      </c>
      <c r="CW13" s="183">
        <v>5057</v>
      </c>
      <c r="CX13" s="36">
        <v>1.7709800764741379E-2</v>
      </c>
      <c r="CY13" s="183">
        <v>5086</v>
      </c>
      <c r="CZ13" s="36">
        <v>5.7346252719003843E-3</v>
      </c>
      <c r="DA13" s="183">
        <v>4908</v>
      </c>
      <c r="DB13" s="36">
        <v>-3.4998033818324781E-2</v>
      </c>
      <c r="DC13" s="183">
        <v>5056</v>
      </c>
      <c r="DD13" s="36">
        <v>3.0154849225753955E-2</v>
      </c>
      <c r="DE13" s="183">
        <v>5069</v>
      </c>
      <c r="DF13" s="36">
        <v>2.5712025316455556E-3</v>
      </c>
      <c r="DG13" s="183">
        <v>5117</v>
      </c>
      <c r="DH13" s="36">
        <v>9.469323337936375E-3</v>
      </c>
      <c r="DI13" s="183">
        <v>5198</v>
      </c>
      <c r="DJ13" s="194">
        <v>1.5829587649013099E-2</v>
      </c>
      <c r="DK13" s="183">
        <v>5519.06</v>
      </c>
      <c r="DL13" s="194">
        <v>6.176606387071959E-2</v>
      </c>
      <c r="DM13" s="183">
        <v>5599</v>
      </c>
      <c r="DN13" s="194">
        <v>1.448435059593467E-2</v>
      </c>
      <c r="DO13" s="183">
        <v>5113</v>
      </c>
      <c r="DP13" s="194">
        <v>-8.6801214502589708E-2</v>
      </c>
      <c r="DQ13" s="183">
        <v>4645</v>
      </c>
      <c r="DR13" s="194">
        <v>-9.1531390573049043E-2</v>
      </c>
      <c r="DS13" s="183">
        <v>4680</v>
      </c>
      <c r="DT13" s="194">
        <v>7.5349838536060698E-3</v>
      </c>
      <c r="DU13" s="183">
        <v>4783</v>
      </c>
      <c r="DV13" s="194">
        <v>2.200854700854693E-2</v>
      </c>
      <c r="DW13" s="183">
        <v>4702</v>
      </c>
      <c r="DX13" s="194">
        <v>-1.6934978047250637E-2</v>
      </c>
      <c r="DY13" s="183">
        <v>4706</v>
      </c>
      <c r="DZ13" s="194">
        <v>8.5070182900892632E-4</v>
      </c>
      <c r="EA13" s="183">
        <v>4414</v>
      </c>
      <c r="EB13" s="194">
        <v>-6.2048448788780242E-2</v>
      </c>
      <c r="EC13" s="183">
        <v>4498</v>
      </c>
      <c r="ED13" s="194">
        <v>1.9030357951971055E-2</v>
      </c>
      <c r="EE13" s="183">
        <v>4466</v>
      </c>
      <c r="EF13" s="36">
        <v>-7.1142730102267127E-3</v>
      </c>
    </row>
    <row r="14" spans="2:136" ht="14.4" x14ac:dyDescent="0.3">
      <c r="B14" t="s">
        <v>230</v>
      </c>
      <c r="C14" s="183">
        <v>5183</v>
      </c>
      <c r="D14" s="36">
        <v>0</v>
      </c>
      <c r="E14" s="183">
        <v>5066</v>
      </c>
      <c r="F14" s="36">
        <v>-2.2573798958132385E-2</v>
      </c>
      <c r="G14" s="183">
        <v>3358</v>
      </c>
      <c r="H14" s="36">
        <v>-0.33714962495065137</v>
      </c>
      <c r="I14" s="183">
        <v>3793</v>
      </c>
      <c r="J14" s="36">
        <v>0.12954139368671824</v>
      </c>
      <c r="K14" s="183">
        <v>4640</v>
      </c>
      <c r="L14" s="36">
        <v>0.22330609016609548</v>
      </c>
      <c r="M14" s="183">
        <v>4622</v>
      </c>
      <c r="N14" s="36">
        <v>-3.8793103448275801E-3</v>
      </c>
      <c r="O14" s="183">
        <v>4602</v>
      </c>
      <c r="P14" s="36">
        <v>-4.3271311120727241E-3</v>
      </c>
      <c r="Q14" s="183">
        <v>4600</v>
      </c>
      <c r="R14" s="36">
        <v>-4.3459365493259128E-4</v>
      </c>
      <c r="S14" s="183">
        <v>4215</v>
      </c>
      <c r="T14" s="36">
        <v>-8.369565217391306E-2</v>
      </c>
      <c r="U14" s="183">
        <v>3865</v>
      </c>
      <c r="V14" s="36">
        <v>-8.3036773428232458E-2</v>
      </c>
      <c r="W14" s="183">
        <v>3549</v>
      </c>
      <c r="X14" s="36">
        <v>-8.1759379042690816E-2</v>
      </c>
      <c r="Y14" s="183">
        <v>3518</v>
      </c>
      <c r="Z14" s="36">
        <v>-8.7348548887010713E-3</v>
      </c>
      <c r="AA14" s="183">
        <v>3842</v>
      </c>
      <c r="AB14" s="36">
        <v>9.2097782831153996E-2</v>
      </c>
      <c r="AC14" s="183">
        <v>4237.5200000000004</v>
      </c>
      <c r="AD14" s="36">
        <v>0.10294638209266016</v>
      </c>
      <c r="AE14" s="183">
        <v>4121</v>
      </c>
      <c r="AF14" s="36">
        <v>-2.7497215352376037E-2</v>
      </c>
      <c r="AG14" s="183">
        <v>4149</v>
      </c>
      <c r="AH14" s="36">
        <v>6.7944673622906127E-3</v>
      </c>
      <c r="AI14" s="183">
        <v>4061</v>
      </c>
      <c r="AJ14" s="36">
        <v>-2.1209930103639474E-2</v>
      </c>
      <c r="AK14" s="183">
        <v>4012</v>
      </c>
      <c r="AL14" s="36">
        <v>-1.2065993597636049E-2</v>
      </c>
      <c r="AM14" s="183">
        <v>3774</v>
      </c>
      <c r="AN14" s="36">
        <v>-5.9322033898305038E-2</v>
      </c>
      <c r="AO14" s="183">
        <v>3827</v>
      </c>
      <c r="AP14" s="36">
        <v>1.4043455219925782E-2</v>
      </c>
      <c r="AQ14" s="183">
        <v>4050</v>
      </c>
      <c r="AR14" s="36">
        <v>5.8270185523909168E-2</v>
      </c>
      <c r="AS14" s="183">
        <v>3936</v>
      </c>
      <c r="AT14" s="36">
        <v>-2.8148148148148144E-2</v>
      </c>
      <c r="AU14" s="183">
        <v>3787</v>
      </c>
      <c r="AV14" s="36">
        <v>-3.7855691056910556E-2</v>
      </c>
      <c r="AW14" s="183">
        <v>3421</v>
      </c>
      <c r="AX14" s="36">
        <v>-9.6646421969897034E-2</v>
      </c>
      <c r="AY14" s="183">
        <v>3763</v>
      </c>
      <c r="AZ14" s="36">
        <v>9.9970768781058261E-2</v>
      </c>
      <c r="BA14" s="183">
        <v>3548</v>
      </c>
      <c r="BB14" s="36">
        <v>-5.7135264416688814E-2</v>
      </c>
      <c r="BC14" s="183">
        <v>3190</v>
      </c>
      <c r="BD14" s="36">
        <v>-0.10090191657271708</v>
      </c>
      <c r="BE14" s="183">
        <v>3566</v>
      </c>
      <c r="BF14" s="178">
        <v>0.11786833855799372</v>
      </c>
      <c r="BG14" s="183">
        <v>4048</v>
      </c>
      <c r="BH14" s="178">
        <v>0.13516545148625903</v>
      </c>
      <c r="BI14" s="183">
        <v>4381</v>
      </c>
      <c r="BJ14" s="178">
        <v>8.2262845849802479E-2</v>
      </c>
      <c r="BK14" s="183">
        <v>4489</v>
      </c>
      <c r="BL14" s="178">
        <v>2.4651905957543851E-2</v>
      </c>
      <c r="BM14" s="183">
        <v>4962</v>
      </c>
      <c r="BN14" s="178">
        <v>0.10536867899309432</v>
      </c>
      <c r="BO14" s="183">
        <v>5129</v>
      </c>
      <c r="BP14" s="178">
        <v>3.3655783958081331E-2</v>
      </c>
      <c r="BQ14" s="183">
        <v>5121</v>
      </c>
      <c r="BR14" s="178">
        <v>-1.5597582374732299E-3</v>
      </c>
      <c r="BS14" s="183">
        <v>4901</v>
      </c>
      <c r="BT14" s="178">
        <v>-4.2960359304823226E-2</v>
      </c>
      <c r="BU14" s="183">
        <v>4681</v>
      </c>
      <c r="BV14" s="178">
        <v>-4.4888798204448022E-2</v>
      </c>
      <c r="BW14" s="183">
        <v>5084</v>
      </c>
      <c r="BX14" s="178">
        <v>8.6092715231788075E-2</v>
      </c>
      <c r="BY14" s="183">
        <v>5343</v>
      </c>
      <c r="BZ14" s="178">
        <v>5.0944138473642875E-2</v>
      </c>
      <c r="CA14" s="183">
        <v>5061</v>
      </c>
      <c r="CB14" s="178">
        <v>-5.2779337450870267E-2</v>
      </c>
      <c r="CC14" s="183">
        <v>5004</v>
      </c>
      <c r="CD14" s="186">
        <v>-1.1262596324836949E-2</v>
      </c>
      <c r="CE14" s="183">
        <v>4873</v>
      </c>
      <c r="CF14" s="186">
        <v>-2.6179056754596308E-2</v>
      </c>
      <c r="CG14" s="183">
        <v>4668</v>
      </c>
      <c r="CH14" s="186">
        <v>-4.2068540939872778E-2</v>
      </c>
      <c r="CI14" s="183">
        <v>4454</v>
      </c>
      <c r="CJ14" s="186">
        <v>-4.5844044558697505E-2</v>
      </c>
      <c r="CK14" s="183">
        <v>4111</v>
      </c>
      <c r="CL14" s="186">
        <v>-7.7009429726088929E-2</v>
      </c>
      <c r="CM14" s="183">
        <v>3868</v>
      </c>
      <c r="CN14" s="186">
        <v>-5.910970566772078E-2</v>
      </c>
      <c r="CO14" s="183">
        <v>3932</v>
      </c>
      <c r="CP14" s="186">
        <v>1.6546018614270963E-2</v>
      </c>
      <c r="CQ14" s="183">
        <v>3549</v>
      </c>
      <c r="CR14" s="186">
        <v>-9.7405900305188253E-2</v>
      </c>
      <c r="CS14" s="183">
        <v>3507</v>
      </c>
      <c r="CT14" s="36">
        <v>-1.1834319526627168E-2</v>
      </c>
      <c r="CU14" s="183">
        <v>3955</v>
      </c>
      <c r="CV14" s="36">
        <v>0.12774451097804396</v>
      </c>
      <c r="CW14" s="183">
        <v>4108</v>
      </c>
      <c r="CX14" s="36">
        <v>3.8685208596713094E-2</v>
      </c>
      <c r="CY14" s="183">
        <v>4256</v>
      </c>
      <c r="CZ14" s="36">
        <v>3.6027263875365145E-2</v>
      </c>
      <c r="DA14" s="183">
        <v>4282</v>
      </c>
      <c r="DB14" s="36">
        <v>6.1090225563908973E-3</v>
      </c>
      <c r="DC14" s="183">
        <v>4308</v>
      </c>
      <c r="DD14" s="36">
        <v>6.071929005137866E-3</v>
      </c>
      <c r="DE14" s="183">
        <v>4403</v>
      </c>
      <c r="DF14" s="36">
        <v>2.2051996285979536E-2</v>
      </c>
      <c r="DG14" s="183">
        <v>4341</v>
      </c>
      <c r="DH14" s="36">
        <v>-1.4081308198955256E-2</v>
      </c>
      <c r="DI14" s="183">
        <v>4512</v>
      </c>
      <c r="DJ14" s="194">
        <v>3.9391845196959263E-2</v>
      </c>
      <c r="DK14" s="183">
        <v>4558.2</v>
      </c>
      <c r="DL14" s="194">
        <v>1.0239361702127692E-2</v>
      </c>
      <c r="DM14" s="183">
        <v>4512</v>
      </c>
      <c r="DN14" s="194">
        <v>-1.0135579834145036E-2</v>
      </c>
      <c r="DO14" s="183">
        <v>3871</v>
      </c>
      <c r="DP14" s="194">
        <v>-0.14206560283687941</v>
      </c>
      <c r="DQ14" s="183">
        <v>3480</v>
      </c>
      <c r="DR14" s="194">
        <v>-0.10100749160423661</v>
      </c>
      <c r="DS14" s="183">
        <v>3564</v>
      </c>
      <c r="DT14" s="194">
        <v>2.4137931034482696E-2</v>
      </c>
      <c r="DU14" s="183">
        <v>3757</v>
      </c>
      <c r="DV14" s="194">
        <v>5.4152637485970878E-2</v>
      </c>
      <c r="DW14" s="183">
        <v>3640</v>
      </c>
      <c r="DX14" s="194">
        <v>-3.114186851211076E-2</v>
      </c>
      <c r="DY14" s="183">
        <v>3673</v>
      </c>
      <c r="DZ14" s="194">
        <v>9.0659340659340337E-3</v>
      </c>
      <c r="EA14" s="183">
        <v>3446</v>
      </c>
      <c r="EB14" s="194">
        <v>-6.1802341410291284E-2</v>
      </c>
      <c r="EC14" s="183">
        <v>3544</v>
      </c>
      <c r="ED14" s="194">
        <v>2.8438769587928014E-2</v>
      </c>
      <c r="EE14" s="183">
        <v>3588</v>
      </c>
      <c r="EF14" s="36">
        <v>1.2415349887133109E-2</v>
      </c>
    </row>
    <row r="15" spans="2:136" ht="14.4" x14ac:dyDescent="0.3">
      <c r="B15" t="s">
        <v>231</v>
      </c>
      <c r="C15" s="183">
        <v>5809</v>
      </c>
      <c r="D15" s="36">
        <v>0</v>
      </c>
      <c r="E15" s="183">
        <v>5714</v>
      </c>
      <c r="F15" s="36">
        <v>-1.6353933551385813E-2</v>
      </c>
      <c r="G15" s="183">
        <v>3932</v>
      </c>
      <c r="H15" s="36">
        <v>-0.31186559327966401</v>
      </c>
      <c r="I15" s="183">
        <v>4502</v>
      </c>
      <c r="J15" s="36">
        <v>0.14496439471007116</v>
      </c>
      <c r="K15" s="183">
        <v>5189</v>
      </c>
      <c r="L15" s="36">
        <v>0.15259884495779663</v>
      </c>
      <c r="M15" s="183">
        <v>5336</v>
      </c>
      <c r="N15" s="36">
        <v>2.8329157833879348E-2</v>
      </c>
      <c r="O15" s="183">
        <v>5215</v>
      </c>
      <c r="P15" s="36">
        <v>-2.2676161919040427E-2</v>
      </c>
      <c r="Q15" s="183">
        <v>4872</v>
      </c>
      <c r="R15" s="36">
        <v>-6.5771812080536951E-2</v>
      </c>
      <c r="S15" s="183">
        <v>4439</v>
      </c>
      <c r="T15" s="36">
        <v>-8.8875205254515643E-2</v>
      </c>
      <c r="U15" s="183">
        <v>4055</v>
      </c>
      <c r="V15" s="36">
        <v>-8.6505969813020944E-2</v>
      </c>
      <c r="W15" s="183">
        <v>3613</v>
      </c>
      <c r="X15" s="36">
        <v>-0.1090012330456227</v>
      </c>
      <c r="Y15" s="183">
        <v>3637</v>
      </c>
      <c r="Z15" s="36">
        <v>6.642679213949565E-3</v>
      </c>
      <c r="AA15" s="183">
        <v>4153</v>
      </c>
      <c r="AB15" s="36">
        <v>0.14187517184492715</v>
      </c>
      <c r="AC15" s="183">
        <v>4542.12</v>
      </c>
      <c r="AD15" s="36">
        <v>9.3696123284372712E-2</v>
      </c>
      <c r="AE15" s="183">
        <v>4442</v>
      </c>
      <c r="AF15" s="36">
        <v>-2.2042570429667174E-2</v>
      </c>
      <c r="AG15" s="183">
        <v>4379</v>
      </c>
      <c r="AH15" s="36">
        <v>-1.4182800540297191E-2</v>
      </c>
      <c r="AI15" s="183">
        <v>4293</v>
      </c>
      <c r="AJ15" s="36">
        <v>-1.9639187029002025E-2</v>
      </c>
      <c r="AK15" s="183">
        <v>4190</v>
      </c>
      <c r="AL15" s="36">
        <v>-2.3992546005124571E-2</v>
      </c>
      <c r="AM15" s="183">
        <v>3973</v>
      </c>
      <c r="AN15" s="36">
        <v>-5.178997613365155E-2</v>
      </c>
      <c r="AO15" s="183">
        <v>4204</v>
      </c>
      <c r="AP15" s="36">
        <v>5.8142461615907415E-2</v>
      </c>
      <c r="AQ15" s="183">
        <v>4348</v>
      </c>
      <c r="AR15" s="36">
        <v>3.4253092293054177E-2</v>
      </c>
      <c r="AS15" s="183">
        <v>4211</v>
      </c>
      <c r="AT15" s="36">
        <v>-3.1508739650414008E-2</v>
      </c>
      <c r="AU15" s="183">
        <v>4120</v>
      </c>
      <c r="AV15" s="36">
        <v>-2.1610068867252474E-2</v>
      </c>
      <c r="AW15" s="183">
        <v>3707</v>
      </c>
      <c r="AX15" s="36">
        <v>-0.10024271844660193</v>
      </c>
      <c r="AY15" s="183">
        <v>3960</v>
      </c>
      <c r="AZ15" s="36">
        <v>6.8249258160237414E-2</v>
      </c>
      <c r="BA15" s="183">
        <v>3645</v>
      </c>
      <c r="BB15" s="36">
        <v>-7.9545454545454586E-2</v>
      </c>
      <c r="BC15" s="183">
        <v>3243</v>
      </c>
      <c r="BD15" s="36">
        <v>-0.11028806584362139</v>
      </c>
      <c r="BE15" s="183">
        <v>3657</v>
      </c>
      <c r="BF15" s="178">
        <v>0.12765957446808507</v>
      </c>
      <c r="BG15" s="183">
        <v>4314</v>
      </c>
      <c r="BH15" s="178">
        <v>0.1796554552912224</v>
      </c>
      <c r="BI15" s="183">
        <v>4756</v>
      </c>
      <c r="BJ15" s="178">
        <v>0.10245711636532229</v>
      </c>
      <c r="BK15" s="183">
        <v>4923</v>
      </c>
      <c r="BL15" s="178">
        <v>3.5113540790580267E-2</v>
      </c>
      <c r="BM15" s="183">
        <v>5460</v>
      </c>
      <c r="BN15" s="178">
        <v>0.10907982937233385</v>
      </c>
      <c r="BO15" s="183">
        <v>5771</v>
      </c>
      <c r="BP15" s="178">
        <v>5.6959706959706979E-2</v>
      </c>
      <c r="BQ15" s="183">
        <v>5673</v>
      </c>
      <c r="BR15" s="178">
        <v>-1.6981459019234091E-2</v>
      </c>
      <c r="BS15" s="183">
        <v>5370</v>
      </c>
      <c r="BT15" s="178">
        <v>-5.3410893707033336E-2</v>
      </c>
      <c r="BU15" s="183">
        <v>5119</v>
      </c>
      <c r="BV15" s="178">
        <v>-4.6741154562383591E-2</v>
      </c>
      <c r="BW15" s="183">
        <v>5405</v>
      </c>
      <c r="BX15" s="178">
        <v>5.587028716546194E-2</v>
      </c>
      <c r="BY15" s="183">
        <v>5717</v>
      </c>
      <c r="BZ15" s="178">
        <v>5.7724329324699397E-2</v>
      </c>
      <c r="CA15" s="183">
        <v>5388</v>
      </c>
      <c r="CB15" s="178">
        <v>-5.7547664859191938E-2</v>
      </c>
      <c r="CC15" s="183">
        <v>5285</v>
      </c>
      <c r="CD15" s="186">
        <v>-1.9116555308092087E-2</v>
      </c>
      <c r="CE15" s="183">
        <v>5051</v>
      </c>
      <c r="CF15" s="186">
        <v>-4.4276253547776756E-2</v>
      </c>
      <c r="CG15" s="183">
        <v>4622</v>
      </c>
      <c r="CH15" s="186">
        <v>-8.493367649970307E-2</v>
      </c>
      <c r="CI15" s="183">
        <v>4380</v>
      </c>
      <c r="CJ15" s="186">
        <v>-5.235828645607965E-2</v>
      </c>
      <c r="CK15" s="183">
        <v>4094</v>
      </c>
      <c r="CL15" s="186">
        <v>-6.5296803652968083E-2</v>
      </c>
      <c r="CM15" s="183">
        <v>3999</v>
      </c>
      <c r="CN15" s="186">
        <v>-2.3204689789936506E-2</v>
      </c>
      <c r="CO15" s="183">
        <v>4053</v>
      </c>
      <c r="CP15" s="186">
        <v>1.3503375843960885E-2</v>
      </c>
      <c r="CQ15" s="183">
        <v>3755</v>
      </c>
      <c r="CR15" s="186">
        <v>-7.352578337034299E-2</v>
      </c>
      <c r="CS15" s="183">
        <v>3732</v>
      </c>
      <c r="CT15" s="36">
        <v>-6.1251664447403709E-3</v>
      </c>
      <c r="CU15" s="183">
        <v>4250</v>
      </c>
      <c r="CV15" s="36">
        <v>0.1387995712754555</v>
      </c>
      <c r="CW15" s="183">
        <v>4542</v>
      </c>
      <c r="CX15" s="36">
        <v>6.8705882352941172E-2</v>
      </c>
      <c r="CY15" s="183">
        <v>4679</v>
      </c>
      <c r="CZ15" s="36">
        <v>3.0162923822104837E-2</v>
      </c>
      <c r="DA15" s="183">
        <v>4600</v>
      </c>
      <c r="DB15" s="36">
        <v>-1.6883949561872225E-2</v>
      </c>
      <c r="DC15" s="183">
        <v>4675</v>
      </c>
      <c r="DD15" s="36">
        <v>1.6304347826086918E-2</v>
      </c>
      <c r="DE15" s="183">
        <v>4690</v>
      </c>
      <c r="DF15" s="36">
        <v>3.2085561497325887E-3</v>
      </c>
      <c r="DG15" s="183">
        <v>4759</v>
      </c>
      <c r="DH15" s="36">
        <v>1.4712153518123605E-2</v>
      </c>
      <c r="DI15" s="183">
        <v>4950</v>
      </c>
      <c r="DJ15" s="194">
        <v>4.0134482034040797E-2</v>
      </c>
      <c r="DK15" s="183">
        <v>5019.37</v>
      </c>
      <c r="DL15" s="194">
        <v>1.4014141414141479E-2</v>
      </c>
      <c r="DM15" s="183">
        <v>4879</v>
      </c>
      <c r="DN15" s="194">
        <v>-2.7965661029172972E-2</v>
      </c>
      <c r="DO15" s="183">
        <v>4313</v>
      </c>
      <c r="DP15" s="194">
        <v>-0.1160073785611806</v>
      </c>
      <c r="DQ15" s="183">
        <v>3764</v>
      </c>
      <c r="DR15" s="194">
        <v>-0.12728958961279857</v>
      </c>
      <c r="DS15" s="183">
        <v>4001</v>
      </c>
      <c r="DT15" s="194">
        <v>6.2964930924548357E-2</v>
      </c>
      <c r="DU15" s="183">
        <v>4041</v>
      </c>
      <c r="DV15" s="194">
        <v>9.9975006248438358E-3</v>
      </c>
      <c r="DW15" s="183">
        <v>3947</v>
      </c>
      <c r="DX15" s="194">
        <v>-2.3261568918584552E-2</v>
      </c>
      <c r="DY15" s="183">
        <v>4015</v>
      </c>
      <c r="DZ15" s="194">
        <v>1.7228274638966257E-2</v>
      </c>
      <c r="EA15" s="183">
        <v>3693</v>
      </c>
      <c r="EB15" s="194">
        <v>-8.0199252801992582E-2</v>
      </c>
      <c r="EC15" s="183">
        <v>3867</v>
      </c>
      <c r="ED15" s="194">
        <v>4.7116165718927627E-2</v>
      </c>
      <c r="EE15" s="183">
        <v>3801</v>
      </c>
      <c r="EF15" s="36">
        <v>-1.706749418153608E-2</v>
      </c>
    </row>
    <row r="16" spans="2:136" ht="14.4" x14ac:dyDescent="0.3">
      <c r="B16" t="s">
        <v>229</v>
      </c>
      <c r="C16" s="183">
        <v>5316</v>
      </c>
      <c r="D16" s="36">
        <v>0</v>
      </c>
      <c r="E16" s="183">
        <v>5279</v>
      </c>
      <c r="F16" s="36">
        <v>-6.9601203912715848E-3</v>
      </c>
      <c r="G16" s="183">
        <v>3709</v>
      </c>
      <c r="H16" s="36">
        <v>-0.29740481151733278</v>
      </c>
      <c r="I16" s="183">
        <v>4080</v>
      </c>
      <c r="J16" s="36">
        <v>0.10002696144513346</v>
      </c>
      <c r="K16" s="183">
        <v>4808</v>
      </c>
      <c r="L16" s="36">
        <v>0.17843137254901964</v>
      </c>
      <c r="M16" s="183">
        <v>4750</v>
      </c>
      <c r="N16" s="36">
        <v>-1.2063227953410971E-2</v>
      </c>
      <c r="O16" s="183">
        <v>4644</v>
      </c>
      <c r="P16" s="36">
        <v>-2.2315789473684178E-2</v>
      </c>
      <c r="Q16" s="183">
        <v>4584</v>
      </c>
      <c r="R16" s="36">
        <v>-1.2919896640826822E-2</v>
      </c>
      <c r="S16" s="183">
        <v>4262</v>
      </c>
      <c r="T16" s="36">
        <v>-7.024432809773129E-2</v>
      </c>
      <c r="U16" s="183">
        <v>3817</v>
      </c>
      <c r="V16" s="36">
        <v>-0.10441107461285781</v>
      </c>
      <c r="W16" s="183">
        <v>3383</v>
      </c>
      <c r="X16" s="36">
        <v>-0.11370186009955463</v>
      </c>
      <c r="Y16" s="183">
        <v>3273</v>
      </c>
      <c r="Z16" s="36">
        <v>-3.2515518770322216E-2</v>
      </c>
      <c r="AA16" s="183">
        <v>3613</v>
      </c>
      <c r="AB16" s="36">
        <v>0.10388023220287201</v>
      </c>
      <c r="AC16" s="183">
        <v>4056.3</v>
      </c>
      <c r="AD16" s="36">
        <v>0.12269582064766138</v>
      </c>
      <c r="AE16" s="183">
        <v>4012</v>
      </c>
      <c r="AF16" s="36">
        <v>-1.092128294258321E-2</v>
      </c>
      <c r="AG16" s="183">
        <v>4106</v>
      </c>
      <c r="AH16" s="36">
        <v>2.3429710867397757E-2</v>
      </c>
      <c r="AI16" s="183">
        <v>4265</v>
      </c>
      <c r="AJ16" s="36">
        <v>3.8723818801753573E-2</v>
      </c>
      <c r="AK16" s="183">
        <v>4278</v>
      </c>
      <c r="AL16" s="36">
        <v>3.04806565064486E-3</v>
      </c>
      <c r="AM16" s="183">
        <v>4053</v>
      </c>
      <c r="AN16" s="36">
        <v>-5.2594670406732158E-2</v>
      </c>
      <c r="AO16" s="183">
        <v>4134.0600000000004</v>
      </c>
      <c r="AP16" s="36">
        <v>2.0000000000000018E-2</v>
      </c>
      <c r="AQ16" s="183">
        <v>4258</v>
      </c>
      <c r="AR16" s="36">
        <v>2.998021315607402E-2</v>
      </c>
      <c r="AS16" s="183">
        <v>3965</v>
      </c>
      <c r="AT16" s="36">
        <v>-6.8811648661343372E-2</v>
      </c>
      <c r="AU16" s="183">
        <v>3864</v>
      </c>
      <c r="AV16" s="36">
        <v>-2.5472887767969743E-2</v>
      </c>
      <c r="AW16" s="183">
        <v>3497</v>
      </c>
      <c r="AX16" s="36">
        <v>-9.497929606625255E-2</v>
      </c>
      <c r="AY16" s="183">
        <v>4004</v>
      </c>
      <c r="AZ16" s="36">
        <v>0.14498141263940512</v>
      </c>
      <c r="BA16" s="183">
        <v>3818</v>
      </c>
      <c r="BB16" s="36">
        <v>-4.645354645354649E-2</v>
      </c>
      <c r="BC16" s="183">
        <v>3297</v>
      </c>
      <c r="BD16" s="36">
        <v>-0.13645887899423781</v>
      </c>
      <c r="BE16" s="183">
        <v>3710</v>
      </c>
      <c r="BF16" s="178">
        <v>0.12526539278131632</v>
      </c>
      <c r="BG16" s="183">
        <v>4269</v>
      </c>
      <c r="BH16" s="178">
        <v>0.1506738544474393</v>
      </c>
      <c r="BI16" s="183">
        <v>4581</v>
      </c>
      <c r="BJ16" s="178">
        <v>7.3085031623330909E-2</v>
      </c>
      <c r="BK16" s="183">
        <v>4833</v>
      </c>
      <c r="BL16" s="178">
        <v>5.5009823182711193E-2</v>
      </c>
      <c r="BM16" s="183">
        <v>5354</v>
      </c>
      <c r="BN16" s="178">
        <v>0.10780053796813571</v>
      </c>
      <c r="BO16" s="183">
        <v>5459</v>
      </c>
      <c r="BP16" s="178">
        <v>1.961150541651091E-2</v>
      </c>
      <c r="BQ16" s="183">
        <v>5331</v>
      </c>
      <c r="BR16" s="178">
        <v>-2.3447517860413991E-2</v>
      </c>
      <c r="BS16" s="183">
        <v>5019</v>
      </c>
      <c r="BT16" s="178">
        <v>-5.8525604952166521E-2</v>
      </c>
      <c r="BU16" s="183">
        <v>4865</v>
      </c>
      <c r="BV16" s="178">
        <v>-3.0683403068340276E-2</v>
      </c>
      <c r="BW16" s="183">
        <v>5112</v>
      </c>
      <c r="BX16" s="178">
        <v>5.0770811921891035E-2</v>
      </c>
      <c r="BY16" s="183">
        <v>5483</v>
      </c>
      <c r="BZ16" s="178">
        <v>7.2574334898278581E-2</v>
      </c>
      <c r="CA16" s="183">
        <v>5270</v>
      </c>
      <c r="CB16" s="178">
        <v>-3.8847346343242717E-2</v>
      </c>
      <c r="CC16" s="183">
        <v>5150</v>
      </c>
      <c r="CD16" s="186">
        <v>-2.2770398481973486E-2</v>
      </c>
      <c r="CE16" s="183">
        <v>4985</v>
      </c>
      <c r="CF16" s="186">
        <v>-3.2038834951456319E-2</v>
      </c>
      <c r="CG16" s="183">
        <v>4632</v>
      </c>
      <c r="CH16" s="186">
        <v>-7.0812437311935761E-2</v>
      </c>
      <c r="CI16" s="183">
        <v>4444</v>
      </c>
      <c r="CJ16" s="186">
        <v>-4.0587219343696024E-2</v>
      </c>
      <c r="CK16" s="183">
        <v>4067</v>
      </c>
      <c r="CL16" s="186">
        <v>-8.4833483348334848E-2</v>
      </c>
      <c r="CM16" s="183">
        <v>3960</v>
      </c>
      <c r="CN16" s="186">
        <v>-2.630931890828625E-2</v>
      </c>
      <c r="CO16" s="183">
        <v>4057</v>
      </c>
      <c r="CP16" s="186">
        <v>2.4494949494949569E-2</v>
      </c>
      <c r="CQ16" s="183">
        <v>3797</v>
      </c>
      <c r="CR16" s="186">
        <v>-6.4086763618437237E-2</v>
      </c>
      <c r="CS16" s="183">
        <v>3757</v>
      </c>
      <c r="CT16" s="36">
        <v>-1.0534632604687899E-2</v>
      </c>
      <c r="CU16" s="183">
        <v>4116</v>
      </c>
      <c r="CV16" s="36">
        <v>9.5554964067074755E-2</v>
      </c>
      <c r="CW16" s="183">
        <v>4422</v>
      </c>
      <c r="CX16" s="36">
        <v>7.4344023323615227E-2</v>
      </c>
      <c r="CY16" s="183">
        <v>4493</v>
      </c>
      <c r="CZ16" s="36">
        <v>1.6056083220262307E-2</v>
      </c>
      <c r="DA16" s="183">
        <v>4523</v>
      </c>
      <c r="DB16" s="36">
        <v>6.6770531938571409E-3</v>
      </c>
      <c r="DC16" s="183">
        <v>4688</v>
      </c>
      <c r="DD16" s="36">
        <v>3.6480212248507726E-2</v>
      </c>
      <c r="DE16" s="183">
        <v>4627</v>
      </c>
      <c r="DF16" s="36">
        <v>-1.3011945392491508E-2</v>
      </c>
      <c r="DG16" s="183">
        <v>4629</v>
      </c>
      <c r="DH16" s="36">
        <v>4.3224551545284484E-4</v>
      </c>
      <c r="DI16" s="183">
        <v>4753</v>
      </c>
      <c r="DJ16" s="194">
        <v>2.6787643119464244E-2</v>
      </c>
      <c r="DK16" s="183">
        <v>4916.6500000000005</v>
      </c>
      <c r="DL16" s="194">
        <v>3.4430885756364438E-2</v>
      </c>
      <c r="DM16" s="183">
        <v>4773</v>
      </c>
      <c r="DN16" s="194">
        <v>-2.9217048193383777E-2</v>
      </c>
      <c r="DO16" s="183">
        <v>4238</v>
      </c>
      <c r="DP16" s="194">
        <v>-0.11208883301906558</v>
      </c>
      <c r="DQ16" s="183">
        <v>3835</v>
      </c>
      <c r="DR16" s="194">
        <v>-9.5092024539877307E-2</v>
      </c>
      <c r="DS16" s="183">
        <v>4035</v>
      </c>
      <c r="DT16" s="194">
        <v>5.2151238591916504E-2</v>
      </c>
      <c r="DU16" s="183">
        <v>3996</v>
      </c>
      <c r="DV16" s="194">
        <v>-9.665427509293667E-3</v>
      </c>
      <c r="DW16" s="183">
        <v>3898</v>
      </c>
      <c r="DX16" s="194">
        <v>-2.4524524524524471E-2</v>
      </c>
      <c r="DY16" s="183">
        <v>3987</v>
      </c>
      <c r="DZ16" s="194">
        <v>2.2832221652129281E-2</v>
      </c>
      <c r="EA16" s="183">
        <v>3796</v>
      </c>
      <c r="EB16" s="194">
        <v>-4.7905693503887625E-2</v>
      </c>
      <c r="EC16" s="183">
        <v>3939</v>
      </c>
      <c r="ED16" s="194">
        <v>3.7671232876712368E-2</v>
      </c>
      <c r="EE16" s="183">
        <v>3865</v>
      </c>
      <c r="EF16" s="36">
        <v>-1.8786494034018775E-2</v>
      </c>
    </row>
    <row r="17" spans="2:136" ht="14.4" x14ac:dyDescent="0.3">
      <c r="B17" t="s">
        <v>175</v>
      </c>
      <c r="C17" s="183">
        <v>0</v>
      </c>
      <c r="D17" s="36">
        <v>0</v>
      </c>
      <c r="E17" s="183">
        <v>0</v>
      </c>
      <c r="F17" s="36">
        <v>0</v>
      </c>
      <c r="G17" s="183">
        <v>0</v>
      </c>
      <c r="H17" s="36">
        <v>0</v>
      </c>
      <c r="I17" s="183">
        <v>0</v>
      </c>
      <c r="J17" s="36">
        <v>0</v>
      </c>
      <c r="K17" s="183">
        <v>0</v>
      </c>
      <c r="L17" s="36">
        <v>0</v>
      </c>
      <c r="M17" s="183">
        <v>0</v>
      </c>
      <c r="N17" s="36">
        <v>0</v>
      </c>
      <c r="O17" s="183">
        <v>0</v>
      </c>
      <c r="P17" s="36">
        <v>0</v>
      </c>
      <c r="Q17" s="183">
        <v>0</v>
      </c>
      <c r="R17" s="36">
        <v>0</v>
      </c>
      <c r="S17" s="183">
        <v>0</v>
      </c>
      <c r="T17" s="36">
        <v>0</v>
      </c>
      <c r="U17" s="183">
        <v>0</v>
      </c>
      <c r="V17" s="36">
        <v>0</v>
      </c>
      <c r="W17" s="183">
        <v>0</v>
      </c>
      <c r="X17" s="36">
        <v>0</v>
      </c>
      <c r="Y17" s="183">
        <v>0</v>
      </c>
      <c r="Z17" s="36">
        <v>0</v>
      </c>
      <c r="AA17" s="183">
        <v>0</v>
      </c>
      <c r="AB17" s="36">
        <v>0</v>
      </c>
      <c r="AC17" s="183">
        <v>0</v>
      </c>
      <c r="AD17" s="36">
        <v>0</v>
      </c>
      <c r="AE17" s="183">
        <v>0</v>
      </c>
      <c r="AF17" s="36">
        <v>0</v>
      </c>
      <c r="AG17" s="183">
        <v>0</v>
      </c>
      <c r="AH17" s="36">
        <v>0</v>
      </c>
      <c r="AI17" s="183">
        <v>0</v>
      </c>
      <c r="AJ17" s="36">
        <v>0</v>
      </c>
      <c r="AK17" s="183">
        <v>0</v>
      </c>
      <c r="AL17" s="36">
        <v>0</v>
      </c>
      <c r="AM17" s="183">
        <v>0</v>
      </c>
      <c r="AN17" s="36">
        <v>0</v>
      </c>
      <c r="AO17" s="183">
        <v>442</v>
      </c>
      <c r="AP17" s="36">
        <v>0</v>
      </c>
      <c r="AQ17" s="183">
        <v>467</v>
      </c>
      <c r="AR17" s="36">
        <v>5.65610859728507E-2</v>
      </c>
      <c r="AS17" s="183">
        <v>455</v>
      </c>
      <c r="AT17" s="36">
        <v>-2.5695931477516032E-2</v>
      </c>
      <c r="AU17" s="183">
        <v>0</v>
      </c>
      <c r="AV17" s="36">
        <v>-1</v>
      </c>
      <c r="AW17" s="183">
        <v>458</v>
      </c>
      <c r="AX17" s="36">
        <v>0</v>
      </c>
      <c r="AY17" s="183">
        <v>518</v>
      </c>
      <c r="AZ17" s="36">
        <v>0.13100436681222716</v>
      </c>
      <c r="BA17" s="183">
        <v>542</v>
      </c>
      <c r="BB17" s="36">
        <v>4.6332046332046239E-2</v>
      </c>
      <c r="BC17" s="183">
        <v>494</v>
      </c>
      <c r="BD17" s="36">
        <v>-8.856088560885611E-2</v>
      </c>
      <c r="BE17" s="183">
        <v>501</v>
      </c>
      <c r="BF17" s="178">
        <v>1.4170040485830038E-2</v>
      </c>
      <c r="BG17" s="183">
        <v>605</v>
      </c>
      <c r="BH17" s="178">
        <v>0.20758483033932129</v>
      </c>
      <c r="BI17" s="183">
        <v>664</v>
      </c>
      <c r="BJ17" s="178">
        <v>9.7520661157024735E-2</v>
      </c>
      <c r="BK17" s="183">
        <v>703</v>
      </c>
      <c r="BL17" s="178">
        <v>5.8734939759036209E-2</v>
      </c>
      <c r="BM17" s="183">
        <v>752</v>
      </c>
      <c r="BN17" s="178">
        <v>6.970128022759603E-2</v>
      </c>
      <c r="BO17" s="183">
        <v>772</v>
      </c>
      <c r="BP17" s="178">
        <v>2.659574468085113E-2</v>
      </c>
      <c r="BQ17" s="183">
        <v>739</v>
      </c>
      <c r="BR17" s="178">
        <v>-4.2746113989637347E-2</v>
      </c>
      <c r="BS17" s="183">
        <v>691</v>
      </c>
      <c r="BT17" s="178">
        <v>-6.4952638700947252E-2</v>
      </c>
      <c r="BU17" s="183">
        <v>686</v>
      </c>
      <c r="BV17" s="178">
        <v>-7.2358900144717797E-3</v>
      </c>
      <c r="BW17" s="183">
        <v>737</v>
      </c>
      <c r="BX17" s="178">
        <v>7.4344023323615227E-2</v>
      </c>
      <c r="BY17" s="183">
        <v>755</v>
      </c>
      <c r="BZ17" s="178">
        <v>2.4423337856173788E-2</v>
      </c>
      <c r="CA17" s="183">
        <v>697</v>
      </c>
      <c r="CB17" s="178">
        <v>-7.6821192052980103E-2</v>
      </c>
      <c r="CC17" s="183">
        <v>686</v>
      </c>
      <c r="CD17" s="186">
        <v>-1.5781922525107572E-2</v>
      </c>
      <c r="CE17" s="183">
        <v>639</v>
      </c>
      <c r="CF17" s="186">
        <v>-6.8513119533527678E-2</v>
      </c>
      <c r="CG17" s="183">
        <v>580</v>
      </c>
      <c r="CH17" s="186">
        <v>-9.2331768388106417E-2</v>
      </c>
      <c r="CI17" s="183">
        <v>536</v>
      </c>
      <c r="CJ17" s="186">
        <v>-7.5862068965517282E-2</v>
      </c>
      <c r="CK17" s="183">
        <v>484</v>
      </c>
      <c r="CL17" s="186">
        <v>-9.7014925373134275E-2</v>
      </c>
      <c r="CM17" s="183">
        <v>455</v>
      </c>
      <c r="CN17" s="186">
        <v>-5.9917355371900793E-2</v>
      </c>
      <c r="CO17" s="183">
        <v>458</v>
      </c>
      <c r="CP17" s="186">
        <v>6.59340659340657E-3</v>
      </c>
      <c r="CQ17" s="183">
        <v>431</v>
      </c>
      <c r="CR17" s="186">
        <v>-5.8951965065502154E-2</v>
      </c>
      <c r="CS17" s="183">
        <v>455</v>
      </c>
      <c r="CT17" s="36">
        <v>5.5684454756380619E-2</v>
      </c>
      <c r="CU17" s="183">
        <v>501</v>
      </c>
      <c r="CV17" s="36">
        <v>0.10109890109890118</v>
      </c>
      <c r="CW17" s="183">
        <v>586</v>
      </c>
      <c r="CX17" s="36">
        <v>0.16966067864271461</v>
      </c>
      <c r="CY17" s="183">
        <v>566</v>
      </c>
      <c r="CZ17" s="36">
        <v>-3.4129692832764458E-2</v>
      </c>
      <c r="DA17" s="183">
        <v>599</v>
      </c>
      <c r="DB17" s="36">
        <v>5.8303886925795023E-2</v>
      </c>
      <c r="DC17" s="183">
        <v>605</v>
      </c>
      <c r="DD17" s="36">
        <v>1.001669449081799E-2</v>
      </c>
      <c r="DE17" s="183">
        <v>575</v>
      </c>
      <c r="DF17" s="36">
        <v>-4.9586776859504078E-2</v>
      </c>
      <c r="DG17" s="183">
        <v>585</v>
      </c>
      <c r="DH17" s="36">
        <v>1.7391304347825987E-2</v>
      </c>
      <c r="DI17" s="183">
        <v>614</v>
      </c>
      <c r="DJ17" s="194">
        <v>4.9572649572649619E-2</v>
      </c>
      <c r="DK17" s="183">
        <v>636.65000000000009</v>
      </c>
      <c r="DL17" s="194">
        <v>3.6889250814332364E-2</v>
      </c>
      <c r="DM17" s="183">
        <v>683</v>
      </c>
      <c r="DN17" s="194">
        <v>7.2802952956883438E-2</v>
      </c>
      <c r="DO17" s="183">
        <v>583</v>
      </c>
      <c r="DP17" s="194">
        <v>-0.14641288433382138</v>
      </c>
      <c r="DQ17" s="183">
        <v>538</v>
      </c>
      <c r="DR17" s="194">
        <v>-7.7186963979416823E-2</v>
      </c>
      <c r="DS17" s="183">
        <v>566</v>
      </c>
      <c r="DT17" s="194">
        <v>5.2044609665427455E-2</v>
      </c>
      <c r="DU17" s="183">
        <v>593</v>
      </c>
      <c r="DV17" s="194">
        <v>4.7703180212014029E-2</v>
      </c>
      <c r="DW17" s="183">
        <v>562</v>
      </c>
      <c r="DX17" s="194">
        <v>-5.227655986509272E-2</v>
      </c>
      <c r="DY17" s="183">
        <v>534</v>
      </c>
      <c r="DZ17" s="194">
        <v>-4.9822064056939452E-2</v>
      </c>
      <c r="EA17" s="183">
        <v>491</v>
      </c>
      <c r="EB17" s="194">
        <v>-8.0524344569288364E-2</v>
      </c>
      <c r="EC17" s="183">
        <v>518</v>
      </c>
      <c r="ED17" s="194">
        <v>5.4989816700611094E-2</v>
      </c>
      <c r="EE17" s="183">
        <v>522</v>
      </c>
      <c r="EF17" s="36">
        <v>7.7220077220077066E-3</v>
      </c>
    </row>
    <row r="18" spans="2:136" ht="14.4" x14ac:dyDescent="0.3">
      <c r="B18" s="188" t="s">
        <v>237</v>
      </c>
      <c r="C18" s="189">
        <f t="shared" ref="C18:AU18" si="0">SUM(C6:C17)</f>
        <v>51138</v>
      </c>
      <c r="D18" s="190" t="e">
        <f t="shared" ref="D18" si="1">SUM(C6:C17)/SUM(A6:A17)-1</f>
        <v>#DIV/0!</v>
      </c>
      <c r="E18" s="189">
        <f t="shared" si="0"/>
        <v>49623</v>
      </c>
      <c r="F18" s="190">
        <f t="shared" ref="F18" si="2">SUM(E6:E17)/SUM(C6:C17)-1</f>
        <v>-2.9625718643670029E-2</v>
      </c>
      <c r="G18" s="189">
        <f t="shared" si="0"/>
        <v>35935</v>
      </c>
      <c r="H18" s="190">
        <f t="shared" ref="H18" si="3">SUM(G6:G17)/SUM(E6:E17)-1</f>
        <v>-0.275839832335812</v>
      </c>
      <c r="I18" s="189">
        <f t="shared" si="0"/>
        <v>40051</v>
      </c>
      <c r="J18" s="190">
        <f t="shared" ref="J18" si="4">SUM(I6:I17)/SUM(G6:G17)-1</f>
        <v>0.11454014192291639</v>
      </c>
      <c r="K18" s="189">
        <f t="shared" si="0"/>
        <v>45138</v>
      </c>
      <c r="L18" s="190">
        <f t="shared" ref="L18" si="5">SUM(K6:K17)/SUM(I6:I17)-1</f>
        <v>0.12701305835060306</v>
      </c>
      <c r="M18" s="189">
        <f t="shared" si="0"/>
        <v>44816</v>
      </c>
      <c r="N18" s="190">
        <f t="shared" ref="N18" si="6">SUM(M6:M17)/SUM(K6:K17)-1</f>
        <v>-7.1336789401391654E-3</v>
      </c>
      <c r="O18" s="189">
        <f t="shared" si="0"/>
        <v>43874</v>
      </c>
      <c r="P18" s="190">
        <f t="shared" ref="P18" si="7">SUM(O6:O17)/SUM(M6:M17)-1</f>
        <v>-2.1019278828989685E-2</v>
      </c>
      <c r="Q18" s="189">
        <f t="shared" si="0"/>
        <v>42617</v>
      </c>
      <c r="R18" s="190">
        <f t="shared" ref="R18" si="8">SUM(Q6:Q17)/SUM(O6:O17)-1</f>
        <v>-2.8650225646168592E-2</v>
      </c>
      <c r="S18" s="189">
        <f t="shared" si="0"/>
        <v>40044</v>
      </c>
      <c r="T18" s="190">
        <f t="shared" ref="T18" si="9">SUM(S6:S17)/SUM(Q6:Q17)-1</f>
        <v>-6.0374967735880025E-2</v>
      </c>
      <c r="U18" s="189">
        <f t="shared" si="0"/>
        <v>36531</v>
      </c>
      <c r="V18" s="190">
        <f t="shared" ref="V18" si="10">SUM(U6:U17)/SUM(S6:S17)-1</f>
        <v>-8.7728498651483355E-2</v>
      </c>
      <c r="W18" s="189">
        <f t="shared" si="0"/>
        <v>33045</v>
      </c>
      <c r="X18" s="190">
        <f t="shared" ref="X18" si="11">SUM(W6:W17)/SUM(U6:U17)-1</f>
        <v>-9.5425802742875931E-2</v>
      </c>
      <c r="Y18" s="189">
        <f t="shared" si="0"/>
        <v>33696</v>
      </c>
      <c r="Z18" s="190">
        <f t="shared" ref="Z18" si="12">SUM(Y6:Y17)/SUM(W6:W17)-1</f>
        <v>1.9700408533817493E-2</v>
      </c>
      <c r="AA18" s="189">
        <f t="shared" si="0"/>
        <v>36928</v>
      </c>
      <c r="AB18" s="190">
        <f t="shared" ref="AB18" si="13">SUM(AA6:AA17)/SUM(Y6:Y17)-1</f>
        <v>9.5916429249762514E-2</v>
      </c>
      <c r="AC18" s="189">
        <f t="shared" si="0"/>
        <v>40098.840000000004</v>
      </c>
      <c r="AD18" s="190">
        <f t="shared" ref="AD18" si="14">SUM(AC6:AC17)/SUM(AA6:AA17)-1</f>
        <v>8.5865467937608519E-2</v>
      </c>
      <c r="AE18" s="189">
        <f t="shared" si="0"/>
        <v>39674</v>
      </c>
      <c r="AF18" s="190">
        <f t="shared" ref="AF18" si="15">SUM(AE6:AE17)/SUM(AC6:AC17)-1</f>
        <v>-1.0594820199287702E-2</v>
      </c>
      <c r="AG18" s="189">
        <f t="shared" si="0"/>
        <v>39139</v>
      </c>
      <c r="AH18" s="190">
        <f t="shared" ref="AH18" si="16">SUM(AG6:AG17)/SUM(AE6:AE17)-1</f>
        <v>-1.3484901950899797E-2</v>
      </c>
      <c r="AI18" s="189">
        <f t="shared" si="0"/>
        <v>39250</v>
      </c>
      <c r="AJ18" s="190">
        <f t="shared" ref="AJ18" si="17">SUM(AI6:AI17)/SUM(AG6:AG17)-1</f>
        <v>2.8360458877334516E-3</v>
      </c>
      <c r="AK18" s="189">
        <f t="shared" si="0"/>
        <v>38946</v>
      </c>
      <c r="AL18" s="190">
        <f t="shared" ref="AL18" si="18">SUM(AK6:AK17)/SUM(AI6:AI17)-1</f>
        <v>-7.7452229299362907E-3</v>
      </c>
      <c r="AM18" s="189">
        <f t="shared" si="0"/>
        <v>37677</v>
      </c>
      <c r="AN18" s="190">
        <f t="shared" ref="AN18" si="19">SUM(AM6:AM17)/SUM(AK6:AK17)-1</f>
        <v>-3.2583577260822727E-2</v>
      </c>
      <c r="AO18" s="189">
        <f t="shared" si="0"/>
        <v>39371.869999999995</v>
      </c>
      <c r="AP18" s="190">
        <f t="shared" ref="AP18" si="20">SUM(AO6:AO17)/SUM(AM6:AM17)-1</f>
        <v>4.4984207872176496E-2</v>
      </c>
      <c r="AQ18" s="189">
        <f t="shared" si="0"/>
        <v>40320</v>
      </c>
      <c r="AR18" s="190">
        <f t="shared" ref="AR18" si="21">SUM(AQ6:AQ17)/SUM(AO6:AO17)-1</f>
        <v>2.4081406344174328E-2</v>
      </c>
      <c r="AS18" s="189">
        <f t="shared" si="0"/>
        <v>38654</v>
      </c>
      <c r="AT18" s="190">
        <f t="shared" ref="AT18" si="22">SUM(AS6:AS17)/SUM(AQ6:AQ17)-1</f>
        <v>-4.1319444444444464E-2</v>
      </c>
      <c r="AU18" s="189">
        <f t="shared" si="0"/>
        <v>36939</v>
      </c>
      <c r="AV18" s="190">
        <f t="shared" ref="AV18" si="23">SUM(AU6:AU17)/SUM(AS6:AS17)-1</f>
        <v>-4.4367982614994528E-2</v>
      </c>
      <c r="AW18" s="189">
        <f t="shared" ref="AW18:BE18" si="24">SUM(AW6:AW17)</f>
        <v>34055</v>
      </c>
      <c r="AX18" s="190">
        <f t="shared" ref="AX18" si="25">SUM(AW6:AW17)/SUM(AU6:AU17)-1</f>
        <v>-7.8074663634640884E-2</v>
      </c>
      <c r="AY18" s="189">
        <f t="shared" si="24"/>
        <v>37351</v>
      </c>
      <c r="AZ18" s="190">
        <f t="shared" ref="AZ18" si="26">SUM(AY6:AY17)/SUM(AW6:AW17)-1</f>
        <v>9.6784613125825869E-2</v>
      </c>
      <c r="BA18" s="189">
        <f t="shared" si="24"/>
        <v>35749</v>
      </c>
      <c r="BB18" s="190">
        <f t="shared" ref="BB18" si="27">SUM(BA6:BA17)/SUM(AY6:AY17)-1</f>
        <v>-4.2890417927230917E-2</v>
      </c>
      <c r="BC18" s="189">
        <f t="shared" si="24"/>
        <v>32227</v>
      </c>
      <c r="BD18" s="190">
        <f t="shared" ref="BD18" si="28">SUM(BC6:BC17)/SUM(BA6:BA17)-1</f>
        <v>-9.8520238328344889E-2</v>
      </c>
      <c r="BE18" s="189">
        <f t="shared" si="24"/>
        <v>35606</v>
      </c>
      <c r="BF18" s="190">
        <f t="shared" ref="BF18" si="29">SUM(BE6:BE17)/SUM(BC6:BC17)-1</f>
        <v>0.10484997052161238</v>
      </c>
      <c r="BG18" s="189">
        <f t="shared" ref="BG18:BS18" si="30">SUM(BG6:BG17)</f>
        <v>40367</v>
      </c>
      <c r="BH18" s="190">
        <f t="shared" ref="BH18" si="31">SUM(BG6:BG17)/SUM(BE6:BE17)-1</f>
        <v>0.13371341908667089</v>
      </c>
      <c r="BI18" s="189">
        <f t="shared" si="30"/>
        <v>43364</v>
      </c>
      <c r="BJ18" s="190">
        <f t="shared" ref="BJ18" si="32">SUM(BI6:BI17)/SUM(BG6:BG17)-1</f>
        <v>7.4243813015582028E-2</v>
      </c>
      <c r="BK18" s="189">
        <f t="shared" si="30"/>
        <v>44486</v>
      </c>
      <c r="BL18" s="190">
        <f t="shared" ref="BL18" si="33">SUM(BK6:BK17)/SUM(BI6:BI17)-1</f>
        <v>2.587399686375802E-2</v>
      </c>
      <c r="BM18" s="189">
        <f t="shared" si="30"/>
        <v>49091</v>
      </c>
      <c r="BN18" s="190">
        <f t="shared" ref="BN18" si="34">SUM(BM6:BM17)/SUM(BK6:BK17)-1</f>
        <v>0.10351571280852401</v>
      </c>
      <c r="BO18" s="189">
        <f t="shared" si="30"/>
        <v>50851</v>
      </c>
      <c r="BP18" s="190">
        <f t="shared" ref="BP18" si="35">SUM(BO6:BO17)/SUM(BM6:BM17)-1</f>
        <v>3.5851785459656504E-2</v>
      </c>
      <c r="BQ18" s="189">
        <f t="shared" si="30"/>
        <v>50186</v>
      </c>
      <c r="BR18" s="190">
        <f t="shared" ref="BR18" si="36">SUM(BQ6:BQ17)/SUM(BO6:BO17)-1</f>
        <v>-1.3077422272914974E-2</v>
      </c>
      <c r="BS18" s="189">
        <f t="shared" si="30"/>
        <v>48354</v>
      </c>
      <c r="BT18" s="190">
        <f t="shared" ref="BT18" si="37">SUM(BS6:BS17)/SUM(BQ6:BQ17)-1</f>
        <v>-3.6504204359781633E-2</v>
      </c>
      <c r="BU18" s="189">
        <f t="shared" ref="BU18" si="38">SUM(BU6:BU17)</f>
        <v>46290</v>
      </c>
      <c r="BV18" s="190">
        <f t="shared" ref="BV18" si="39">SUM(BU6:BU17)/SUM(BS6:BS17)-1</f>
        <v>-4.2685196674525416E-2</v>
      </c>
      <c r="BW18" s="189">
        <f t="shared" ref="BW18" si="40">SUM(BW6:BW17)</f>
        <v>48705</v>
      </c>
      <c r="BX18" s="190">
        <f t="shared" ref="BX18" si="41">SUM(BW6:BW17)/SUM(BU6:BU17)-1</f>
        <v>5.2171095268956469E-2</v>
      </c>
      <c r="BY18" s="189">
        <f t="shared" ref="BY18" si="42">SUM(BY6:BY17)</f>
        <v>51354</v>
      </c>
      <c r="BZ18" s="190">
        <f t="shared" ref="BZ18" si="43">SUM(BY6:BY17)/SUM(BW6:BW17)-1</f>
        <v>5.4388666461348878E-2</v>
      </c>
      <c r="CA18" s="189">
        <f t="shared" ref="CA18" si="44">SUM(CA6:CA17)</f>
        <v>48817</v>
      </c>
      <c r="CB18" s="190">
        <f t="shared" ref="CB18" si="45">SUM(CA6:CA17)/SUM(BY6:BY17)-1</f>
        <v>-4.940218872921287E-2</v>
      </c>
      <c r="CC18" s="189">
        <f>SUM(CC6:CC17)</f>
        <v>47660</v>
      </c>
      <c r="CD18" s="190">
        <f>SUM(CC6:CC17)/SUM(CA6:CA17)-1</f>
        <v>-2.3700759981154063E-2</v>
      </c>
      <c r="CE18" s="189">
        <f>SUM(CE6:CE17)</f>
        <v>46252</v>
      </c>
      <c r="CF18" s="190">
        <f>SUM(CE6:CE17)/SUM(CC6:CC17)-1</f>
        <v>-2.9542593369702108E-2</v>
      </c>
      <c r="CG18" s="189">
        <f>SUM(CG6:CG17)</f>
        <v>43280</v>
      </c>
      <c r="CH18" s="190">
        <f>SUM(CG6:CG17)/SUM(CE6:CE17)-1</f>
        <v>-6.4256680792181942E-2</v>
      </c>
      <c r="CI18" s="189">
        <f>SUM(CI6:CI17)</f>
        <v>41050</v>
      </c>
      <c r="CJ18" s="190">
        <f>SUM(CI6:CI17)/SUM(CG6:CG17)-1</f>
        <v>-5.1524953789279127E-2</v>
      </c>
      <c r="CK18" s="189">
        <f>SUM(CK6:CK17)</f>
        <v>38632</v>
      </c>
      <c r="CL18" s="190">
        <f>SUM(CK6:CK17)/SUM(CI6:CI17)-1</f>
        <v>-5.8903775883069387E-2</v>
      </c>
      <c r="CM18" s="189">
        <f>SUM(CM6:CM17)</f>
        <v>37552</v>
      </c>
      <c r="CN18" s="190">
        <f>SUM(CM6:CM17)/SUM(CK6:CK17)-1</f>
        <v>-2.7956098571132793E-2</v>
      </c>
      <c r="CO18" s="189">
        <f>SUM(CO6:CO17)</f>
        <v>37865</v>
      </c>
      <c r="CP18" s="190">
        <f>SUM(CO6:CO17)/SUM(CM6:CM17)-1</f>
        <v>8.3351086493395066E-3</v>
      </c>
      <c r="CQ18" s="189">
        <f>SUM(CQ6:CQ17)</f>
        <v>34799</v>
      </c>
      <c r="CR18" s="190">
        <f>SUM(CQ6:CQ17)/SUM(CO6:CO17)-1</f>
        <v>-8.0971873762049396E-2</v>
      </c>
      <c r="CS18" s="189">
        <f>SUM(CS6:CS17)</f>
        <v>34722</v>
      </c>
      <c r="CT18" s="190">
        <f>SUM(CS6:CS17)/SUM(CQ6:CQ17)-1</f>
        <v>-2.212707261702973E-3</v>
      </c>
      <c r="CU18" s="189">
        <f>SUM(CU6:CU17)</f>
        <v>38847</v>
      </c>
      <c r="CV18" s="190">
        <f>SUM(CU6:CU17)/SUM(CS6:CS17)-1</f>
        <v>0.11880076032486597</v>
      </c>
      <c r="CW18" s="189">
        <f>SUM(CW6:CW17)</f>
        <v>40695</v>
      </c>
      <c r="CX18" s="190">
        <f>SUM(CW6:CW17)/SUM(CU6:CU17)-1</f>
        <v>4.7571241022472677E-2</v>
      </c>
      <c r="CY18" s="189">
        <f>SUM(CY6:CY17)</f>
        <v>41463</v>
      </c>
      <c r="CZ18" s="190">
        <f>SUM(CY6:CY17)/SUM(CW6:CW17)-1</f>
        <v>1.8872097309251767E-2</v>
      </c>
      <c r="DA18" s="189">
        <f>SUM(DA6:DA17)</f>
        <v>41191</v>
      </c>
      <c r="DB18" s="190">
        <f>SUM(DA6:DA17)/SUM(CY6:CY17)-1</f>
        <v>-6.5600656006560287E-3</v>
      </c>
      <c r="DC18" s="189">
        <f>SUM(DC6:DC17)</f>
        <v>42751</v>
      </c>
      <c r="DD18" s="190">
        <f>SUM(DC6:DC17)/SUM(DA6:DA17)-1</f>
        <v>3.7872350756233075E-2</v>
      </c>
      <c r="DE18" s="189">
        <f>SUM(DE6:DE17)</f>
        <v>43920</v>
      </c>
      <c r="DF18" s="190">
        <f>SUM(DE6:DE17)/SUM(DC6:DC17)-1</f>
        <v>2.7344389604921471E-2</v>
      </c>
      <c r="DG18" s="189">
        <f>SUM(DG6:DG17)</f>
        <v>44771</v>
      </c>
      <c r="DH18" s="190">
        <f>SUM(DG6:DG17)/SUM(DE6:DE17)-1</f>
        <v>1.9376138433515377E-2</v>
      </c>
      <c r="DI18" s="189">
        <f>SUM(DI6:DI17)</f>
        <v>45297</v>
      </c>
      <c r="DJ18" s="190">
        <f>SUM(DI6:DI17)/SUM(DG6:DG17)-1</f>
        <v>1.1748676598691166E-2</v>
      </c>
      <c r="DK18" s="189">
        <f>SUM(DK6:DK17)</f>
        <v>46503.270000000004</v>
      </c>
      <c r="DL18" s="190">
        <f>SUM(DK6:DK17)/SUM(DI6:DI17)-1</f>
        <v>2.6630240413272555E-2</v>
      </c>
      <c r="DM18" s="198">
        <f>SUM(DM6:DM17)</f>
        <v>45781</v>
      </c>
      <c r="DN18" s="190">
        <f t="shared" ref="DN18" si="46">SUM(DM6:DM17)/SUM(DK6:DK17)-1</f>
        <v>-1.5531595950134314E-2</v>
      </c>
      <c r="DO18" s="183">
        <f>SUM(DO6:DO17)</f>
        <v>40105</v>
      </c>
      <c r="DQ18" s="183">
        <f>SUM(DQ6:DQ17)</f>
        <v>35988</v>
      </c>
      <c r="DS18" s="183">
        <f>SUM(DS6:DS17)</f>
        <v>37022</v>
      </c>
      <c r="DT18" s="13">
        <f>DS18/DQ18-1</f>
        <v>2.8731799488718401E-2</v>
      </c>
      <c r="DU18" s="183">
        <f>SUM(DU6:DU17)</f>
        <v>37437</v>
      </c>
      <c r="DW18" s="183">
        <f>SUM(DW6:DW17)</f>
        <v>36697</v>
      </c>
      <c r="DX18" s="13">
        <f>DW18/DU18-1</f>
        <v>-1.9766541122419046E-2</v>
      </c>
    </row>
    <row r="19" spans="2:136" ht="14.4" x14ac:dyDescent="0.3">
      <c r="B19" s="3"/>
      <c r="F19"/>
      <c r="H19"/>
      <c r="J19"/>
      <c r="L19"/>
      <c r="N19"/>
      <c r="P19"/>
      <c r="R19"/>
      <c r="T19"/>
      <c r="V19"/>
      <c r="X19"/>
      <c r="Z19"/>
      <c r="AB19"/>
      <c r="AD19"/>
      <c r="AF19"/>
      <c r="AH19"/>
      <c r="AJ19"/>
      <c r="AL19"/>
      <c r="AN19"/>
      <c r="AP19"/>
      <c r="AR19"/>
      <c r="AT19"/>
      <c r="AV19"/>
      <c r="BU19" s="187"/>
      <c r="BV19" s="187"/>
      <c r="BW19" s="187"/>
      <c r="BX19" s="187"/>
      <c r="BY19" s="187"/>
      <c r="BZ19" s="187"/>
      <c r="CA19" s="187"/>
      <c r="CB19" s="187"/>
      <c r="CC19" s="187"/>
      <c r="CF19" s="13"/>
    </row>
    <row r="20" spans="2:136" ht="14.55" customHeight="1" x14ac:dyDescent="0.3">
      <c r="B20" s="177" t="s">
        <v>234</v>
      </c>
      <c r="DO20" s="195"/>
    </row>
    <row r="22" spans="2:136" ht="14.55" customHeight="1" x14ac:dyDescent="0.3">
      <c r="C22" s="172" t="s">
        <v>206</v>
      </c>
      <c r="D22" s="172" t="s">
        <v>188</v>
      </c>
      <c r="E22" s="172" t="s">
        <v>205</v>
      </c>
      <c r="F22"/>
      <c r="H22"/>
      <c r="J22"/>
      <c r="L22"/>
      <c r="N22"/>
      <c r="P22"/>
      <c r="R22"/>
      <c r="T22"/>
      <c r="V22"/>
      <c r="X22"/>
      <c r="Z22"/>
      <c r="AB22"/>
      <c r="AD22"/>
      <c r="AF22"/>
      <c r="AH22"/>
      <c r="AJ22"/>
      <c r="AL22"/>
      <c r="AN22"/>
      <c r="AP22"/>
      <c r="AR22"/>
      <c r="AT22"/>
      <c r="AV22"/>
    </row>
    <row r="23" spans="2:136" ht="14.55" customHeight="1" x14ac:dyDescent="0.3">
      <c r="C23" t="s">
        <v>232</v>
      </c>
      <c r="F23"/>
      <c r="H23"/>
      <c r="J23"/>
      <c r="L23"/>
      <c r="N23"/>
      <c r="P23"/>
      <c r="R23"/>
      <c r="T23"/>
      <c r="V23"/>
      <c r="X23"/>
      <c r="Y23" t="s">
        <v>233</v>
      </c>
      <c r="Z23"/>
      <c r="AB23"/>
      <c r="AD23"/>
      <c r="AF23"/>
      <c r="AH23"/>
      <c r="AJ23"/>
      <c r="AL23"/>
      <c r="AN23"/>
      <c r="AP23"/>
      <c r="AR23"/>
      <c r="AT23"/>
      <c r="AV23"/>
      <c r="AW23" t="s">
        <v>191</v>
      </c>
      <c r="BU23" t="s">
        <v>192</v>
      </c>
      <c r="CS23" t="s">
        <v>242</v>
      </c>
      <c r="DQ23" t="s">
        <v>247</v>
      </c>
    </row>
    <row r="24" spans="2:136" ht="14.55" customHeight="1" x14ac:dyDescent="0.3">
      <c r="C24" s="164" t="s">
        <v>194</v>
      </c>
      <c r="E24" s="164" t="s">
        <v>195</v>
      </c>
      <c r="F24"/>
      <c r="G24" s="164" t="s">
        <v>196</v>
      </c>
      <c r="H24"/>
      <c r="I24" s="164" t="s">
        <v>3</v>
      </c>
      <c r="J24"/>
      <c r="K24" s="164" t="s">
        <v>197</v>
      </c>
      <c r="L24"/>
      <c r="M24" s="164" t="s">
        <v>198</v>
      </c>
      <c r="N24"/>
      <c r="O24" s="164" t="s">
        <v>199</v>
      </c>
      <c r="P24"/>
      <c r="Q24" s="164" t="s">
        <v>200</v>
      </c>
      <c r="R24"/>
      <c r="S24" s="164" t="s">
        <v>201</v>
      </c>
      <c r="T24"/>
      <c r="U24" s="164" t="s">
        <v>202</v>
      </c>
      <c r="V24"/>
      <c r="W24" s="164" t="s">
        <v>203</v>
      </c>
      <c r="X24"/>
      <c r="Y24" s="164" t="s">
        <v>193</v>
      </c>
      <c r="Z24"/>
      <c r="AA24" s="164" t="s">
        <v>194</v>
      </c>
      <c r="AB24"/>
      <c r="AC24" s="164" t="s">
        <v>195</v>
      </c>
      <c r="AD24"/>
      <c r="AE24" s="164" t="s">
        <v>196</v>
      </c>
      <c r="AF24"/>
      <c r="AG24" s="164" t="s">
        <v>3</v>
      </c>
      <c r="AH24"/>
      <c r="AI24" s="164" t="s">
        <v>197</v>
      </c>
      <c r="AJ24"/>
      <c r="AK24" s="164" t="s">
        <v>198</v>
      </c>
      <c r="AL24"/>
      <c r="AM24" s="164" t="s">
        <v>199</v>
      </c>
      <c r="AN24"/>
      <c r="AO24" s="164" t="s">
        <v>200</v>
      </c>
      <c r="AP24"/>
      <c r="AQ24" s="164" t="s">
        <v>201</v>
      </c>
      <c r="AR24"/>
      <c r="AS24" s="164" t="s">
        <v>202</v>
      </c>
      <c r="AT24"/>
      <c r="AU24" s="164" t="s">
        <v>203</v>
      </c>
      <c r="AV24"/>
      <c r="AW24" s="164" t="s">
        <v>193</v>
      </c>
      <c r="AY24" s="164" t="s">
        <v>194</v>
      </c>
      <c r="BA24" s="164" t="s">
        <v>195</v>
      </c>
      <c r="BC24" s="164" t="s">
        <v>196</v>
      </c>
      <c r="BE24" s="164" t="s">
        <v>3</v>
      </c>
      <c r="BG24" s="164" t="s">
        <v>197</v>
      </c>
      <c r="BI24" s="164" t="s">
        <v>198</v>
      </c>
      <c r="BK24" s="164" t="s">
        <v>199</v>
      </c>
      <c r="BM24" s="164" t="s">
        <v>200</v>
      </c>
      <c r="BO24" s="164" t="s">
        <v>201</v>
      </c>
      <c r="BQ24" s="164" t="s">
        <v>202</v>
      </c>
      <c r="BS24" s="164" t="s">
        <v>203</v>
      </c>
      <c r="BU24" s="164" t="s">
        <v>193</v>
      </c>
      <c r="BW24" s="164" t="s">
        <v>194</v>
      </c>
      <c r="BY24" s="164" t="s">
        <v>195</v>
      </c>
      <c r="CA24" s="164" t="s">
        <v>196</v>
      </c>
      <c r="CC24" s="164" t="s">
        <v>3</v>
      </c>
      <c r="CE24" s="164" t="s">
        <v>197</v>
      </c>
      <c r="CG24" s="164" t="s">
        <v>198</v>
      </c>
      <c r="CI24" s="164" t="s">
        <v>199</v>
      </c>
      <c r="CK24" s="164" t="s">
        <v>200</v>
      </c>
      <c r="CM24" s="164" t="s">
        <v>201</v>
      </c>
      <c r="CO24" s="164" t="s">
        <v>202</v>
      </c>
      <c r="CQ24" s="164" t="s">
        <v>203</v>
      </c>
      <c r="CS24" s="164" t="s">
        <v>193</v>
      </c>
      <c r="CU24" s="164" t="s">
        <v>194</v>
      </c>
      <c r="CW24" s="164" t="s">
        <v>195</v>
      </c>
      <c r="CY24" s="164" t="s">
        <v>196</v>
      </c>
      <c r="DA24" s="164" t="s">
        <v>3</v>
      </c>
      <c r="DC24" s="164" t="s">
        <v>197</v>
      </c>
      <c r="DE24" s="164" t="s">
        <v>198</v>
      </c>
      <c r="DG24" s="164" t="s">
        <v>199</v>
      </c>
      <c r="DI24" s="164" t="s">
        <v>200</v>
      </c>
      <c r="DK24" s="164" t="s">
        <v>201</v>
      </c>
      <c r="DM24" s="164" t="s">
        <v>202</v>
      </c>
      <c r="DO24" s="164" t="s">
        <v>203</v>
      </c>
      <c r="DQ24" s="164" t="s">
        <v>193</v>
      </c>
      <c r="DS24" s="164" t="s">
        <v>194</v>
      </c>
      <c r="DU24" s="164" t="s">
        <v>195</v>
      </c>
      <c r="DW24" s="164" t="s">
        <v>196</v>
      </c>
      <c r="DY24" s="164" t="s">
        <v>3</v>
      </c>
      <c r="EA24" s="164" t="s">
        <v>197</v>
      </c>
      <c r="EC24" s="164" t="s">
        <v>198</v>
      </c>
      <c r="EE24" s="164" t="s">
        <v>199</v>
      </c>
    </row>
    <row r="25" spans="2:136" ht="14.55" customHeight="1" x14ac:dyDescent="0.3">
      <c r="B25" s="172" t="s">
        <v>186</v>
      </c>
      <c r="C25" t="s">
        <v>211</v>
      </c>
      <c r="D25" t="s">
        <v>210</v>
      </c>
      <c r="E25" t="s">
        <v>211</v>
      </c>
      <c r="F25" t="s">
        <v>210</v>
      </c>
      <c r="G25" t="s">
        <v>211</v>
      </c>
      <c r="H25" t="s">
        <v>210</v>
      </c>
      <c r="I25" t="s">
        <v>211</v>
      </c>
      <c r="J25" t="s">
        <v>210</v>
      </c>
      <c r="K25" t="s">
        <v>211</v>
      </c>
      <c r="L25" t="s">
        <v>210</v>
      </c>
      <c r="M25" t="s">
        <v>211</v>
      </c>
      <c r="N25" t="s">
        <v>210</v>
      </c>
      <c r="O25" t="s">
        <v>211</v>
      </c>
      <c r="P25" t="s">
        <v>210</v>
      </c>
      <c r="Q25" t="s">
        <v>211</v>
      </c>
      <c r="R25" t="s">
        <v>210</v>
      </c>
      <c r="S25" t="s">
        <v>211</v>
      </c>
      <c r="T25" t="s">
        <v>210</v>
      </c>
      <c r="U25" t="s">
        <v>211</v>
      </c>
      <c r="V25" t="s">
        <v>210</v>
      </c>
      <c r="W25" t="s">
        <v>211</v>
      </c>
      <c r="X25" t="s">
        <v>210</v>
      </c>
      <c r="Y25" t="s">
        <v>211</v>
      </c>
      <c r="Z25" t="s">
        <v>210</v>
      </c>
      <c r="AA25" t="s">
        <v>211</v>
      </c>
      <c r="AB25" t="s">
        <v>210</v>
      </c>
      <c r="AC25" t="s">
        <v>211</v>
      </c>
      <c r="AD25" t="s">
        <v>210</v>
      </c>
      <c r="AE25" t="s">
        <v>211</v>
      </c>
      <c r="AF25" t="s">
        <v>210</v>
      </c>
      <c r="AG25" t="s">
        <v>211</v>
      </c>
      <c r="AH25" t="s">
        <v>210</v>
      </c>
      <c r="AI25" t="s">
        <v>211</v>
      </c>
      <c r="AJ25" t="s">
        <v>210</v>
      </c>
      <c r="AK25" t="s">
        <v>211</v>
      </c>
      <c r="AL25" t="s">
        <v>210</v>
      </c>
      <c r="AM25" t="s">
        <v>211</v>
      </c>
      <c r="AN25" t="s">
        <v>210</v>
      </c>
      <c r="AO25" t="s">
        <v>211</v>
      </c>
      <c r="AP25" t="s">
        <v>210</v>
      </c>
      <c r="AQ25" t="s">
        <v>211</v>
      </c>
      <c r="AR25" t="s">
        <v>210</v>
      </c>
      <c r="AS25" t="s">
        <v>211</v>
      </c>
      <c r="AT25" t="s">
        <v>210</v>
      </c>
      <c r="AU25" t="s">
        <v>211</v>
      </c>
      <c r="AV25" t="s">
        <v>210</v>
      </c>
      <c r="AW25" t="s">
        <v>211</v>
      </c>
      <c r="AX25" t="s">
        <v>210</v>
      </c>
      <c r="AY25" t="s">
        <v>211</v>
      </c>
      <c r="AZ25" t="s">
        <v>210</v>
      </c>
      <c r="BA25" t="s">
        <v>211</v>
      </c>
      <c r="BB25" t="s">
        <v>210</v>
      </c>
      <c r="BC25" t="s">
        <v>211</v>
      </c>
      <c r="BD25" t="s">
        <v>210</v>
      </c>
      <c r="BE25" t="s">
        <v>211</v>
      </c>
      <c r="BF25" t="s">
        <v>210</v>
      </c>
      <c r="BG25" t="s">
        <v>211</v>
      </c>
      <c r="BH25" t="s">
        <v>210</v>
      </c>
      <c r="BI25" t="s">
        <v>211</v>
      </c>
      <c r="BJ25" t="s">
        <v>210</v>
      </c>
      <c r="BK25" t="s">
        <v>211</v>
      </c>
      <c r="BL25" t="s">
        <v>210</v>
      </c>
      <c r="BM25" t="s">
        <v>211</v>
      </c>
      <c r="BN25" t="s">
        <v>210</v>
      </c>
      <c r="BO25" t="s">
        <v>211</v>
      </c>
      <c r="BP25" t="s">
        <v>210</v>
      </c>
      <c r="BQ25" t="s">
        <v>211</v>
      </c>
      <c r="BR25" t="s">
        <v>210</v>
      </c>
      <c r="BS25" t="s">
        <v>211</v>
      </c>
      <c r="BT25" t="s">
        <v>210</v>
      </c>
      <c r="BU25" t="s">
        <v>211</v>
      </c>
      <c r="BV25" t="s">
        <v>210</v>
      </c>
      <c r="BW25" t="s">
        <v>211</v>
      </c>
      <c r="BX25" t="s">
        <v>210</v>
      </c>
      <c r="BY25" t="s">
        <v>211</v>
      </c>
      <c r="BZ25" t="s">
        <v>210</v>
      </c>
      <c r="CA25" t="s">
        <v>211</v>
      </c>
      <c r="CB25" t="s">
        <v>210</v>
      </c>
      <c r="CC25" t="s">
        <v>211</v>
      </c>
      <c r="CD25" t="s">
        <v>210</v>
      </c>
      <c r="CE25" t="s">
        <v>211</v>
      </c>
      <c r="CF25" t="s">
        <v>210</v>
      </c>
      <c r="CG25" t="s">
        <v>211</v>
      </c>
      <c r="CH25" t="s">
        <v>210</v>
      </c>
      <c r="CI25" t="s">
        <v>211</v>
      </c>
      <c r="CJ25" t="s">
        <v>210</v>
      </c>
      <c r="CK25" t="s">
        <v>211</v>
      </c>
      <c r="CL25" t="s">
        <v>210</v>
      </c>
      <c r="CM25" t="s">
        <v>211</v>
      </c>
      <c r="CN25" t="s">
        <v>210</v>
      </c>
      <c r="CO25" t="s">
        <v>211</v>
      </c>
      <c r="CP25" t="s">
        <v>210</v>
      </c>
      <c r="CQ25" t="s">
        <v>211</v>
      </c>
      <c r="CR25" t="s">
        <v>210</v>
      </c>
      <c r="CS25" t="s">
        <v>211</v>
      </c>
      <c r="CT25" t="s">
        <v>210</v>
      </c>
      <c r="CU25" t="s">
        <v>211</v>
      </c>
      <c r="CV25" t="s">
        <v>210</v>
      </c>
      <c r="CW25" t="s">
        <v>211</v>
      </c>
      <c r="CX25" t="s">
        <v>210</v>
      </c>
      <c r="CY25" t="s">
        <v>211</v>
      </c>
      <c r="CZ25" t="s">
        <v>210</v>
      </c>
      <c r="DA25" t="s">
        <v>211</v>
      </c>
      <c r="DB25" t="s">
        <v>210</v>
      </c>
      <c r="DC25" t="s">
        <v>211</v>
      </c>
      <c r="DD25" t="s">
        <v>210</v>
      </c>
      <c r="DE25" t="s">
        <v>211</v>
      </c>
      <c r="DF25" t="s">
        <v>210</v>
      </c>
      <c r="DG25" t="s">
        <v>211</v>
      </c>
      <c r="DH25" t="s">
        <v>210</v>
      </c>
      <c r="DI25" t="s">
        <v>211</v>
      </c>
      <c r="DJ25" t="s">
        <v>210</v>
      </c>
      <c r="DK25" t="s">
        <v>211</v>
      </c>
      <c r="DL25" t="s">
        <v>210</v>
      </c>
      <c r="DM25" t="s">
        <v>211</v>
      </c>
      <c r="DN25" t="s">
        <v>210</v>
      </c>
      <c r="DO25" t="s">
        <v>211</v>
      </c>
      <c r="DP25" t="s">
        <v>210</v>
      </c>
      <c r="DQ25" t="s">
        <v>211</v>
      </c>
      <c r="DR25" t="s">
        <v>210</v>
      </c>
      <c r="DS25" t="s">
        <v>211</v>
      </c>
      <c r="DT25" t="s">
        <v>210</v>
      </c>
      <c r="DU25" t="s">
        <v>211</v>
      </c>
      <c r="DV25" t="s">
        <v>210</v>
      </c>
      <c r="DW25" t="s">
        <v>211</v>
      </c>
      <c r="DX25" t="s">
        <v>210</v>
      </c>
      <c r="DY25" t="s">
        <v>211</v>
      </c>
      <c r="DZ25" t="s">
        <v>210</v>
      </c>
      <c r="EA25" t="s">
        <v>211</v>
      </c>
      <c r="EB25" t="s">
        <v>210</v>
      </c>
      <c r="EC25" t="s">
        <v>211</v>
      </c>
      <c r="ED25" t="s">
        <v>210</v>
      </c>
      <c r="EE25" t="s">
        <v>211</v>
      </c>
      <c r="EF25" t="s">
        <v>210</v>
      </c>
    </row>
    <row r="26" spans="2:136" ht="14.55" customHeight="1" x14ac:dyDescent="0.3">
      <c r="B26" t="s">
        <v>23</v>
      </c>
      <c r="C26" s="183">
        <v>186881.59883597228</v>
      </c>
      <c r="D26" s="36">
        <v>0</v>
      </c>
      <c r="E26" s="183">
        <v>189676.16829017893</v>
      </c>
      <c r="F26" s="36">
        <v>1.495368977798317E-2</v>
      </c>
      <c r="G26" s="183">
        <v>193065.69226812199</v>
      </c>
      <c r="H26" s="36">
        <v>1.7870057205908729E-2</v>
      </c>
      <c r="I26" s="183">
        <v>193645.07519025946</v>
      </c>
      <c r="J26" s="36">
        <v>3.0009626015421453E-3</v>
      </c>
      <c r="K26" s="183">
        <v>193154.90732988881</v>
      </c>
      <c r="L26" s="36">
        <v>-2.5312694365661192E-3</v>
      </c>
      <c r="M26" s="183">
        <v>193771.53174194237</v>
      </c>
      <c r="N26" s="36">
        <v>3.1923828422355527E-3</v>
      </c>
      <c r="O26" s="183">
        <v>196359.50406855665</v>
      </c>
      <c r="P26" s="36">
        <v>1.3355792274279299E-2</v>
      </c>
      <c r="Q26" s="183">
        <v>201082.52304088447</v>
      </c>
      <c r="R26" s="36">
        <v>2.4052917605041468E-2</v>
      </c>
      <c r="S26" s="183">
        <v>207111.72337321992</v>
      </c>
      <c r="T26" s="36">
        <v>2.998371136963307E-2</v>
      </c>
      <c r="U26" s="183">
        <v>213064</v>
      </c>
      <c r="V26" s="36">
        <v>2.873944810962703E-2</v>
      </c>
      <c r="W26" s="183">
        <v>217457.92610578501</v>
      </c>
      <c r="X26" s="36">
        <v>2.0622564608685723E-2</v>
      </c>
      <c r="Y26" s="183">
        <v>222408.36348782439</v>
      </c>
      <c r="Z26" s="36">
        <v>2.2765035382666055E-2</v>
      </c>
      <c r="AA26" s="183">
        <v>224060</v>
      </c>
      <c r="AB26" s="36">
        <v>7.4261439015805841E-3</v>
      </c>
      <c r="AC26" s="183">
        <v>229760.2050391048</v>
      </c>
      <c r="AD26" s="36">
        <v>2.5440529497031239E-2</v>
      </c>
      <c r="AE26" s="183">
        <v>231824.103198336</v>
      </c>
      <c r="AF26" s="36">
        <v>8.9828356432739564E-3</v>
      </c>
      <c r="AG26" s="183">
        <v>236146.7532297835</v>
      </c>
      <c r="AH26" s="36">
        <v>1.8646249340817045E-2</v>
      </c>
      <c r="AI26" s="183">
        <v>230983.15311796564</v>
      </c>
      <c r="AJ26" s="36">
        <v>-2.1866064390872242E-2</v>
      </c>
      <c r="AK26" s="183">
        <v>239462</v>
      </c>
      <c r="AL26" s="36">
        <v>3.6707641953887871E-2</v>
      </c>
      <c r="AM26" s="183">
        <v>243817.904226457</v>
      </c>
      <c r="AN26" s="36">
        <v>1.8190377706930549E-2</v>
      </c>
      <c r="AO26" s="183">
        <v>249485.8436743115</v>
      </c>
      <c r="AP26" s="36">
        <v>2.3246608840465477E-2</v>
      </c>
      <c r="AQ26" s="183">
        <v>253346.3276842862</v>
      </c>
      <c r="AR26" s="36">
        <v>1.5473759765761708E-2</v>
      </c>
      <c r="AS26" s="183">
        <v>256232</v>
      </c>
      <c r="AT26" s="36">
        <v>1.1390227528025765E-2</v>
      </c>
      <c r="AU26" s="183">
        <v>258976.40443368099</v>
      </c>
      <c r="AV26" s="36">
        <v>1.0710623316685597E-2</v>
      </c>
      <c r="AW26" s="183">
        <v>267946.63172765332</v>
      </c>
      <c r="AX26" s="36">
        <v>3.4637237757578987E-2</v>
      </c>
      <c r="AY26" s="183">
        <v>270974.11240620178</v>
      </c>
      <c r="AZ26" s="36">
        <v>1.1298819690428674E-2</v>
      </c>
      <c r="BA26" s="183">
        <v>278463.86159667029</v>
      </c>
      <c r="BB26" s="36">
        <v>2.7640091239568454E-2</v>
      </c>
      <c r="BC26" s="183">
        <v>280226.01933808258</v>
      </c>
      <c r="BD26" s="36">
        <v>6.3281379900010926E-3</v>
      </c>
      <c r="BE26" s="183">
        <v>275858.12621868192</v>
      </c>
      <c r="BF26" s="36">
        <v>-1.5587036242094787E-2</v>
      </c>
      <c r="BG26" s="183">
        <v>272522.22327429499</v>
      </c>
      <c r="BH26" s="36">
        <v>-1.2092821009530241E-2</v>
      </c>
      <c r="BI26" s="183">
        <v>269980.5322232318</v>
      </c>
      <c r="BJ26" s="36">
        <v>-9.3265459988008947E-3</v>
      </c>
      <c r="BK26" s="183">
        <v>268038.24546257441</v>
      </c>
      <c r="BL26" s="36">
        <v>-7.1941733896998539E-3</v>
      </c>
      <c r="BM26" s="183">
        <v>266117.43562820752</v>
      </c>
      <c r="BN26" s="36">
        <v>-7.1661782110683525E-3</v>
      </c>
      <c r="BO26" s="183">
        <v>261889.18829567861</v>
      </c>
      <c r="BP26" s="36">
        <v>-1.5888652025176531E-2</v>
      </c>
      <c r="BQ26" s="183">
        <v>258588.9765727123</v>
      </c>
      <c r="BR26" s="36">
        <v>-1.2601557721582224E-2</v>
      </c>
      <c r="BS26" s="183">
        <v>258297.76694470219</v>
      </c>
      <c r="BT26" s="36">
        <v>-1.1261486544003052E-3</v>
      </c>
      <c r="BU26" s="183">
        <v>259332.9226559925</v>
      </c>
      <c r="BV26" s="36">
        <v>4.0076061188401013E-3</v>
      </c>
      <c r="BW26" s="183">
        <v>259473.58519021151</v>
      </c>
      <c r="BX26" s="36">
        <v>5.4240137649474995E-4</v>
      </c>
      <c r="BY26" s="183">
        <v>259217.51369044819</v>
      </c>
      <c r="BZ26" s="36">
        <v>-9.8688850957839858E-4</v>
      </c>
      <c r="CA26" s="183">
        <v>260149.9673409111</v>
      </c>
      <c r="CB26" s="36">
        <v>3.5971861514589865E-3</v>
      </c>
      <c r="CC26" s="183">
        <v>262704.28325107589</v>
      </c>
      <c r="CD26" s="36">
        <v>9.8186286020844893E-3</v>
      </c>
      <c r="CE26" s="183">
        <v>265501.56664034212</v>
      </c>
      <c r="CF26" s="36">
        <v>1.0648031142274084E-2</v>
      </c>
      <c r="CG26" s="183">
        <v>266289.44816882262</v>
      </c>
      <c r="CH26" s="36">
        <v>2.9675212031716747E-3</v>
      </c>
      <c r="CI26" s="183">
        <v>271753.43139286892</v>
      </c>
      <c r="CJ26" s="36">
        <v>2.0518962586088874E-2</v>
      </c>
      <c r="CK26" s="183">
        <v>277235.93367614498</v>
      </c>
      <c r="CL26" s="36">
        <v>2.0174546665981508E-2</v>
      </c>
      <c r="CM26" s="183">
        <v>282293.97338899889</v>
      </c>
      <c r="CN26" s="36">
        <v>1.8244531456598656E-2</v>
      </c>
      <c r="CO26" s="183">
        <v>283897.2503487455</v>
      </c>
      <c r="CP26" s="36">
        <v>5.6794586880439812E-3</v>
      </c>
      <c r="CQ26" s="183">
        <v>284566.58050260629</v>
      </c>
      <c r="CR26" s="36">
        <v>2.3576493010712962E-3</v>
      </c>
      <c r="CS26" s="183">
        <v>289262.51425630139</v>
      </c>
      <c r="CT26" s="36">
        <v>1.6502056374297691E-2</v>
      </c>
      <c r="CU26" s="183">
        <v>289294.03604298149</v>
      </c>
      <c r="CV26" s="36">
        <v>1.089729402412587E-4</v>
      </c>
      <c r="CW26" s="183">
        <v>288247.75322451221</v>
      </c>
      <c r="CX26" s="36">
        <v>-3.6166760738677306E-3</v>
      </c>
      <c r="CY26" s="183">
        <v>288479.34075166669</v>
      </c>
      <c r="CZ26" s="36">
        <v>8.0343220220724376E-4</v>
      </c>
      <c r="DA26" s="183">
        <v>288968.10491984768</v>
      </c>
      <c r="DB26" s="36">
        <v>1.6942778880022491E-3</v>
      </c>
      <c r="DC26" s="183">
        <v>287676.32622962177</v>
      </c>
      <c r="DD26" s="36">
        <v>-4.4703158176720992E-3</v>
      </c>
      <c r="DE26" s="183">
        <v>286793.21137159038</v>
      </c>
      <c r="DF26" s="36">
        <v>-3.0698211062611946E-3</v>
      </c>
      <c r="DG26" s="183">
        <v>286025.57234542491</v>
      </c>
      <c r="DH26" s="36">
        <v>-2.6766289986231984E-3</v>
      </c>
      <c r="DI26" s="183">
        <v>287409.28199236043</v>
      </c>
      <c r="DJ26" s="36">
        <v>4.8377130603709517E-3</v>
      </c>
      <c r="DK26" s="183">
        <v>288992.82439911942</v>
      </c>
      <c r="DL26" s="36">
        <v>5.5097121282292605E-3</v>
      </c>
      <c r="DM26" s="183">
        <v>289091.93327233038</v>
      </c>
      <c r="DN26" s="36">
        <v>3.4294579257121427E-4</v>
      </c>
      <c r="DO26" s="183">
        <v>289980.25083942019</v>
      </c>
      <c r="DP26" s="36">
        <v>3.0727857295589356E-3</v>
      </c>
      <c r="DQ26" s="183">
        <v>292003.78639468091</v>
      </c>
      <c r="DR26" s="36">
        <v>6.9781840294402819E-3</v>
      </c>
      <c r="DS26" s="183">
        <v>295857.63627712522</v>
      </c>
      <c r="DT26" s="36">
        <v>1.3197944896629954E-2</v>
      </c>
      <c r="DU26" s="183">
        <v>296711.33436988131</v>
      </c>
      <c r="DV26" s="36">
        <v>2.8855029854846226E-3</v>
      </c>
      <c r="DW26" s="183">
        <v>297368.20961400057</v>
      </c>
      <c r="DX26" s="36">
        <v>2.2138528867265972E-3</v>
      </c>
      <c r="DY26" s="183">
        <v>299179.8334931166</v>
      </c>
      <c r="DZ26" s="36">
        <v>6.0921908278883663E-3</v>
      </c>
      <c r="EA26" s="183">
        <v>300411.15172712231</v>
      </c>
      <c r="EB26" s="36">
        <v>4.1156458295643628E-3</v>
      </c>
      <c r="EC26" s="183">
        <v>301769.6113086734</v>
      </c>
      <c r="ED26" s="36">
        <v>4.5220011765243484E-3</v>
      </c>
      <c r="EE26" s="183">
        <v>301401.5354857652</v>
      </c>
      <c r="EF26" s="36">
        <v>-1.2197246147880314E-3</v>
      </c>
    </row>
    <row r="27" spans="2:136" ht="14.55" customHeight="1" x14ac:dyDescent="0.3">
      <c r="B27" t="s">
        <v>226</v>
      </c>
      <c r="C27" s="183">
        <v>250628.75470015861</v>
      </c>
      <c r="D27" s="36">
        <v>0</v>
      </c>
      <c r="E27" s="183">
        <v>253823.23408582856</v>
      </c>
      <c r="F27" s="36">
        <v>1.274586146147394E-2</v>
      </c>
      <c r="G27" s="183">
        <v>271405.14032733499</v>
      </c>
      <c r="H27" s="36">
        <v>6.9268309123983629E-2</v>
      </c>
      <c r="I27" s="183">
        <v>262902.16734731762</v>
      </c>
      <c r="J27" s="36">
        <v>-3.1329447075918115E-2</v>
      </c>
      <c r="K27" s="183">
        <v>258806.72312859545</v>
      </c>
      <c r="L27" s="36">
        <v>-1.5577826002901363E-2</v>
      </c>
      <c r="M27" s="183">
        <v>259270.84422783839</v>
      </c>
      <c r="N27" s="36">
        <v>1.7933116019259732E-3</v>
      </c>
      <c r="O27" s="183">
        <v>261062.05807217854</v>
      </c>
      <c r="P27" s="36">
        <v>6.9086589727231917E-3</v>
      </c>
      <c r="Q27" s="183">
        <v>267512.7984425716</v>
      </c>
      <c r="R27" s="36">
        <v>2.4709605133847345E-2</v>
      </c>
      <c r="S27" s="183">
        <v>274968.23374355608</v>
      </c>
      <c r="T27" s="36">
        <v>2.786945276782693E-2</v>
      </c>
      <c r="U27" s="183">
        <v>284145.07223511301</v>
      </c>
      <c r="V27" s="36">
        <v>3.3374176960803137E-2</v>
      </c>
      <c r="W27" s="183">
        <v>285015.17727373273</v>
      </c>
      <c r="X27" s="36">
        <v>3.0621859171280352E-3</v>
      </c>
      <c r="Y27" s="183">
        <v>288669.41646255122</v>
      </c>
      <c r="Z27" s="36">
        <v>1.2821209115151389E-2</v>
      </c>
      <c r="AA27" s="183">
        <v>290704</v>
      </c>
      <c r="AB27" s="36">
        <v>7.0481437291876059E-3</v>
      </c>
      <c r="AC27" s="183">
        <v>294686.30042326043</v>
      </c>
      <c r="AD27" s="36">
        <v>1.3698815369793449E-2</v>
      </c>
      <c r="AE27" s="183">
        <v>299003.19790890749</v>
      </c>
      <c r="AF27" s="36">
        <v>1.4649128512070897E-2</v>
      </c>
      <c r="AG27" s="183">
        <v>303562.77174101147</v>
      </c>
      <c r="AH27" s="36">
        <v>1.5249247713708725E-2</v>
      </c>
      <c r="AI27" s="183">
        <v>307644.74547330698</v>
      </c>
      <c r="AJ27" s="36">
        <v>1.3446885166070732E-2</v>
      </c>
      <c r="AK27" s="183">
        <v>307365.87509837101</v>
      </c>
      <c r="AL27" s="36">
        <v>-9.0646883796741129E-4</v>
      </c>
      <c r="AM27" s="183">
        <v>313986.35700671421</v>
      </c>
      <c r="AN27" s="36">
        <v>2.1539417497874025E-2</v>
      </c>
      <c r="AO27" s="183">
        <v>318405.32816914219</v>
      </c>
      <c r="AP27" s="36">
        <v>1.407376805971694E-2</v>
      </c>
      <c r="AQ27" s="183">
        <v>321496.05009821663</v>
      </c>
      <c r="AR27" s="36">
        <v>9.7068787976832827E-3</v>
      </c>
      <c r="AS27" s="183">
        <v>326170</v>
      </c>
      <c r="AT27" s="36">
        <v>1.4538125430640481E-2</v>
      </c>
      <c r="AU27" s="183">
        <v>330302.86080593202</v>
      </c>
      <c r="AV27" s="36">
        <v>1.2670879620848119E-2</v>
      </c>
      <c r="AW27" s="183">
        <v>340527.33672739542</v>
      </c>
      <c r="AX27" s="36">
        <v>3.095485124323738E-2</v>
      </c>
      <c r="AY27" s="183">
        <v>346948.1862733243</v>
      </c>
      <c r="AZ27" s="36">
        <v>1.8855606741108755E-2</v>
      </c>
      <c r="BA27" s="183">
        <v>363085.50828029233</v>
      </c>
      <c r="BB27" s="36">
        <v>4.6512195899635289E-2</v>
      </c>
      <c r="BC27" s="183">
        <v>367420.52702621918</v>
      </c>
      <c r="BD27" s="36">
        <v>1.1939387959764902E-2</v>
      </c>
      <c r="BE27" s="183">
        <v>359294.42630135908</v>
      </c>
      <c r="BF27" s="36">
        <v>-2.2116621492626165E-2</v>
      </c>
      <c r="BG27" s="183">
        <v>348500.65509742312</v>
      </c>
      <c r="BH27" s="36">
        <v>-3.0041577084980009E-2</v>
      </c>
      <c r="BI27" s="183">
        <v>343912.83252685261</v>
      </c>
      <c r="BJ27" s="36">
        <v>-1.3164458957151681E-2</v>
      </c>
      <c r="BK27" s="183">
        <v>340004.22844694433</v>
      </c>
      <c r="BL27" s="36">
        <v>-1.1365101008852574E-2</v>
      </c>
      <c r="BM27" s="183">
        <v>336424.29970319528</v>
      </c>
      <c r="BN27" s="36">
        <v>-1.0529071241558552E-2</v>
      </c>
      <c r="BO27" s="183">
        <v>330306.84382925881</v>
      </c>
      <c r="BP27" s="36">
        <v>-1.8183751528452308E-2</v>
      </c>
      <c r="BQ27" s="183">
        <v>326518.66673538182</v>
      </c>
      <c r="BR27" s="36">
        <v>-1.1468660624649907E-2</v>
      </c>
      <c r="BS27" s="183">
        <v>324768.07093273278</v>
      </c>
      <c r="BT27" s="36">
        <v>-5.3613957822135072E-3</v>
      </c>
      <c r="BU27" s="183">
        <v>326279.82855966821</v>
      </c>
      <c r="BV27" s="36">
        <v>4.6548837839681667E-3</v>
      </c>
      <c r="BW27" s="183">
        <v>322496.14762979379</v>
      </c>
      <c r="BX27" s="36">
        <v>-1.1596429195691038E-2</v>
      </c>
      <c r="BY27" s="183">
        <v>325831.62776930293</v>
      </c>
      <c r="BZ27" s="36">
        <v>1.0342697622974573E-2</v>
      </c>
      <c r="CA27" s="183">
        <v>326518.58120994607</v>
      </c>
      <c r="CB27" s="36">
        <v>2.1083080404016297E-3</v>
      </c>
      <c r="CC27" s="183">
        <v>327429.4116643655</v>
      </c>
      <c r="CD27" s="36">
        <v>2.789521046686616E-3</v>
      </c>
      <c r="CE27" s="183">
        <v>328390.28514200193</v>
      </c>
      <c r="CF27" s="36">
        <v>2.9345973312300266E-3</v>
      </c>
      <c r="CG27" s="183">
        <v>333528.81317852531</v>
      </c>
      <c r="CH27" s="36">
        <v>1.5647625002978893E-2</v>
      </c>
      <c r="CI27" s="183">
        <v>340731.0975671148</v>
      </c>
      <c r="CJ27" s="36">
        <v>2.1594189479319015E-2</v>
      </c>
      <c r="CK27" s="183">
        <v>349255.28392081911</v>
      </c>
      <c r="CL27" s="36">
        <v>2.5017341870374077E-2</v>
      </c>
      <c r="CM27" s="183">
        <v>352808.01997684769</v>
      </c>
      <c r="CN27" s="36">
        <v>1.0172318700936378E-2</v>
      </c>
      <c r="CO27" s="183">
        <v>358307.04182195792</v>
      </c>
      <c r="CP27" s="36">
        <v>1.5586442296496195E-2</v>
      </c>
      <c r="CQ27" s="183">
        <v>361334.5781139374</v>
      </c>
      <c r="CR27" s="36">
        <v>8.4495584473716079E-3</v>
      </c>
      <c r="CS27" s="183">
        <v>363757.26054850942</v>
      </c>
      <c r="CT27" s="36">
        <v>6.7048175882244987E-3</v>
      </c>
      <c r="CU27" s="183">
        <v>365488.45612006949</v>
      </c>
      <c r="CV27" s="36">
        <v>4.7592055453398174E-3</v>
      </c>
      <c r="CW27" s="183">
        <v>364124.99397040351</v>
      </c>
      <c r="CX27" s="36">
        <v>-3.7305204222867205E-3</v>
      </c>
      <c r="CY27" s="183">
        <v>368219.18854266661</v>
      </c>
      <c r="CZ27" s="36">
        <v>1.124392623428605E-2</v>
      </c>
      <c r="DA27" s="183">
        <v>368799.48439855588</v>
      </c>
      <c r="DB27" s="36">
        <v>1.5759522424292349E-3</v>
      </c>
      <c r="DC27" s="183">
        <v>365693.23202531482</v>
      </c>
      <c r="DD27" s="36">
        <v>-8.4226049781679357E-3</v>
      </c>
      <c r="DE27" s="183">
        <v>365502.5866583098</v>
      </c>
      <c r="DF27" s="36">
        <v>-5.2132593745080058E-4</v>
      </c>
      <c r="DG27" s="183">
        <v>365128.20366535801</v>
      </c>
      <c r="DH27" s="36">
        <v>-1.0242964252993314E-3</v>
      </c>
      <c r="DI27" s="183">
        <v>363986.05242072273</v>
      </c>
      <c r="DJ27" s="36">
        <v>-3.1280827752272478E-3</v>
      </c>
      <c r="DK27" s="183">
        <v>362538.29923184903</v>
      </c>
      <c r="DL27" s="36">
        <v>-3.9774963332943614E-3</v>
      </c>
      <c r="DM27" s="183">
        <v>364445.73021905182</v>
      </c>
      <c r="DN27" s="36">
        <v>5.261322710577776E-3</v>
      </c>
      <c r="DO27" s="183">
        <v>369502.27569141809</v>
      </c>
      <c r="DP27" s="36">
        <v>1.3874618504453373E-2</v>
      </c>
      <c r="DQ27" s="183">
        <v>368329.72741063911</v>
      </c>
      <c r="DR27" s="36">
        <v>-3.1733181577431324E-3</v>
      </c>
      <c r="DS27" s="183">
        <v>368955.45423507312</v>
      </c>
      <c r="DT27" s="36">
        <v>1.6988224893843551E-3</v>
      </c>
      <c r="DU27" s="183">
        <v>371943.62034706899</v>
      </c>
      <c r="DV27" s="36">
        <v>8.0989888554188205E-3</v>
      </c>
      <c r="DW27" s="183">
        <v>376505.26851884701</v>
      </c>
      <c r="DX27" s="36">
        <v>1.2264353848901788E-2</v>
      </c>
      <c r="DY27" s="183">
        <v>379696.244495266</v>
      </c>
      <c r="DZ27" s="36">
        <v>8.4752492016171299E-3</v>
      </c>
      <c r="EA27" s="183">
        <v>386488.58184481232</v>
      </c>
      <c r="EB27" s="36">
        <v>1.7888871559884612E-2</v>
      </c>
      <c r="EC27" s="183">
        <v>382760.96188964648</v>
      </c>
      <c r="ED27" s="36">
        <v>-9.6448385030494244E-3</v>
      </c>
      <c r="EE27" s="183">
        <v>390426.86223253259</v>
      </c>
      <c r="EF27" s="36">
        <v>2.0027905419195413E-2</v>
      </c>
    </row>
    <row r="28" spans="2:136" ht="14.55" customHeight="1" x14ac:dyDescent="0.3">
      <c r="B28" t="s">
        <v>9</v>
      </c>
      <c r="C28" s="183">
        <v>149719.01674303104</v>
      </c>
      <c r="D28" s="36">
        <v>0</v>
      </c>
      <c r="E28" s="183">
        <v>149130.44940832927</v>
      </c>
      <c r="F28" s="36">
        <v>-3.931146139651398E-3</v>
      </c>
      <c r="G28" s="183">
        <v>149242.48659631106</v>
      </c>
      <c r="H28" s="36">
        <v>7.5126969995942261E-4</v>
      </c>
      <c r="I28" s="183">
        <v>149825.17636999988</v>
      </c>
      <c r="J28" s="36">
        <v>3.9043156340925478E-3</v>
      </c>
      <c r="K28" s="183">
        <v>150412.72032249469</v>
      </c>
      <c r="L28" s="36">
        <v>3.9215301909194533E-3</v>
      </c>
      <c r="M28" s="183">
        <v>152758.76944807201</v>
      </c>
      <c r="N28" s="36">
        <v>1.559741171190332E-2</v>
      </c>
      <c r="O28" s="183">
        <v>154507.01946795025</v>
      </c>
      <c r="P28" s="36">
        <v>1.1444514944672468E-2</v>
      </c>
      <c r="Q28" s="183">
        <v>159503.01647369939</v>
      </c>
      <c r="R28" s="36">
        <v>3.2335081104748697E-2</v>
      </c>
      <c r="S28" s="183">
        <v>163550.63416633816</v>
      </c>
      <c r="T28" s="36">
        <v>2.5376433512818153E-2</v>
      </c>
      <c r="U28" s="183">
        <v>166987.00442482485</v>
      </c>
      <c r="V28" s="36">
        <v>2.101104820536337E-2</v>
      </c>
      <c r="W28" s="183">
        <v>168456</v>
      </c>
      <c r="X28" s="36">
        <v>8.797065258072001E-3</v>
      </c>
      <c r="Y28" s="183">
        <v>169893.75244082001</v>
      </c>
      <c r="Z28" s="36">
        <v>8.5348841289121236E-3</v>
      </c>
      <c r="AA28" s="183">
        <v>166469</v>
      </c>
      <c r="AB28" s="36">
        <v>-2.0158201179369284E-2</v>
      </c>
      <c r="AC28" s="183">
        <v>170101.71363001299</v>
      </c>
      <c r="AD28" s="36">
        <v>2.1822162865236194E-2</v>
      </c>
      <c r="AE28" s="183">
        <v>171331.37824459199</v>
      </c>
      <c r="AF28" s="36">
        <v>7.2289960420601762E-3</v>
      </c>
      <c r="AG28" s="183">
        <v>185143.76767959961</v>
      </c>
      <c r="AH28" s="36">
        <v>8.0617978892862929E-2</v>
      </c>
      <c r="AI28" s="183">
        <v>185631.433362765</v>
      </c>
      <c r="AJ28" s="36">
        <v>2.6339837915005937E-3</v>
      </c>
      <c r="AK28" s="183">
        <v>189270</v>
      </c>
      <c r="AL28" s="36">
        <v>1.9601026460450921E-2</v>
      </c>
      <c r="AM28" s="183">
        <v>190978.5946016557</v>
      </c>
      <c r="AN28" s="36">
        <v>9.0272869533243316E-3</v>
      </c>
      <c r="AO28" s="183">
        <v>191949.76357757431</v>
      </c>
      <c r="AP28" s="36">
        <v>5.0852242260148728E-3</v>
      </c>
      <c r="AQ28" s="183">
        <v>199505.4179037796</v>
      </c>
      <c r="AR28" s="36">
        <v>3.9362665446325273E-2</v>
      </c>
      <c r="AS28" s="183">
        <v>204239.18979340579</v>
      </c>
      <c r="AT28" s="36">
        <v>2.3727535519407539E-2</v>
      </c>
      <c r="AU28" s="183">
        <v>207782.7273838</v>
      </c>
      <c r="AV28" s="36">
        <v>1.7349939519338164E-2</v>
      </c>
      <c r="AW28" s="183">
        <v>209952.13364457179</v>
      </c>
      <c r="AX28" s="36">
        <v>1.0440743983327616E-2</v>
      </c>
      <c r="AY28" s="183">
        <v>212581.93896508319</v>
      </c>
      <c r="AZ28" s="36">
        <v>1.2525737532933956E-2</v>
      </c>
      <c r="BA28" s="183">
        <v>221724.66943999371</v>
      </c>
      <c r="BB28" s="36">
        <v>4.3008030312547962E-2</v>
      </c>
      <c r="BC28" s="183">
        <v>224159.74462695079</v>
      </c>
      <c r="BD28" s="36">
        <v>1.0982427860225519E-2</v>
      </c>
      <c r="BE28" s="183">
        <v>224950.51592621111</v>
      </c>
      <c r="BF28" s="36">
        <v>3.527713241181285E-3</v>
      </c>
      <c r="BG28" s="183">
        <v>223068.0169433133</v>
      </c>
      <c r="BH28" s="36">
        <v>-8.3685026244407767E-3</v>
      </c>
      <c r="BI28" s="183">
        <v>218829.20562310121</v>
      </c>
      <c r="BJ28" s="36">
        <v>-1.9002326636943456E-2</v>
      </c>
      <c r="BK28" s="183">
        <v>217394.79671944631</v>
      </c>
      <c r="BL28" s="36">
        <v>-6.5549244195742817E-3</v>
      </c>
      <c r="BM28" s="183">
        <v>219142.34026592321</v>
      </c>
      <c r="BN28" s="36">
        <v>8.0385711748756083E-3</v>
      </c>
      <c r="BO28" s="183">
        <v>218235.13738975261</v>
      </c>
      <c r="BP28" s="36">
        <v>-4.1397882082929716E-3</v>
      </c>
      <c r="BQ28" s="183">
        <v>213383.53864553969</v>
      </c>
      <c r="BR28" s="36">
        <v>-2.2231061424120235E-2</v>
      </c>
      <c r="BS28" s="183">
        <v>213351.93392868809</v>
      </c>
      <c r="BT28" s="36">
        <v>-1.4811225388899896E-4</v>
      </c>
      <c r="BU28" s="183">
        <v>214267.87892695851</v>
      </c>
      <c r="BV28" s="36">
        <v>4.2931178611982368E-3</v>
      </c>
      <c r="BW28" s="183">
        <v>215088.57304761501</v>
      </c>
      <c r="BX28" s="36">
        <v>3.8302246924106775E-3</v>
      </c>
      <c r="BY28" s="183">
        <v>216997.25024225019</v>
      </c>
      <c r="BZ28" s="36">
        <v>8.8739125821093445E-3</v>
      </c>
      <c r="CA28" s="183">
        <v>216056.46931929531</v>
      </c>
      <c r="CB28" s="36">
        <v>-4.3354508958275417E-3</v>
      </c>
      <c r="CC28" s="183">
        <v>213370.62512897881</v>
      </c>
      <c r="CD28" s="36">
        <v>-1.2431213926518803E-2</v>
      </c>
      <c r="CE28" s="183">
        <v>214974.22752841661</v>
      </c>
      <c r="CF28" s="36">
        <v>7.5155724855211492E-3</v>
      </c>
      <c r="CG28" s="183">
        <v>218059.79304317909</v>
      </c>
      <c r="CH28" s="36">
        <v>1.4353188055319821E-2</v>
      </c>
      <c r="CI28" s="183">
        <v>220945.6460367316</v>
      </c>
      <c r="CJ28" s="36">
        <v>1.3234227884372451E-2</v>
      </c>
      <c r="CK28" s="183">
        <v>224057.94029980301</v>
      </c>
      <c r="CL28" s="36">
        <v>1.4086243919710473E-2</v>
      </c>
      <c r="CM28" s="183">
        <v>224930.65665679009</v>
      </c>
      <c r="CN28" s="36">
        <v>3.8950476640966514E-3</v>
      </c>
      <c r="CO28" s="183">
        <v>225511.9671450966</v>
      </c>
      <c r="CP28" s="36">
        <v>2.5843986628888427E-3</v>
      </c>
      <c r="CQ28" s="183">
        <v>225208.20038814619</v>
      </c>
      <c r="CR28" s="36">
        <v>-1.3470094771288466E-3</v>
      </c>
      <c r="CS28" s="183">
        <v>227814.4215212173</v>
      </c>
      <c r="CT28" s="36">
        <v>1.1572496599054904E-2</v>
      </c>
      <c r="CU28" s="183">
        <v>229921.2919516268</v>
      </c>
      <c r="CV28" s="36">
        <v>9.2481872584755376E-3</v>
      </c>
      <c r="CW28" s="183">
        <v>229030.49457631609</v>
      </c>
      <c r="CX28" s="36">
        <v>-3.8743579063487132E-3</v>
      </c>
      <c r="CY28" s="183">
        <v>227357.98053028231</v>
      </c>
      <c r="CZ28" s="36">
        <v>-7.3025823444505811E-3</v>
      </c>
      <c r="DA28" s="183">
        <v>226554.22661148949</v>
      </c>
      <c r="DB28" s="36">
        <v>-3.5351911418203263E-3</v>
      </c>
      <c r="DC28" s="183">
        <v>237888.0335267788</v>
      </c>
      <c r="DD28" s="36">
        <v>5.0026905632289509E-2</v>
      </c>
      <c r="DE28" s="183">
        <v>247623.3037515528</v>
      </c>
      <c r="DF28" s="36">
        <v>4.0923749212791405E-2</v>
      </c>
      <c r="DG28" s="183">
        <v>246027.25758545179</v>
      </c>
      <c r="DH28" s="36">
        <v>-6.4454602693709839E-3</v>
      </c>
      <c r="DI28" s="183">
        <v>240619.63308372049</v>
      </c>
      <c r="DJ28" s="36">
        <v>-2.1979777992091387E-2</v>
      </c>
      <c r="DK28" s="183">
        <v>241863.84205128581</v>
      </c>
      <c r="DL28" s="36">
        <v>5.1708538975803187E-3</v>
      </c>
      <c r="DM28" s="183">
        <v>244208.32468270959</v>
      </c>
      <c r="DN28" s="36">
        <v>9.6933986144429607E-3</v>
      </c>
      <c r="DO28" s="183">
        <v>238674.71645041919</v>
      </c>
      <c r="DP28" s="36">
        <v>-2.2659375922094327E-2</v>
      </c>
      <c r="DQ28" s="183">
        <v>240406.9260083765</v>
      </c>
      <c r="DR28" s="36">
        <v>7.2576164904218921E-3</v>
      </c>
      <c r="DS28" s="183">
        <v>239605.44126146811</v>
      </c>
      <c r="DT28" s="36">
        <v>-3.3338671236138318E-3</v>
      </c>
      <c r="DU28" s="183">
        <v>241066.2104217906</v>
      </c>
      <c r="DV28" s="36">
        <v>6.0965608820562345E-3</v>
      </c>
      <c r="DW28" s="183">
        <v>240027.5228364263</v>
      </c>
      <c r="DX28" s="36">
        <v>-4.3087232488822069E-3</v>
      </c>
      <c r="DY28" s="183">
        <v>240633.21552951471</v>
      </c>
      <c r="DZ28" s="36">
        <v>2.5234301713856766E-3</v>
      </c>
      <c r="EA28" s="183">
        <v>238893.6730041714</v>
      </c>
      <c r="EB28" s="36">
        <v>-7.2290208212337781E-3</v>
      </c>
      <c r="EC28" s="183">
        <v>237231.21085144891</v>
      </c>
      <c r="ED28" s="36">
        <v>-6.9590045304107617E-3</v>
      </c>
      <c r="EE28" s="183">
        <v>237173.07507765331</v>
      </c>
      <c r="EF28" s="36">
        <v>-2.4505955007747549E-4</v>
      </c>
    </row>
    <row r="29" spans="2:136" ht="14.55" customHeight="1" x14ac:dyDescent="0.3">
      <c r="B29" t="s">
        <v>90</v>
      </c>
      <c r="C29" s="183">
        <v>219881.54225453085</v>
      </c>
      <c r="D29" s="36">
        <v>0</v>
      </c>
      <c r="E29" s="183">
        <v>221727.08693223004</v>
      </c>
      <c r="F29" s="36">
        <v>8.3933588002709225E-3</v>
      </c>
      <c r="G29" s="183">
        <v>231120.57598146616</v>
      </c>
      <c r="H29" s="36">
        <v>4.2365094762225386E-2</v>
      </c>
      <c r="I29" s="183">
        <v>226815.92159930311</v>
      </c>
      <c r="J29" s="36">
        <v>-1.8625145614504901E-2</v>
      </c>
      <c r="K29" s="183">
        <v>226938.57650398079</v>
      </c>
      <c r="L29" s="36">
        <v>5.4076849549544725E-4</v>
      </c>
      <c r="M29" s="183">
        <v>225564.80501194787</v>
      </c>
      <c r="N29" s="36">
        <v>-6.053494796680492E-3</v>
      </c>
      <c r="O29" s="183">
        <v>228416.83481290759</v>
      </c>
      <c r="P29" s="36">
        <v>1.2643948601860355E-2</v>
      </c>
      <c r="Q29" s="183">
        <v>233369.73369604201</v>
      </c>
      <c r="R29" s="36">
        <v>2.1683598265387349E-2</v>
      </c>
      <c r="S29" s="183">
        <v>240481.15474768801</v>
      </c>
      <c r="T29" s="36">
        <v>3.0472764994060597E-2</v>
      </c>
      <c r="U29" s="183">
        <v>248660.81808217699</v>
      </c>
      <c r="V29" s="36">
        <v>3.4013739426156153E-2</v>
      </c>
      <c r="W29" s="183">
        <v>249103.2130907815</v>
      </c>
      <c r="X29" s="36">
        <v>1.7791102434896455E-3</v>
      </c>
      <c r="Y29" s="183">
        <v>254214.55851797509</v>
      </c>
      <c r="Z29" s="36">
        <v>2.0518986342142664E-2</v>
      </c>
      <c r="AA29" s="183">
        <v>250175</v>
      </c>
      <c r="AB29" s="36">
        <v>-1.5890350818320464E-2</v>
      </c>
      <c r="AC29" s="183">
        <v>255178.5</v>
      </c>
      <c r="AD29" s="36">
        <v>2.0000000000000018E-2</v>
      </c>
      <c r="AE29" s="183">
        <v>262834</v>
      </c>
      <c r="AF29" s="36">
        <v>3.0000568229690217E-2</v>
      </c>
      <c r="AG29" s="183">
        <v>270519.52216606628</v>
      </c>
      <c r="AH29" s="36">
        <v>2.9240974021877975E-2</v>
      </c>
      <c r="AI29" s="183">
        <v>271639.90676165489</v>
      </c>
      <c r="AJ29" s="36">
        <v>4.1416034843533289E-3</v>
      </c>
      <c r="AK29" s="183">
        <v>279829.87249036401</v>
      </c>
      <c r="AL29" s="36">
        <v>3.0150082976929005E-2</v>
      </c>
      <c r="AM29" s="183">
        <v>285267.26389235689</v>
      </c>
      <c r="AN29" s="36">
        <v>1.94310612859252E-2</v>
      </c>
      <c r="AO29" s="183">
        <v>288234.28745723149</v>
      </c>
      <c r="AP29" s="36">
        <v>1.0400855409733234E-2</v>
      </c>
      <c r="AQ29" s="183">
        <v>290471.21689291118</v>
      </c>
      <c r="AR29" s="36">
        <v>7.7608026977415978E-3</v>
      </c>
      <c r="AS29" s="183">
        <v>293787</v>
      </c>
      <c r="AT29" s="36">
        <v>1.1415186477189865E-2</v>
      </c>
      <c r="AU29" s="183">
        <v>298124.974818199</v>
      </c>
      <c r="AV29" s="36">
        <v>1.4765713997552554E-2</v>
      </c>
      <c r="AW29" s="183">
        <v>301307.60404216993</v>
      </c>
      <c r="AX29" s="36">
        <v>1.0675486768298326E-2</v>
      </c>
      <c r="AY29" s="183">
        <v>306540.32746884797</v>
      </c>
      <c r="AZ29" s="36">
        <v>1.7366715464458338E-2</v>
      </c>
      <c r="BA29" s="183">
        <v>320968.52090053831</v>
      </c>
      <c r="BB29" s="36">
        <v>4.7067847649365557E-2</v>
      </c>
      <c r="BC29" s="183">
        <v>327258.34607007517</v>
      </c>
      <c r="BD29" s="36">
        <v>1.9596392667696971E-2</v>
      </c>
      <c r="BE29" s="183">
        <v>321220.19261946628</v>
      </c>
      <c r="BF29" s="36">
        <v>-1.8450724093422965E-2</v>
      </c>
      <c r="BG29" s="183">
        <v>314573.90563794709</v>
      </c>
      <c r="BH29" s="36">
        <v>-2.0690750875032027E-2</v>
      </c>
      <c r="BI29" s="183">
        <v>308423.61822482687</v>
      </c>
      <c r="BJ29" s="36">
        <v>-1.9551168430984811E-2</v>
      </c>
      <c r="BK29" s="183">
        <v>308092.55807605002</v>
      </c>
      <c r="BL29" s="36">
        <v>-1.0733942837527488E-3</v>
      </c>
      <c r="BM29" s="183">
        <v>307037.0851852576</v>
      </c>
      <c r="BN29" s="36">
        <v>-3.4258305276295697E-3</v>
      </c>
      <c r="BO29" s="183">
        <v>301857.90412314358</v>
      </c>
      <c r="BP29" s="36">
        <v>-1.686825895637023E-2</v>
      </c>
      <c r="BQ29" s="183">
        <v>298853.75503415312</v>
      </c>
      <c r="BR29" s="36">
        <v>-9.9521962087331106E-3</v>
      </c>
      <c r="BS29" s="183">
        <v>296416.32505120052</v>
      </c>
      <c r="BT29" s="36">
        <v>-8.1559289180557215E-3</v>
      </c>
      <c r="BU29" s="183">
        <v>296895.23621274339</v>
      </c>
      <c r="BV29" s="36">
        <v>1.6156706667898035E-3</v>
      </c>
      <c r="BW29" s="183">
        <v>297406.94574075512</v>
      </c>
      <c r="BX29" s="36">
        <v>1.7235356637552712E-3</v>
      </c>
      <c r="BY29" s="183">
        <v>298460.60393010598</v>
      </c>
      <c r="BZ29" s="36">
        <v>3.5428163479049868E-3</v>
      </c>
      <c r="CA29" s="183">
        <v>299938.94214565807</v>
      </c>
      <c r="CB29" s="36">
        <v>4.9532105614122912E-3</v>
      </c>
      <c r="CC29" s="183">
        <v>300379.37446483312</v>
      </c>
      <c r="CD29" s="36">
        <v>1.4684065897689891E-3</v>
      </c>
      <c r="CE29" s="183">
        <v>303225.98987913458</v>
      </c>
      <c r="CF29" s="36">
        <v>9.4767339447758836E-3</v>
      </c>
      <c r="CG29" s="183">
        <v>307368.10369987052</v>
      </c>
      <c r="CH29" s="36">
        <v>1.3660154336991415E-2</v>
      </c>
      <c r="CI29" s="183">
        <v>314128.71891417587</v>
      </c>
      <c r="CJ29" s="36">
        <v>2.1995174947972984E-2</v>
      </c>
      <c r="CK29" s="183">
        <v>321168.53584189608</v>
      </c>
      <c r="CL29" s="36">
        <v>2.2410612286753562E-2</v>
      </c>
      <c r="CM29" s="183">
        <v>323237.1142766329</v>
      </c>
      <c r="CN29" s="36">
        <v>6.4407879474068785E-3</v>
      </c>
      <c r="CO29" s="183">
        <v>326254.4047485473</v>
      </c>
      <c r="CP29" s="36">
        <v>9.3346040372459527E-3</v>
      </c>
      <c r="CQ29" s="183">
        <v>328426.97070733021</v>
      </c>
      <c r="CR29" s="36">
        <v>6.6591160982405473E-3</v>
      </c>
      <c r="CS29" s="183">
        <v>328810.32795796858</v>
      </c>
      <c r="CT29" s="36">
        <v>1.1672526461901089E-3</v>
      </c>
      <c r="CU29" s="183">
        <v>330143.52980276878</v>
      </c>
      <c r="CV29" s="36">
        <v>4.0546227762365827E-3</v>
      </c>
      <c r="CW29" s="183">
        <v>330494.80886684521</v>
      </c>
      <c r="CX29" s="36">
        <v>1.0640192291100359E-3</v>
      </c>
      <c r="CY29" s="183">
        <v>329507.20153990138</v>
      </c>
      <c r="CZ29" s="36">
        <v>-2.988268803162164E-3</v>
      </c>
      <c r="DA29" s="183">
        <v>329242.58834747411</v>
      </c>
      <c r="DB29" s="36">
        <v>-8.0305738748842614E-4</v>
      </c>
      <c r="DC29" s="183">
        <v>330942.83815609728</v>
      </c>
      <c r="DD29" s="36">
        <v>5.1641247785014777E-3</v>
      </c>
      <c r="DE29" s="183">
        <v>330336.17872488959</v>
      </c>
      <c r="DF29" s="36">
        <v>-1.8331245195931656E-3</v>
      </c>
      <c r="DG29" s="183">
        <v>331132.64062906388</v>
      </c>
      <c r="DH29" s="36">
        <v>2.4110647136763586E-3</v>
      </c>
      <c r="DI29" s="183">
        <v>330487.43833048351</v>
      </c>
      <c r="DJ29" s="36">
        <v>-1.9484708525099315E-3</v>
      </c>
      <c r="DK29" s="183">
        <v>330183.04751504032</v>
      </c>
      <c r="DL29" s="36">
        <v>-9.2103596124826215E-4</v>
      </c>
      <c r="DM29" s="183">
        <v>331672.086974354</v>
      </c>
      <c r="DN29" s="36">
        <v>4.5097392810449222E-3</v>
      </c>
      <c r="DO29" s="183">
        <v>336113.39543653611</v>
      </c>
      <c r="DP29" s="36">
        <v>1.3390660946772881E-2</v>
      </c>
      <c r="DQ29" s="183">
        <v>338682.9193765801</v>
      </c>
      <c r="DR29" s="36">
        <v>7.6448126582600029E-3</v>
      </c>
      <c r="DS29" s="183">
        <v>338935.99935681309</v>
      </c>
      <c r="DT29" s="36">
        <v>7.4724754557697892E-4</v>
      </c>
      <c r="DU29" s="183">
        <v>341724.35932565929</v>
      </c>
      <c r="DV29" s="36">
        <v>8.2268038040738123E-3</v>
      </c>
      <c r="DW29" s="183">
        <v>343250.62477042607</v>
      </c>
      <c r="DX29" s="36">
        <v>4.466364200019779E-3</v>
      </c>
      <c r="DY29" s="183">
        <v>344838.07020641002</v>
      </c>
      <c r="DZ29" s="36">
        <v>4.6247415778066792E-3</v>
      </c>
      <c r="EA29" s="183">
        <v>344945.80126026628</v>
      </c>
      <c r="EB29" s="36">
        <v>3.1241055777786464E-4</v>
      </c>
      <c r="EC29" s="183">
        <v>347418.75309579581</v>
      </c>
      <c r="ED29" s="36">
        <v>7.1691025850859624E-3</v>
      </c>
      <c r="EE29" s="183">
        <v>348719.96547182067</v>
      </c>
      <c r="EF29" s="36">
        <v>3.7453717291595634E-3</v>
      </c>
    </row>
    <row r="30" spans="2:136" ht="14.55" customHeight="1" x14ac:dyDescent="0.3">
      <c r="B30" t="s">
        <v>244</v>
      </c>
      <c r="C30" s="183">
        <v>195689.13369485462</v>
      </c>
      <c r="D30" s="36">
        <v>0</v>
      </c>
      <c r="E30" s="183">
        <v>199279.43185268046</v>
      </c>
      <c r="F30" s="36">
        <v>1.8346946966530719E-2</v>
      </c>
      <c r="G30" s="183">
        <v>203485.70774147296</v>
      </c>
      <c r="H30" s="36">
        <v>2.1107426138699648E-2</v>
      </c>
      <c r="I30" s="183">
        <v>204127.9181143186</v>
      </c>
      <c r="J30" s="36">
        <v>3.1560465841737884E-3</v>
      </c>
      <c r="K30" s="183">
        <v>204628.71519037255</v>
      </c>
      <c r="L30" s="36">
        <v>2.4533492560947501E-3</v>
      </c>
      <c r="M30" s="183">
        <v>205183.89669872029</v>
      </c>
      <c r="N30" s="36">
        <v>2.7131163279368042E-3</v>
      </c>
      <c r="O30" s="183">
        <v>208545.5849842903</v>
      </c>
      <c r="P30" s="36">
        <v>1.6383782254150825E-2</v>
      </c>
      <c r="Q30" s="183">
        <v>212295.60668226599</v>
      </c>
      <c r="R30" s="36">
        <v>1.7981784166076542E-2</v>
      </c>
      <c r="S30" s="183">
        <v>218383.82581986193</v>
      </c>
      <c r="T30" s="36">
        <v>2.8678026986719063E-2</v>
      </c>
      <c r="U30" s="183">
        <v>224126.573099884</v>
      </c>
      <c r="V30" s="36">
        <v>2.6296577864512116E-2</v>
      </c>
      <c r="W30" s="183">
        <v>227430.00151716819</v>
      </c>
      <c r="X30" s="36">
        <v>1.4739119826777447E-2</v>
      </c>
      <c r="Y30" s="183">
        <v>226980.94736958799</v>
      </c>
      <c r="Z30" s="36">
        <v>-1.9744719016162593E-3</v>
      </c>
      <c r="AA30" s="183">
        <v>227817</v>
      </c>
      <c r="AB30" s="36">
        <v>3.6833603881769594E-3</v>
      </c>
      <c r="AC30" s="183">
        <v>230654</v>
      </c>
      <c r="AD30" s="36">
        <v>1.2452977609221483E-2</v>
      </c>
      <c r="AE30" s="183">
        <v>232671</v>
      </c>
      <c r="AF30" s="36">
        <v>8.7446998534601583E-3</v>
      </c>
      <c r="AG30" s="183">
        <v>242760</v>
      </c>
      <c r="AH30" s="36">
        <v>4.3361656588057906E-2</v>
      </c>
      <c r="AI30" s="183">
        <v>250087.87851045234</v>
      </c>
      <c r="AJ30" s="36">
        <v>3.0185691672649284E-2</v>
      </c>
      <c r="AK30" s="183">
        <v>258704</v>
      </c>
      <c r="AL30" s="36">
        <v>3.4452375464441243E-2</v>
      </c>
      <c r="AM30" s="183">
        <v>262066.97207549991</v>
      </c>
      <c r="AN30" s="36">
        <v>1.2999304515971533E-2</v>
      </c>
      <c r="AO30" s="183">
        <v>267543.33263386798</v>
      </c>
      <c r="AP30" s="36">
        <v>2.089679792534227E-2</v>
      </c>
      <c r="AQ30" s="183">
        <v>271461.21226723271</v>
      </c>
      <c r="AR30" s="36">
        <v>1.4643906819858277E-2</v>
      </c>
      <c r="AS30" s="183">
        <v>275176.24553046102</v>
      </c>
      <c r="AT30" s="36">
        <v>1.3685318916100364E-2</v>
      </c>
      <c r="AU30" s="183">
        <v>279581.36686801759</v>
      </c>
      <c r="AV30" s="36">
        <v>1.6008363400208392E-2</v>
      </c>
      <c r="AW30" s="183">
        <v>283948.77177602582</v>
      </c>
      <c r="AX30" s="36">
        <v>1.5621230259132313E-2</v>
      </c>
      <c r="AY30" s="183">
        <v>287890.35994628642</v>
      </c>
      <c r="AZ30" s="36">
        <v>1.3881335515582682E-2</v>
      </c>
      <c r="BA30" s="183">
        <v>296364.80183482671</v>
      </c>
      <c r="BB30" s="36">
        <v>2.9436351707370134E-2</v>
      </c>
      <c r="BC30" s="183">
        <v>297827.46372484748</v>
      </c>
      <c r="BD30" s="36">
        <v>4.9353427970031394E-3</v>
      </c>
      <c r="BE30" s="183">
        <v>293393.42577519623</v>
      </c>
      <c r="BF30" s="36">
        <v>-1.4887941810993288E-2</v>
      </c>
      <c r="BG30" s="183">
        <v>294060.66383427603</v>
      </c>
      <c r="BH30" s="36">
        <v>2.2742093055316825E-3</v>
      </c>
      <c r="BI30" s="183">
        <v>288945.80174840608</v>
      </c>
      <c r="BJ30" s="36">
        <v>-1.7393901037891069E-2</v>
      </c>
      <c r="BK30" s="183">
        <v>286930.18072477228</v>
      </c>
      <c r="BL30" s="36">
        <v>-6.9757754272161687E-3</v>
      </c>
      <c r="BM30" s="183">
        <v>285504.26702068438</v>
      </c>
      <c r="BN30" s="36">
        <v>-4.9695493882383479E-3</v>
      </c>
      <c r="BO30" s="183">
        <v>281794.19893284788</v>
      </c>
      <c r="BP30" s="36">
        <v>-1.2994790328537231E-2</v>
      </c>
      <c r="BQ30" s="183">
        <v>278597.23265815148</v>
      </c>
      <c r="BR30" s="36">
        <v>-1.1345039347166463E-2</v>
      </c>
      <c r="BS30" s="183">
        <v>275840.2238329539</v>
      </c>
      <c r="BT30" s="36">
        <v>-9.8960380865682485E-3</v>
      </c>
      <c r="BU30" s="183">
        <v>275615.10457874852</v>
      </c>
      <c r="BV30" s="36">
        <v>-8.1612192405156048E-4</v>
      </c>
      <c r="BW30" s="183">
        <v>276820.27551149769</v>
      </c>
      <c r="BX30" s="36">
        <v>4.3726592364781158E-3</v>
      </c>
      <c r="BY30" s="183">
        <v>277437.93456249143</v>
      </c>
      <c r="BZ30" s="36">
        <v>2.2312637679897662E-3</v>
      </c>
      <c r="CA30" s="183">
        <v>277858.91699838708</v>
      </c>
      <c r="CB30" s="36">
        <v>1.5173932020491332E-3</v>
      </c>
      <c r="CC30" s="183">
        <v>279150.40118053567</v>
      </c>
      <c r="CD30" s="36">
        <v>4.6479853736567378E-3</v>
      </c>
      <c r="CE30" s="183">
        <v>279539.77466396021</v>
      </c>
      <c r="CF30" s="36">
        <v>1.3948519571451712E-3</v>
      </c>
      <c r="CG30" s="183">
        <v>284347.03525877051</v>
      </c>
      <c r="CH30" s="36">
        <v>1.7197053981277577E-2</v>
      </c>
      <c r="CI30" s="183">
        <v>291580.60943401378</v>
      </c>
      <c r="CJ30" s="36">
        <v>2.5439245985668046E-2</v>
      </c>
      <c r="CK30" s="183">
        <v>294447.35008345579</v>
      </c>
      <c r="CL30" s="36">
        <v>9.8317259676719004E-3</v>
      </c>
      <c r="CM30" s="183">
        <v>297704.71835918742</v>
      </c>
      <c r="CN30" s="36">
        <v>1.1062651013189262E-2</v>
      </c>
      <c r="CO30" s="183">
        <v>299211.42835346819</v>
      </c>
      <c r="CP30" s="36">
        <v>5.061088727733587E-3</v>
      </c>
      <c r="CQ30" s="183">
        <v>301104.78862383508</v>
      </c>
      <c r="CR30" s="36">
        <v>6.3278340696606428E-3</v>
      </c>
      <c r="CS30" s="183">
        <v>303900.31270526722</v>
      </c>
      <c r="CT30" s="36">
        <v>9.2842232573211447E-3</v>
      </c>
      <c r="CU30" s="183">
        <v>304797.91739474999</v>
      </c>
      <c r="CV30" s="36">
        <v>2.9536155507456918E-3</v>
      </c>
      <c r="CW30" s="183">
        <v>305786.89972633158</v>
      </c>
      <c r="CX30" s="36">
        <v>3.2447148590610819E-3</v>
      </c>
      <c r="CY30" s="183">
        <v>303756.42641210521</v>
      </c>
      <c r="CZ30" s="36">
        <v>-6.6401579532791022E-3</v>
      </c>
      <c r="DA30" s="183">
        <v>302621.59237596218</v>
      </c>
      <c r="DB30" s="36">
        <v>-3.736000089108904E-3</v>
      </c>
      <c r="DC30" s="183">
        <v>303820.5387852781</v>
      </c>
      <c r="DD30" s="36">
        <v>3.9618666992751184E-3</v>
      </c>
      <c r="DE30" s="183">
        <v>305159.31251833541</v>
      </c>
      <c r="DF30" s="36">
        <v>4.4064622438295675E-3</v>
      </c>
      <c r="DG30" s="183">
        <v>304370.83287192642</v>
      </c>
      <c r="DH30" s="36">
        <v>-2.583829541042193E-3</v>
      </c>
      <c r="DI30" s="183">
        <v>304404.80976587272</v>
      </c>
      <c r="DJ30" s="36">
        <v>1.116299273018484E-4</v>
      </c>
      <c r="DK30" s="183">
        <v>306631.17917172652</v>
      </c>
      <c r="DL30" s="36">
        <v>7.3138443757383431E-3</v>
      </c>
      <c r="DM30" s="183">
        <v>305179.86040978582</v>
      </c>
      <c r="DN30" s="36">
        <v>-4.7331088960391732E-3</v>
      </c>
      <c r="DO30" s="183">
        <v>306243.98326348321</v>
      </c>
      <c r="DP30" s="36">
        <v>3.4868711594158164E-3</v>
      </c>
      <c r="DQ30" s="183">
        <v>310326.18845235859</v>
      </c>
      <c r="DR30" s="36">
        <v>1.332991148225493E-2</v>
      </c>
      <c r="DS30" s="183">
        <v>313831.97483090812</v>
      </c>
      <c r="DT30" s="36">
        <v>1.1297101272803811E-2</v>
      </c>
      <c r="DU30" s="183">
        <v>316327.06470858649</v>
      </c>
      <c r="DV30" s="36">
        <v>7.950400461975704E-3</v>
      </c>
      <c r="DW30" s="183">
        <v>314724.05188943259</v>
      </c>
      <c r="DX30" s="36">
        <v>-5.0675803558910548E-3</v>
      </c>
      <c r="DY30" s="183">
        <v>315255.15594688873</v>
      </c>
      <c r="DZ30" s="36">
        <v>1.6875229403907621E-3</v>
      </c>
      <c r="EA30" s="183">
        <v>319672.09024320153</v>
      </c>
      <c r="EB30" s="36">
        <v>1.4010664736144429E-2</v>
      </c>
      <c r="EC30" s="183">
        <v>321520.85726986901</v>
      </c>
      <c r="ED30" s="36">
        <v>5.7833232336954588E-3</v>
      </c>
      <c r="EE30" s="183">
        <v>321601.43818400661</v>
      </c>
      <c r="EF30" s="36">
        <v>2.506242202195974E-4</v>
      </c>
    </row>
    <row r="31" spans="2:136" ht="14.55" customHeight="1" x14ac:dyDescent="0.3">
      <c r="B31" t="s">
        <v>227</v>
      </c>
      <c r="C31" s="183">
        <v>211922.92506207706</v>
      </c>
      <c r="D31" s="36">
        <v>0</v>
      </c>
      <c r="E31" s="183">
        <v>214557.84009216924</v>
      </c>
      <c r="F31" s="36">
        <v>1.2433364768442923E-2</v>
      </c>
      <c r="G31" s="183">
        <v>223078.79281268976</v>
      </c>
      <c r="H31" s="36">
        <v>3.9714012393395226E-2</v>
      </c>
      <c r="I31" s="183">
        <v>219803.99452767361</v>
      </c>
      <c r="J31" s="36">
        <v>-1.4680007201607337E-2</v>
      </c>
      <c r="K31" s="183">
        <v>216294.95157286353</v>
      </c>
      <c r="L31" s="36">
        <v>-1.5964418491804411E-2</v>
      </c>
      <c r="M31" s="183">
        <v>216240.63454763751</v>
      </c>
      <c r="N31" s="36">
        <v>-2.5112479431921297E-4</v>
      </c>
      <c r="O31" s="183">
        <v>218489.12762679125</v>
      </c>
      <c r="P31" s="36">
        <v>1.0398106183222344E-2</v>
      </c>
      <c r="Q31" s="183">
        <v>223895.59241500843</v>
      </c>
      <c r="R31" s="36">
        <v>2.4744777220458092E-2</v>
      </c>
      <c r="S31" s="183">
        <v>232284.88158100072</v>
      </c>
      <c r="T31" s="36">
        <v>3.7469648578173365E-2</v>
      </c>
      <c r="U31" s="183">
        <v>240315.44433147885</v>
      </c>
      <c r="V31" s="36">
        <v>3.4572042294873873E-2</v>
      </c>
      <c r="W31" s="183">
        <v>248499.86160222249</v>
      </c>
      <c r="X31" s="36">
        <v>3.4056975794924282E-2</v>
      </c>
      <c r="Y31" s="183">
        <v>252079.08210971011</v>
      </c>
      <c r="Z31" s="36">
        <v>1.4403309862670799E-2</v>
      </c>
      <c r="AA31" s="183">
        <v>249379</v>
      </c>
      <c r="AB31" s="36">
        <v>-1.0711250164482045E-2</v>
      </c>
      <c r="AC31" s="183">
        <v>256057.22500537531</v>
      </c>
      <c r="AD31" s="36">
        <v>2.6779420101032292E-2</v>
      </c>
      <c r="AE31" s="183">
        <v>259971.7770430946</v>
      </c>
      <c r="AF31" s="36">
        <v>1.5287801535915024E-2</v>
      </c>
      <c r="AG31" s="183">
        <v>264259.30843595619</v>
      </c>
      <c r="AH31" s="36">
        <v>1.6492295593113049E-2</v>
      </c>
      <c r="AI31" s="183">
        <v>263638.9330597294</v>
      </c>
      <c r="AJ31" s="36">
        <v>-2.3476008466779552E-3</v>
      </c>
      <c r="AK31" s="183">
        <v>270586.86449560802</v>
      </c>
      <c r="AL31" s="36">
        <v>2.635396583972871E-2</v>
      </c>
      <c r="AM31" s="183">
        <v>273464.63700159639</v>
      </c>
      <c r="AN31" s="36">
        <v>1.0635300096154765E-2</v>
      </c>
      <c r="AO31" s="183">
        <v>278765.98798666633</v>
      </c>
      <c r="AP31" s="36">
        <v>1.9385873958682964E-2</v>
      </c>
      <c r="AQ31" s="183">
        <v>285228.90836500551</v>
      </c>
      <c r="AR31" s="36">
        <v>2.3184034842329115E-2</v>
      </c>
      <c r="AS31" s="183">
        <v>289711.73171745968</v>
      </c>
      <c r="AT31" s="36">
        <v>1.5716581387737572E-2</v>
      </c>
      <c r="AU31" s="183">
        <v>292388.12739667401</v>
      </c>
      <c r="AV31" s="36">
        <v>9.2381335866111858E-3</v>
      </c>
      <c r="AW31" s="183">
        <v>301531.94290582743</v>
      </c>
      <c r="AX31" s="36">
        <v>3.1272868671402332E-2</v>
      </c>
      <c r="AY31" s="183">
        <v>306505.3299040483</v>
      </c>
      <c r="AZ31" s="36">
        <v>1.6493731809283485E-2</v>
      </c>
      <c r="BA31" s="183">
        <v>317477.79596749821</v>
      </c>
      <c r="BB31" s="36">
        <v>3.579861422600672E-2</v>
      </c>
      <c r="BC31" s="183">
        <v>317865.33061718981</v>
      </c>
      <c r="BD31" s="36">
        <v>1.2206669399055237E-3</v>
      </c>
      <c r="BE31" s="183">
        <v>314491.06933455681</v>
      </c>
      <c r="BF31" s="36">
        <v>-1.06153800292762E-2</v>
      </c>
      <c r="BG31" s="183">
        <v>306747.44519740611</v>
      </c>
      <c r="BH31" s="36">
        <v>-2.4622715530637218E-2</v>
      </c>
      <c r="BI31" s="183">
        <v>302028.76333584398</v>
      </c>
      <c r="BJ31" s="36">
        <v>-1.5382954073261956E-2</v>
      </c>
      <c r="BK31" s="183">
        <v>301502.58819331578</v>
      </c>
      <c r="BL31" s="36">
        <v>-1.7421358704936551E-3</v>
      </c>
      <c r="BM31" s="183">
        <v>299742.17782187578</v>
      </c>
      <c r="BN31" s="36">
        <v>-5.838790247171155E-3</v>
      </c>
      <c r="BO31" s="183">
        <v>295218.10880760069</v>
      </c>
      <c r="BP31" s="36">
        <v>-1.5093201254324562E-2</v>
      </c>
      <c r="BQ31" s="183">
        <v>290013.10981768259</v>
      </c>
      <c r="BR31" s="36">
        <v>-1.7631028838106633E-2</v>
      </c>
      <c r="BS31" s="183">
        <v>289305.56698198023</v>
      </c>
      <c r="BT31" s="36">
        <v>-2.4396925923354518E-3</v>
      </c>
      <c r="BU31" s="183">
        <v>290651.04610973608</v>
      </c>
      <c r="BV31" s="36">
        <v>4.6507197970360181E-3</v>
      </c>
      <c r="BW31" s="183">
        <v>289313.35217759508</v>
      </c>
      <c r="BX31" s="36">
        <v>-4.6024053587474523E-3</v>
      </c>
      <c r="BY31" s="183">
        <v>291927.00474655448</v>
      </c>
      <c r="BZ31" s="36">
        <v>9.0339852941008214E-3</v>
      </c>
      <c r="CA31" s="183">
        <v>294542.43336894322</v>
      </c>
      <c r="CB31" s="36">
        <v>8.9591869880603081E-3</v>
      </c>
      <c r="CC31" s="183">
        <v>297107.98577907193</v>
      </c>
      <c r="CD31" s="36">
        <v>8.7102981420510428E-3</v>
      </c>
      <c r="CE31" s="183">
        <v>301766.00375931652</v>
      </c>
      <c r="CF31" s="36">
        <v>1.5677861933028892E-2</v>
      </c>
      <c r="CG31" s="183">
        <v>307084.6799054633</v>
      </c>
      <c r="CH31" s="36">
        <v>1.7625166784489332E-2</v>
      </c>
      <c r="CI31" s="183">
        <v>315410.97976804298</v>
      </c>
      <c r="CJ31" s="36">
        <v>2.7114019055404892E-2</v>
      </c>
      <c r="CK31" s="183">
        <v>319495.38175727188</v>
      </c>
      <c r="CL31" s="36">
        <v>1.2949460390480505E-2</v>
      </c>
      <c r="CM31" s="183">
        <v>322172.24541405181</v>
      </c>
      <c r="CN31" s="36">
        <v>8.3784111121005811E-3</v>
      </c>
      <c r="CO31" s="183">
        <v>330385.81442517339</v>
      </c>
      <c r="CP31" s="36">
        <v>2.5494340769688595E-2</v>
      </c>
      <c r="CQ31" s="183">
        <v>331229.33674344502</v>
      </c>
      <c r="CR31" s="36">
        <v>2.5531432689966937E-3</v>
      </c>
      <c r="CS31" s="183">
        <v>331327.5585186574</v>
      </c>
      <c r="CT31" s="36">
        <v>2.9653706455490259E-4</v>
      </c>
      <c r="CU31" s="183">
        <v>332830.33556204388</v>
      </c>
      <c r="CV31" s="36">
        <v>4.5356234480020685E-3</v>
      </c>
      <c r="CW31" s="183">
        <v>332550.31321326829</v>
      </c>
      <c r="CX31" s="36">
        <v>-8.4133661765750656E-4</v>
      </c>
      <c r="CY31" s="183">
        <v>335124.97603968438</v>
      </c>
      <c r="CZ31" s="36">
        <v>7.7421753163855467E-3</v>
      </c>
      <c r="DA31" s="183">
        <v>333732.1697959337</v>
      </c>
      <c r="DB31" s="36">
        <v>-4.1560800994604463E-3</v>
      </c>
      <c r="DC31" s="183">
        <v>333764.65117828222</v>
      </c>
      <c r="DD31" s="36">
        <v>9.7327693546533922E-5</v>
      </c>
      <c r="DE31" s="183">
        <v>336614.32469798689</v>
      </c>
      <c r="DF31" s="36">
        <v>8.5379728190044801E-3</v>
      </c>
      <c r="DG31" s="183">
        <v>332583.65265418711</v>
      </c>
      <c r="DH31" s="36">
        <v>-1.1974154835555861E-2</v>
      </c>
      <c r="DI31" s="183">
        <v>333453.58297836472</v>
      </c>
      <c r="DJ31" s="36">
        <v>2.6156737327138746E-3</v>
      </c>
      <c r="DK31" s="183">
        <v>328142.68042187352</v>
      </c>
      <c r="DL31" s="36">
        <v>-1.5926962034880199E-2</v>
      </c>
      <c r="DM31" s="183">
        <v>327399.52271234401</v>
      </c>
      <c r="DN31" s="36">
        <v>-2.2647395595539743E-3</v>
      </c>
      <c r="DO31" s="183">
        <v>328521.9967413015</v>
      </c>
      <c r="DP31" s="36">
        <v>3.4284534676725098E-3</v>
      </c>
      <c r="DQ31" s="183">
        <v>334847.28011468862</v>
      </c>
      <c r="DR31" s="36">
        <v>1.9253759066757636E-2</v>
      </c>
      <c r="DS31" s="183">
        <v>335102.60702170612</v>
      </c>
      <c r="DT31" s="36">
        <v>7.6251748836075883E-4</v>
      </c>
      <c r="DU31" s="183">
        <v>336597.12595187902</v>
      </c>
      <c r="DV31" s="36">
        <v>4.4598845215073624E-3</v>
      </c>
      <c r="DW31" s="183">
        <v>335750.1813191523</v>
      </c>
      <c r="DX31" s="36">
        <v>-2.5161968639263455E-3</v>
      </c>
      <c r="DY31" s="183">
        <v>336790.17124595778</v>
      </c>
      <c r="DZ31" s="36">
        <v>3.0975111397391064E-3</v>
      </c>
      <c r="EA31" s="183">
        <v>336678.29908251087</v>
      </c>
      <c r="EB31" s="36">
        <v>-3.3217169917110212E-4</v>
      </c>
      <c r="EC31" s="183">
        <v>340593.1035257433</v>
      </c>
      <c r="ED31" s="36">
        <v>1.1627730251402513E-2</v>
      </c>
      <c r="EE31" s="183">
        <v>341954.07260854339</v>
      </c>
      <c r="EF31" s="36">
        <v>3.9958797424599624E-3</v>
      </c>
    </row>
    <row r="32" spans="2:136" ht="14.55" customHeight="1" x14ac:dyDescent="0.3">
      <c r="B32" t="s">
        <v>13</v>
      </c>
      <c r="C32" s="183">
        <v>107661.93485617486</v>
      </c>
      <c r="D32" s="36">
        <v>0</v>
      </c>
      <c r="E32" s="183">
        <v>109808.94645375002</v>
      </c>
      <c r="F32" s="36">
        <v>1.9942160620123994E-2</v>
      </c>
      <c r="G32" s="183">
        <v>110007.16171009434</v>
      </c>
      <c r="H32" s="36">
        <v>1.8050920507448609E-3</v>
      </c>
      <c r="I32" s="183">
        <v>114759.13339828324</v>
      </c>
      <c r="J32" s="36">
        <v>4.3196930220888108E-2</v>
      </c>
      <c r="K32" s="183">
        <v>119193.28772187616</v>
      </c>
      <c r="L32" s="36">
        <v>3.8638792332142513E-2</v>
      </c>
      <c r="M32" s="183">
        <v>118866.70313547953</v>
      </c>
      <c r="N32" s="36">
        <v>-2.7399578670794789E-3</v>
      </c>
      <c r="O32" s="183">
        <v>122283.18840027084</v>
      </c>
      <c r="P32" s="36">
        <v>2.8742155495785404E-2</v>
      </c>
      <c r="Q32" s="183">
        <v>124611.10201898518</v>
      </c>
      <c r="R32" s="36">
        <v>1.9037070010755386E-2</v>
      </c>
      <c r="S32" s="183">
        <v>129934.95857910582</v>
      </c>
      <c r="T32" s="36">
        <v>4.2723773996553804E-2</v>
      </c>
      <c r="U32" s="183">
        <v>129043</v>
      </c>
      <c r="V32" s="36">
        <v>-6.8646543536841076E-3</v>
      </c>
      <c r="W32" s="183">
        <v>129358</v>
      </c>
      <c r="X32" s="36">
        <v>2.4410467828552829E-3</v>
      </c>
      <c r="Y32" s="183">
        <v>129570.29291170731</v>
      </c>
      <c r="Z32" s="36">
        <v>1.6411270405178868E-3</v>
      </c>
      <c r="AA32" s="183">
        <v>130229</v>
      </c>
      <c r="AB32" s="36">
        <v>5.0837817333757584E-3</v>
      </c>
      <c r="AC32" s="183">
        <v>132518.89463728989</v>
      </c>
      <c r="AD32" s="36">
        <v>1.7583599945403039E-2</v>
      </c>
      <c r="AE32" s="183">
        <v>139459.01967022661</v>
      </c>
      <c r="AF32" s="36">
        <v>5.2370834000178945E-2</v>
      </c>
      <c r="AG32" s="183">
        <v>142362.58756016791</v>
      </c>
      <c r="AH32" s="36">
        <v>2.0820223007498972E-2</v>
      </c>
      <c r="AI32" s="183">
        <v>143498.26577306702</v>
      </c>
      <c r="AJ32" s="36">
        <v>7.9773642244254095E-3</v>
      </c>
      <c r="AK32" s="183">
        <v>147506.88143227229</v>
      </c>
      <c r="AL32" s="36">
        <v>2.7934941496398524E-2</v>
      </c>
      <c r="AM32" s="183">
        <v>151436.4457790372</v>
      </c>
      <c r="AN32" s="36">
        <v>2.6639871364707579E-2</v>
      </c>
      <c r="AO32" s="183">
        <v>155868.4950546629</v>
      </c>
      <c r="AP32" s="36">
        <v>2.9266728051003943E-2</v>
      </c>
      <c r="AQ32" s="183">
        <v>157390.60041545649</v>
      </c>
      <c r="AR32" s="36">
        <v>9.7653176176479839E-3</v>
      </c>
      <c r="AS32" s="183">
        <v>159785.937546264</v>
      </c>
      <c r="AT32" s="36">
        <v>1.5219060887274427E-2</v>
      </c>
      <c r="AU32" s="183">
        <v>161645.5357903064</v>
      </c>
      <c r="AV32" s="36">
        <v>1.1638059472561357E-2</v>
      </c>
      <c r="AW32" s="183">
        <v>170210.68660550661</v>
      </c>
      <c r="AX32" s="36">
        <v>5.2987240094964916E-2</v>
      </c>
      <c r="AY32" s="183">
        <v>174859.56953524469</v>
      </c>
      <c r="AZ32" s="36">
        <v>2.7312520867227796E-2</v>
      </c>
      <c r="BA32" s="183">
        <v>179453.84332747641</v>
      </c>
      <c r="BB32" s="36">
        <v>2.6274076988995976E-2</v>
      </c>
      <c r="BC32" s="183">
        <v>179428.2809239756</v>
      </c>
      <c r="BD32" s="36">
        <v>-1.4244556163756084E-4</v>
      </c>
      <c r="BE32" s="183">
        <v>177505.728807262</v>
      </c>
      <c r="BF32" s="36">
        <v>-1.0714877871054185E-2</v>
      </c>
      <c r="BG32" s="183">
        <v>172695.16443705879</v>
      </c>
      <c r="BH32" s="36">
        <v>-2.7100896419104181E-2</v>
      </c>
      <c r="BI32" s="183">
        <v>173119.69770832741</v>
      </c>
      <c r="BJ32" s="36">
        <v>2.4582811722173581E-3</v>
      </c>
      <c r="BK32" s="183">
        <v>173425.58342890229</v>
      </c>
      <c r="BL32" s="36">
        <v>1.7669030423692611E-3</v>
      </c>
      <c r="BM32" s="183">
        <v>172950.42462868241</v>
      </c>
      <c r="BN32" s="36">
        <v>-2.7398425931470793E-3</v>
      </c>
      <c r="BO32" s="183">
        <v>171117.59397983059</v>
      </c>
      <c r="BP32" s="36">
        <v>-1.0597433644854215E-2</v>
      </c>
      <c r="BQ32" s="183">
        <v>169378.69014830299</v>
      </c>
      <c r="BR32" s="36">
        <v>-1.016203998130405E-2</v>
      </c>
      <c r="BS32" s="183">
        <v>166884.05761793401</v>
      </c>
      <c r="BT32" s="36">
        <v>-1.4728136864116448E-2</v>
      </c>
      <c r="BU32" s="183">
        <v>166417.40270443531</v>
      </c>
      <c r="BV32" s="36">
        <v>-2.7962821623565004E-3</v>
      </c>
      <c r="BW32" s="183">
        <v>167266.13257967349</v>
      </c>
      <c r="BX32" s="36">
        <v>5.1000067387516612E-3</v>
      </c>
      <c r="BY32" s="183">
        <v>167153.23560872281</v>
      </c>
      <c r="BZ32" s="36">
        <v>-6.7495415365625977E-4</v>
      </c>
      <c r="CA32" s="183">
        <v>169292.30333286771</v>
      </c>
      <c r="CB32" s="36">
        <v>1.2797046472687423E-2</v>
      </c>
      <c r="CC32" s="183">
        <v>169224.4777980012</v>
      </c>
      <c r="CD32" s="36">
        <v>-4.0064157395947042E-4</v>
      </c>
      <c r="CE32" s="183">
        <v>168786.20138819891</v>
      </c>
      <c r="CF32" s="36">
        <v>-2.5899114330578676E-3</v>
      </c>
      <c r="CG32" s="183">
        <v>169405.6820692218</v>
      </c>
      <c r="CH32" s="36">
        <v>3.6702092702360911E-3</v>
      </c>
      <c r="CI32" s="183">
        <v>170438.21435076979</v>
      </c>
      <c r="CJ32" s="36">
        <v>6.0950274449831365E-3</v>
      </c>
      <c r="CK32" s="183">
        <v>169604.45126178401</v>
      </c>
      <c r="CL32" s="36">
        <v>-4.8918788087620735E-3</v>
      </c>
      <c r="CM32" s="183">
        <v>171082.35500495299</v>
      </c>
      <c r="CN32" s="36">
        <v>8.7138263894255275E-3</v>
      </c>
      <c r="CO32" s="183">
        <v>175058.3183724765</v>
      </c>
      <c r="CP32" s="36">
        <v>2.3240055161786843E-2</v>
      </c>
      <c r="CQ32" s="183">
        <v>173276.8953003163</v>
      </c>
      <c r="CR32" s="36">
        <v>-1.0176169225902254E-2</v>
      </c>
      <c r="CS32" s="183">
        <v>173619.68782866441</v>
      </c>
      <c r="CT32" s="36">
        <v>1.9782933423062588E-3</v>
      </c>
      <c r="CU32" s="183">
        <v>175328.29291796251</v>
      </c>
      <c r="CV32" s="36">
        <v>9.8410791464169645E-3</v>
      </c>
      <c r="CW32" s="183">
        <v>176039.49770234569</v>
      </c>
      <c r="CX32" s="36">
        <v>4.0564176639532601E-3</v>
      </c>
      <c r="CY32" s="183">
        <v>176361.32521656499</v>
      </c>
      <c r="CZ32" s="36">
        <v>1.8281551493828374E-3</v>
      </c>
      <c r="DA32" s="183">
        <v>179780.3444011519</v>
      </c>
      <c r="DB32" s="36">
        <v>1.9386445301363464E-2</v>
      </c>
      <c r="DC32" s="183">
        <v>179802.7370713735</v>
      </c>
      <c r="DD32" s="36">
        <v>1.245557199047731E-4</v>
      </c>
      <c r="DE32" s="183">
        <v>177297.80959032101</v>
      </c>
      <c r="DF32" s="36">
        <v>-1.3931531420782295E-2</v>
      </c>
      <c r="DG32" s="183">
        <v>176451.65824309239</v>
      </c>
      <c r="DH32" s="36">
        <v>-4.7724861868502222E-3</v>
      </c>
      <c r="DI32" s="183">
        <v>179482.84446282289</v>
      </c>
      <c r="DJ32" s="36">
        <v>1.7178564655677686E-2</v>
      </c>
      <c r="DK32" s="183">
        <v>182515.90208325029</v>
      </c>
      <c r="DL32" s="36">
        <v>1.6898872031503087E-2</v>
      </c>
      <c r="DM32" s="183">
        <v>181365.07183546119</v>
      </c>
      <c r="DN32" s="36">
        <v>-6.3053697494488414E-3</v>
      </c>
      <c r="DO32" s="183">
        <v>178473.17653709589</v>
      </c>
      <c r="DP32" s="36">
        <v>-1.5945161155334842E-2</v>
      </c>
      <c r="DQ32" s="183">
        <v>180703.00025535861</v>
      </c>
      <c r="DR32" s="36">
        <v>1.249388710128807E-2</v>
      </c>
      <c r="DS32" s="183">
        <v>183225.25019643709</v>
      </c>
      <c r="DT32" s="36">
        <v>1.3957985963233499E-2</v>
      </c>
      <c r="DU32" s="183">
        <v>181176.34098034751</v>
      </c>
      <c r="DV32" s="36">
        <v>-1.1182461008474198E-2</v>
      </c>
      <c r="DW32" s="183">
        <v>182244.0329244571</v>
      </c>
      <c r="DX32" s="36">
        <v>5.8931091020621995E-3</v>
      </c>
      <c r="DY32" s="183">
        <v>180956.4947770311</v>
      </c>
      <c r="DZ32" s="36">
        <v>-7.0649125064067286E-3</v>
      </c>
      <c r="EA32" s="183">
        <v>180581.59659172891</v>
      </c>
      <c r="EB32" s="36">
        <v>-2.071758660909695E-3</v>
      </c>
      <c r="EC32" s="183">
        <v>182474.551632741</v>
      </c>
      <c r="ED32" s="36">
        <v>1.0482546819495786E-2</v>
      </c>
      <c r="EE32" s="183">
        <v>182007.55114424881</v>
      </c>
      <c r="EF32" s="36">
        <v>-2.5592636579379047E-3</v>
      </c>
    </row>
    <row r="33" spans="2:136" ht="14.55" customHeight="1" x14ac:dyDescent="0.3">
      <c r="B33" t="s">
        <v>228</v>
      </c>
      <c r="C33" s="183">
        <v>435844.15611544129</v>
      </c>
      <c r="D33" s="36">
        <v>0</v>
      </c>
      <c r="E33" s="183">
        <v>454712.7449541252</v>
      </c>
      <c r="F33" s="36">
        <v>4.3292054221523601E-2</v>
      </c>
      <c r="G33" s="183">
        <v>506845.22688288271</v>
      </c>
      <c r="H33" s="36">
        <v>0.1146492648540498</v>
      </c>
      <c r="I33" s="183">
        <v>476637.9608552499</v>
      </c>
      <c r="J33" s="36">
        <v>-5.9598600175064576E-2</v>
      </c>
      <c r="K33" s="183">
        <v>473423.35592662328</v>
      </c>
      <c r="L33" s="36">
        <v>-6.7443325807674537E-3</v>
      </c>
      <c r="M33" s="183">
        <v>470411.8491181531</v>
      </c>
      <c r="N33" s="36">
        <v>-6.3611285137713525E-3</v>
      </c>
      <c r="O33" s="183">
        <v>473782.59513865499</v>
      </c>
      <c r="P33" s="36">
        <v>7.165521078647874E-3</v>
      </c>
      <c r="Q33" s="183">
        <v>480526.8372177697</v>
      </c>
      <c r="R33" s="36">
        <v>1.4234887790973039E-2</v>
      </c>
      <c r="S33" s="183">
        <v>485369.39769288228</v>
      </c>
      <c r="T33" s="36">
        <v>1.0077606701741848E-2</v>
      </c>
      <c r="U33" s="183">
        <v>492923.83831749501</v>
      </c>
      <c r="V33" s="36">
        <v>1.5564311760324134E-2</v>
      </c>
      <c r="W33" s="183">
        <v>492266.94837677892</v>
      </c>
      <c r="X33" s="36">
        <v>-1.3326398312532017E-3</v>
      </c>
      <c r="Y33" s="183">
        <v>496551.37231304799</v>
      </c>
      <c r="Z33" s="36">
        <v>8.703456428258427E-3</v>
      </c>
      <c r="AA33" s="183">
        <v>485358</v>
      </c>
      <c r="AB33" s="36">
        <v>-2.2542224102426234E-2</v>
      </c>
      <c r="AC33" s="183">
        <v>506384.34900950472</v>
      </c>
      <c r="AD33" s="36">
        <v>4.3321319540431391E-2</v>
      </c>
      <c r="AE33" s="183">
        <v>506551.61429924797</v>
      </c>
      <c r="AF33" s="36">
        <v>3.3031291364049586E-4</v>
      </c>
      <c r="AG33" s="183">
        <v>517047.08268324181</v>
      </c>
      <c r="AH33" s="36">
        <v>2.0719445141859971E-2</v>
      </c>
      <c r="AI33" s="183">
        <v>523622.43571524927</v>
      </c>
      <c r="AJ33" s="36">
        <v>1.27171262583754E-2</v>
      </c>
      <c r="AK33" s="183">
        <v>537692.18327814108</v>
      </c>
      <c r="AL33" s="36">
        <v>2.6870024283189853E-2</v>
      </c>
      <c r="AM33" s="183">
        <v>542877.9800446697</v>
      </c>
      <c r="AN33" s="36">
        <v>9.6445455742213415E-3</v>
      </c>
      <c r="AO33" s="183">
        <v>543264.80966320937</v>
      </c>
      <c r="AP33" s="36">
        <v>7.1255352539401073E-4</v>
      </c>
      <c r="AQ33" s="183">
        <v>542715.61971284903</v>
      </c>
      <c r="AR33" s="36">
        <v>-1.0109065424296348E-3</v>
      </c>
      <c r="AS33" s="183">
        <v>555672.40852921503</v>
      </c>
      <c r="AT33" s="36">
        <v>2.3873992834813729E-2</v>
      </c>
      <c r="AU33" s="183">
        <v>556712.36456874479</v>
      </c>
      <c r="AV33" s="36">
        <v>1.8715272228153612E-3</v>
      </c>
      <c r="AW33" s="183">
        <v>566412.42145575269</v>
      </c>
      <c r="AX33" s="36">
        <v>1.7423821535780037E-2</v>
      </c>
      <c r="AY33" s="183">
        <v>581480.31554015295</v>
      </c>
      <c r="AZ33" s="36">
        <v>2.6602336943236216E-2</v>
      </c>
      <c r="BA33" s="183">
        <v>614649.65555774572</v>
      </c>
      <c r="BB33" s="36">
        <v>5.7042928421026318E-2</v>
      </c>
      <c r="BC33" s="183">
        <v>611145.75765048899</v>
      </c>
      <c r="BD33" s="36">
        <v>-5.7006424319513416E-3</v>
      </c>
      <c r="BE33" s="183">
        <v>582476.15835085395</v>
      </c>
      <c r="BF33" s="36">
        <v>-4.6911230161939543E-2</v>
      </c>
      <c r="BG33" s="183">
        <v>561015.95666451391</v>
      </c>
      <c r="BH33" s="36">
        <v>-3.68430559408639E-2</v>
      </c>
      <c r="BI33" s="183">
        <v>560227.79481246381</v>
      </c>
      <c r="BJ33" s="36">
        <v>-1.4048831279881435E-3</v>
      </c>
      <c r="BK33" s="183">
        <v>556845.13157476194</v>
      </c>
      <c r="BL33" s="36">
        <v>-6.0380139454420112E-3</v>
      </c>
      <c r="BM33" s="183">
        <v>546331.8309059419</v>
      </c>
      <c r="BN33" s="36">
        <v>-1.8880115983214818E-2</v>
      </c>
      <c r="BO33" s="183">
        <v>540294.95933754591</v>
      </c>
      <c r="BP33" s="36">
        <v>-1.1049825814442249E-2</v>
      </c>
      <c r="BQ33" s="183">
        <v>537600.66520599893</v>
      </c>
      <c r="BR33" s="36">
        <v>-4.9867097313853748E-3</v>
      </c>
      <c r="BS33" s="183">
        <v>536836.10728846374</v>
      </c>
      <c r="BT33" s="36">
        <v>-1.4221669856793184E-3</v>
      </c>
      <c r="BU33" s="183">
        <v>538747.59144121234</v>
      </c>
      <c r="BV33" s="36">
        <v>3.560647517551363E-3</v>
      </c>
      <c r="BW33" s="183">
        <v>536305.76087202888</v>
      </c>
      <c r="BX33" s="36">
        <v>-4.5324203912471273E-3</v>
      </c>
      <c r="BY33" s="183">
        <v>536010.63663105911</v>
      </c>
      <c r="BZ33" s="36">
        <v>-5.5029101401016245E-4</v>
      </c>
      <c r="CA33" s="183">
        <v>543077.44689871592</v>
      </c>
      <c r="CB33" s="36">
        <v>1.3184085883207963E-2</v>
      </c>
      <c r="CC33" s="183">
        <v>544627.00601036567</v>
      </c>
      <c r="CD33" s="36">
        <v>2.8532930625246866E-3</v>
      </c>
      <c r="CE33" s="183">
        <v>557314.28719865577</v>
      </c>
      <c r="CF33" s="36">
        <v>2.3295358196116833E-2</v>
      </c>
      <c r="CG33" s="183">
        <v>562979.3614458685</v>
      </c>
      <c r="CH33" s="36">
        <v>1.0164954276855598E-2</v>
      </c>
      <c r="CI33" s="183">
        <v>574623.85455811245</v>
      </c>
      <c r="CJ33" s="36">
        <v>2.0683694482756865E-2</v>
      </c>
      <c r="CK33" s="183">
        <v>595010.14708373242</v>
      </c>
      <c r="CL33" s="36">
        <v>3.5477630042520802E-2</v>
      </c>
      <c r="CM33" s="183">
        <v>605411.52182038175</v>
      </c>
      <c r="CN33" s="36">
        <v>1.7481003958720098E-2</v>
      </c>
      <c r="CO33" s="183">
        <v>606601.23705547978</v>
      </c>
      <c r="CP33" s="36">
        <v>1.9651347756328708E-3</v>
      </c>
      <c r="CQ33" s="183">
        <v>608292.30991363106</v>
      </c>
      <c r="CR33" s="36">
        <v>2.7877833984644163E-3</v>
      </c>
      <c r="CS33" s="183">
        <v>615847.26275145845</v>
      </c>
      <c r="CT33" s="36">
        <v>1.2419938103278128E-2</v>
      </c>
      <c r="CU33" s="183">
        <v>616123.2832791314</v>
      </c>
      <c r="CV33" s="36">
        <v>4.4819640252957704E-4</v>
      </c>
      <c r="CW33" s="183">
        <v>621741.88222202507</v>
      </c>
      <c r="CX33" s="36">
        <v>9.1192770917378763E-3</v>
      </c>
      <c r="CY33" s="183">
        <v>625378.28355069715</v>
      </c>
      <c r="CZ33" s="36">
        <v>5.8487314955781855E-3</v>
      </c>
      <c r="DA33" s="183">
        <v>619613.0278825399</v>
      </c>
      <c r="DB33" s="36">
        <v>-9.2188293386588072E-3</v>
      </c>
      <c r="DC33" s="183">
        <v>615668.10828646296</v>
      </c>
      <c r="DD33" s="36">
        <v>-6.3667473383480777E-3</v>
      </c>
      <c r="DE33" s="183">
        <v>618441.30236516264</v>
      </c>
      <c r="DF33" s="36">
        <v>4.504365325041837E-3</v>
      </c>
      <c r="DG33" s="183">
        <v>619052.451207601</v>
      </c>
      <c r="DH33" s="36">
        <v>9.8820832324930663E-4</v>
      </c>
      <c r="DI33" s="183">
        <v>623394.61502750486</v>
      </c>
      <c r="DJ33" s="36">
        <v>7.0142098806547093E-3</v>
      </c>
      <c r="DK33" s="183">
        <v>632447.93427811598</v>
      </c>
      <c r="DL33" s="36">
        <v>1.4522613818554797E-2</v>
      </c>
      <c r="DM33" s="183">
        <v>652096</v>
      </c>
      <c r="DN33" s="36">
        <v>3.1066692856401845E-2</v>
      </c>
      <c r="DO33" s="183">
        <v>668882.37539405178</v>
      </c>
      <c r="DP33" s="36">
        <v>2.5742184270493684E-2</v>
      </c>
      <c r="DQ33" s="183">
        <v>687136.88857030531</v>
      </c>
      <c r="DR33" s="36">
        <v>2.7291066184094603E-2</v>
      </c>
      <c r="DS33" s="183">
        <v>675010.44577401597</v>
      </c>
      <c r="DT33" s="36">
        <v>-1.7647783138990403E-2</v>
      </c>
      <c r="DU33" s="183">
        <v>675566.28607855435</v>
      </c>
      <c r="DV33" s="36">
        <v>8.2345437469633076E-4</v>
      </c>
      <c r="DW33" s="183">
        <v>677386.18006543163</v>
      </c>
      <c r="DX33" s="36">
        <v>2.6938792304767034E-3</v>
      </c>
      <c r="DY33" s="183">
        <v>690909.15392881958</v>
      </c>
      <c r="DZ33" s="36">
        <v>1.9963462883287209E-2</v>
      </c>
      <c r="EA33" s="183">
        <v>700027.13102242816</v>
      </c>
      <c r="EB33" s="36">
        <v>1.3197070905428987E-2</v>
      </c>
      <c r="EC33" s="183">
        <v>696654.28967265761</v>
      </c>
      <c r="ED33" s="36">
        <v>-4.8181580403096058E-3</v>
      </c>
      <c r="EE33" s="183">
        <v>691577.06056553405</v>
      </c>
      <c r="EF33" s="36">
        <v>-7.2880181495893481E-3</v>
      </c>
    </row>
    <row r="34" spans="2:136" ht="14.55" customHeight="1" x14ac:dyDescent="0.3">
      <c r="B34" t="s">
        <v>230</v>
      </c>
      <c r="C34" s="183">
        <v>177566.66483721207</v>
      </c>
      <c r="D34" s="36">
        <v>0</v>
      </c>
      <c r="E34" s="183">
        <v>178792.0863051303</v>
      </c>
      <c r="F34" s="36">
        <v>6.9011909923615278E-3</v>
      </c>
      <c r="G34" s="183">
        <v>179632.39860105398</v>
      </c>
      <c r="H34" s="36">
        <v>4.6999412182571199E-3</v>
      </c>
      <c r="I34" s="183">
        <v>180106.2554264222</v>
      </c>
      <c r="J34" s="36">
        <v>2.6379251686139416E-3</v>
      </c>
      <c r="K34" s="183">
        <v>180518.92279830819</v>
      </c>
      <c r="L34" s="36">
        <v>2.2912439710045529E-3</v>
      </c>
      <c r="M34" s="183">
        <v>181588.45967409431</v>
      </c>
      <c r="N34" s="36">
        <v>5.9247909261075371E-3</v>
      </c>
      <c r="O34" s="183">
        <v>183216.8568633195</v>
      </c>
      <c r="P34" s="36">
        <v>8.9675147426644397E-3</v>
      </c>
      <c r="Q34" s="183">
        <v>187103.08992856898</v>
      </c>
      <c r="R34" s="36">
        <v>2.121111087583305E-2</v>
      </c>
      <c r="S34" s="183">
        <v>193257.30812112009</v>
      </c>
      <c r="T34" s="36">
        <v>3.2892124843585613E-2</v>
      </c>
      <c r="U34" s="183">
        <v>198357.59282107299</v>
      </c>
      <c r="V34" s="36">
        <v>2.639116082873505E-2</v>
      </c>
      <c r="W34" s="183">
        <v>204423.53773625591</v>
      </c>
      <c r="X34" s="36">
        <v>3.0580855660285566E-2</v>
      </c>
      <c r="Y34" s="183">
        <v>207722.82884056869</v>
      </c>
      <c r="Z34" s="36">
        <v>1.6139487364559058E-2</v>
      </c>
      <c r="AA34" s="183">
        <v>208923</v>
      </c>
      <c r="AB34" s="36">
        <v>5.7777528167231029E-3</v>
      </c>
      <c r="AC34" s="183">
        <v>214923.24614204169</v>
      </c>
      <c r="AD34" s="36">
        <v>2.8719892697509186E-2</v>
      </c>
      <c r="AE34" s="183">
        <v>214656</v>
      </c>
      <c r="AF34" s="36">
        <v>-1.2434492165871447E-3</v>
      </c>
      <c r="AG34" s="183">
        <v>223160.25658915259</v>
      </c>
      <c r="AH34" s="36">
        <v>3.961807072316903E-2</v>
      </c>
      <c r="AI34" s="183">
        <v>221907.45513157058</v>
      </c>
      <c r="AJ34" s="36">
        <v>-5.6139093794307371E-3</v>
      </c>
      <c r="AK34" s="183">
        <v>231525.01908459191</v>
      </c>
      <c r="AL34" s="36">
        <v>4.3340427419705341E-2</v>
      </c>
      <c r="AM34" s="183">
        <v>236217.4435711597</v>
      </c>
      <c r="AN34" s="36">
        <v>2.0267461828189504E-2</v>
      </c>
      <c r="AO34" s="183">
        <v>240456.28294197639</v>
      </c>
      <c r="AP34" s="36">
        <v>1.7944650093293157E-2</v>
      </c>
      <c r="AQ34" s="183">
        <v>244291.873544584</v>
      </c>
      <c r="AR34" s="36">
        <v>1.5951301233135817E-2</v>
      </c>
      <c r="AS34" s="183">
        <v>248434.6984776</v>
      </c>
      <c r="AT34" s="36">
        <v>1.6958504893777926E-2</v>
      </c>
      <c r="AU34" s="183">
        <v>250776.498061486</v>
      </c>
      <c r="AV34" s="36">
        <v>9.4262178280106745E-3</v>
      </c>
      <c r="AW34" s="183">
        <v>257687.7018565388</v>
      </c>
      <c r="AX34" s="36">
        <v>2.7559216467558656E-2</v>
      </c>
      <c r="AY34" s="183">
        <v>262051.61598266201</v>
      </c>
      <c r="AZ34" s="36">
        <v>1.6934894815247015E-2</v>
      </c>
      <c r="BA34" s="183">
        <v>270818.45032309112</v>
      </c>
      <c r="BB34" s="36">
        <v>3.3454608961499988E-2</v>
      </c>
      <c r="BC34" s="183">
        <v>273327.71999100369</v>
      </c>
      <c r="BD34" s="36">
        <v>9.2655048609833202E-3</v>
      </c>
      <c r="BE34" s="183">
        <v>270054.66578569799</v>
      </c>
      <c r="BF34" s="36">
        <v>-1.1974834478601148E-2</v>
      </c>
      <c r="BG34" s="183">
        <v>265723.44464542938</v>
      </c>
      <c r="BH34" s="36">
        <v>-1.6038312567817847E-2</v>
      </c>
      <c r="BI34" s="183">
        <v>263884.01689317689</v>
      </c>
      <c r="BJ34" s="36">
        <v>-6.9223389554766701E-3</v>
      </c>
      <c r="BK34" s="183">
        <v>263479.18276773021</v>
      </c>
      <c r="BL34" s="36">
        <v>-1.5341365885398472E-3</v>
      </c>
      <c r="BM34" s="183">
        <v>262155.09597327432</v>
      </c>
      <c r="BN34" s="36">
        <v>-5.0253943425319081E-3</v>
      </c>
      <c r="BO34" s="183">
        <v>259166.2479942012</v>
      </c>
      <c r="BP34" s="36">
        <v>-1.1401067631269024E-2</v>
      </c>
      <c r="BQ34" s="183">
        <v>255999.51713306949</v>
      </c>
      <c r="BR34" s="36">
        <v>-1.2218916952498216E-2</v>
      </c>
      <c r="BS34" s="183">
        <v>253290.11788260931</v>
      </c>
      <c r="BT34" s="36">
        <v>-1.0583610784905551E-2</v>
      </c>
      <c r="BU34" s="183">
        <v>252980.29083724669</v>
      </c>
      <c r="BV34" s="36">
        <v>-1.2232101589775279E-3</v>
      </c>
      <c r="BW34" s="183">
        <v>252497.7358589184</v>
      </c>
      <c r="BX34" s="36">
        <v>-1.9074805263732397E-3</v>
      </c>
      <c r="BY34" s="183">
        <v>251723.6431670411</v>
      </c>
      <c r="BZ34" s="36">
        <v>-3.0657411213771413E-3</v>
      </c>
      <c r="CA34" s="183">
        <v>253205.29192346189</v>
      </c>
      <c r="CB34" s="36">
        <v>5.8860134780329698E-3</v>
      </c>
      <c r="CC34" s="183">
        <v>255249.24178488849</v>
      </c>
      <c r="CD34" s="36">
        <v>8.0723030940619278E-3</v>
      </c>
      <c r="CE34" s="183">
        <v>256861.97509712071</v>
      </c>
      <c r="CF34" s="36">
        <v>6.3182687672440618E-3</v>
      </c>
      <c r="CG34" s="183">
        <v>259040.205839884</v>
      </c>
      <c r="CH34" s="36">
        <v>8.4801603738338116E-3</v>
      </c>
      <c r="CI34" s="183">
        <v>265768.53769819078</v>
      </c>
      <c r="CJ34" s="36">
        <v>2.5974083198751163E-2</v>
      </c>
      <c r="CK34" s="183">
        <v>271223.36272102938</v>
      </c>
      <c r="CL34" s="36">
        <v>2.0524720759208748E-2</v>
      </c>
      <c r="CM34" s="183">
        <v>274114.74802020751</v>
      </c>
      <c r="CN34" s="36">
        <v>1.0660531858946554E-2</v>
      </c>
      <c r="CO34" s="183">
        <v>277276.17125937139</v>
      </c>
      <c r="CP34" s="36">
        <v>1.1533211043905034E-2</v>
      </c>
      <c r="CQ34" s="183">
        <v>279706.17179711262</v>
      </c>
      <c r="CR34" s="36">
        <v>8.7638275106884933E-3</v>
      </c>
      <c r="CS34" s="183">
        <v>281744.10480363289</v>
      </c>
      <c r="CT34" s="36">
        <v>7.285977972622204E-3</v>
      </c>
      <c r="CU34" s="183">
        <v>283273.20011927688</v>
      </c>
      <c r="CV34" s="36">
        <v>5.4272486613684556E-3</v>
      </c>
      <c r="CW34" s="183">
        <v>283523.30342770729</v>
      </c>
      <c r="CX34" s="36">
        <v>8.8290494238463246E-4</v>
      </c>
      <c r="CY34" s="183">
        <v>283163.00037090998</v>
      </c>
      <c r="CZ34" s="36">
        <v>-1.2708057942375506E-3</v>
      </c>
      <c r="DA34" s="183">
        <v>283544.86647466029</v>
      </c>
      <c r="DB34" s="36">
        <v>1.3485734479790068E-3</v>
      </c>
      <c r="DC34" s="183">
        <v>284380.36858578888</v>
      </c>
      <c r="DD34" s="36">
        <v>2.9466310623658121E-3</v>
      </c>
      <c r="DE34" s="183">
        <v>282743.66138014442</v>
      </c>
      <c r="DF34" s="36">
        <v>-5.7553452574231612E-3</v>
      </c>
      <c r="DG34" s="183">
        <v>282380.45405822009</v>
      </c>
      <c r="DH34" s="36">
        <v>-1.2845816601207982E-3</v>
      </c>
      <c r="DI34" s="183">
        <v>281875.81664987578</v>
      </c>
      <c r="DJ34" s="36">
        <v>-1.7870833518819351E-3</v>
      </c>
      <c r="DK34" s="183">
        <v>280412.24142864317</v>
      </c>
      <c r="DL34" s="36">
        <v>-5.1922695555346454E-3</v>
      </c>
      <c r="DM34" s="183">
        <v>279884.08645021811</v>
      </c>
      <c r="DN34" s="36">
        <v>-1.8834947280982339E-3</v>
      </c>
      <c r="DO34" s="183">
        <v>279876.37696030119</v>
      </c>
      <c r="DP34" s="36">
        <v>-2.7545295678277348E-5</v>
      </c>
      <c r="DQ34" s="183">
        <v>283657.11184294149</v>
      </c>
      <c r="DR34" s="36">
        <v>1.3508588769450158E-2</v>
      </c>
      <c r="DS34" s="183">
        <v>286213.87438602129</v>
      </c>
      <c r="DT34" s="36">
        <v>9.0135675656721759E-3</v>
      </c>
      <c r="DU34" s="183">
        <v>285943.1054842883</v>
      </c>
      <c r="DV34" s="36">
        <v>-9.4603695335815363E-4</v>
      </c>
      <c r="DW34" s="183">
        <v>286221.31953163189</v>
      </c>
      <c r="DX34" s="36">
        <v>9.7296994404660886E-4</v>
      </c>
      <c r="DY34" s="183">
        <v>288195.5116936898</v>
      </c>
      <c r="DZ34" s="36">
        <v>6.8974322572772362E-3</v>
      </c>
      <c r="EA34" s="183">
        <v>288286.60095405392</v>
      </c>
      <c r="EB34" s="36">
        <v>3.1606758838398363E-4</v>
      </c>
      <c r="EC34" s="183">
        <v>289957.88657703123</v>
      </c>
      <c r="ED34" s="36">
        <v>5.7973059359899271E-3</v>
      </c>
      <c r="EE34" s="183">
        <v>293796.85927651142</v>
      </c>
      <c r="EF34" s="36">
        <v>1.3239759555428776E-2</v>
      </c>
    </row>
    <row r="35" spans="2:136" ht="14.55" customHeight="1" x14ac:dyDescent="0.3">
      <c r="B35" t="s">
        <v>231</v>
      </c>
      <c r="C35" s="183">
        <v>219292.47650745051</v>
      </c>
      <c r="D35" s="36">
        <v>0</v>
      </c>
      <c r="E35" s="183">
        <v>220515.75756987921</v>
      </c>
      <c r="F35" s="36">
        <v>5.5783083939366929E-3</v>
      </c>
      <c r="G35" s="183">
        <v>225259.64081914292</v>
      </c>
      <c r="H35" s="36">
        <v>2.151267238923027E-2</v>
      </c>
      <c r="I35" s="183">
        <v>224658.71785201639</v>
      </c>
      <c r="J35" s="36">
        <v>-2.6676903369876603E-3</v>
      </c>
      <c r="K35" s="183">
        <v>223714.34624876463</v>
      </c>
      <c r="L35" s="36">
        <v>-4.2035831606312968E-3</v>
      </c>
      <c r="M35" s="183">
        <v>224034.02776806464</v>
      </c>
      <c r="N35" s="36">
        <v>1.4289719218298913E-3</v>
      </c>
      <c r="O35" s="183">
        <v>225873.2696417782</v>
      </c>
      <c r="P35" s="36">
        <v>8.2096540960181486E-3</v>
      </c>
      <c r="Q35" s="183">
        <v>231188.57252377388</v>
      </c>
      <c r="R35" s="36">
        <v>2.3532235091055398E-2</v>
      </c>
      <c r="S35" s="183">
        <v>238795.99123354859</v>
      </c>
      <c r="T35" s="36">
        <v>3.2905686586184535E-2</v>
      </c>
      <c r="U35" s="183">
        <v>242855.65252428901</v>
      </c>
      <c r="V35" s="36">
        <v>1.7000542051687884E-2</v>
      </c>
      <c r="W35" s="183">
        <v>251075.408196409</v>
      </c>
      <c r="X35" s="36">
        <v>3.3846260470704603E-2</v>
      </c>
      <c r="Y35" s="183">
        <v>252676.76757866339</v>
      </c>
      <c r="Z35" s="36">
        <v>6.3780017077645912E-3</v>
      </c>
      <c r="AA35" s="183">
        <v>251521</v>
      </c>
      <c r="AB35" s="36">
        <v>-4.5740951561903387E-3</v>
      </c>
      <c r="AC35" s="183">
        <v>257717.3994652222</v>
      </c>
      <c r="AD35" s="36">
        <v>2.4635714175843093E-2</v>
      </c>
      <c r="AE35" s="183">
        <v>263055.17312146898</v>
      </c>
      <c r="AF35" s="36">
        <v>2.0711731793518595E-2</v>
      </c>
      <c r="AG35" s="183">
        <v>267496.63666675298</v>
      </c>
      <c r="AH35" s="36">
        <v>1.6884152068102898E-2</v>
      </c>
      <c r="AI35" s="183">
        <v>267714.09157880186</v>
      </c>
      <c r="AJ35" s="36">
        <v>8.1292578014657835E-4</v>
      </c>
      <c r="AK35" s="183">
        <v>274500.01690092351</v>
      </c>
      <c r="AL35" s="36">
        <v>2.5347658324979205E-2</v>
      </c>
      <c r="AM35" s="183">
        <v>279971.03003293643</v>
      </c>
      <c r="AN35" s="36">
        <v>1.9930829854876153E-2</v>
      </c>
      <c r="AO35" s="183">
        <v>284425.09842203389</v>
      </c>
      <c r="AP35" s="36">
        <v>1.5909033118796101E-2</v>
      </c>
      <c r="AQ35" s="183">
        <v>287414.23817491438</v>
      </c>
      <c r="AR35" s="36">
        <v>1.0509409223953714E-2</v>
      </c>
      <c r="AS35" s="183">
        <v>291686.34427841782</v>
      </c>
      <c r="AT35" s="36">
        <v>1.4863933431521703E-2</v>
      </c>
      <c r="AU35" s="183">
        <v>295671.37932612142</v>
      </c>
      <c r="AV35" s="36">
        <v>1.3662055580839327E-2</v>
      </c>
      <c r="AW35" s="183">
        <v>301752.70797902631</v>
      </c>
      <c r="AX35" s="36">
        <v>2.0567863777566586E-2</v>
      </c>
      <c r="AY35" s="183">
        <v>307307.36865101598</v>
      </c>
      <c r="AZ35" s="36">
        <v>1.8407989473207209E-2</v>
      </c>
      <c r="BA35" s="183">
        <v>320210.02967514237</v>
      </c>
      <c r="BB35" s="36">
        <v>4.1986175212020083E-2</v>
      </c>
      <c r="BC35" s="183">
        <v>324283.56090027408</v>
      </c>
      <c r="BD35" s="36">
        <v>1.2721435456797936E-2</v>
      </c>
      <c r="BE35" s="183">
        <v>318190.26654221967</v>
      </c>
      <c r="BF35" s="36">
        <v>-1.8790019269364855E-2</v>
      </c>
      <c r="BG35" s="183">
        <v>312344.65072477132</v>
      </c>
      <c r="BH35" s="36">
        <v>-1.837144762777565E-2</v>
      </c>
      <c r="BI35" s="183">
        <v>309244.1348849741</v>
      </c>
      <c r="BJ35" s="36">
        <v>-9.9265853684470384E-3</v>
      </c>
      <c r="BK35" s="183">
        <v>308834.37533444568</v>
      </c>
      <c r="BL35" s="36">
        <v>-1.3250358027997455E-3</v>
      </c>
      <c r="BM35" s="183">
        <v>306233.1175945258</v>
      </c>
      <c r="BN35" s="36">
        <v>-8.4228244899969829E-3</v>
      </c>
      <c r="BO35" s="183">
        <v>301531.71527971758</v>
      </c>
      <c r="BP35" s="36">
        <v>-1.5352364080468917E-2</v>
      </c>
      <c r="BQ35" s="183">
        <v>299035.41672953381</v>
      </c>
      <c r="BR35" s="36">
        <v>-8.2787263285656332E-3</v>
      </c>
      <c r="BS35" s="183">
        <v>296629.6945765338</v>
      </c>
      <c r="BT35" s="36">
        <v>-8.0449405602543989E-3</v>
      </c>
      <c r="BU35" s="183">
        <v>295773.71667826647</v>
      </c>
      <c r="BV35" s="36">
        <v>-2.8856783859394497E-3</v>
      </c>
      <c r="BW35" s="183">
        <v>294978.52411132469</v>
      </c>
      <c r="BX35" s="36">
        <v>-2.6885166669720073E-3</v>
      </c>
      <c r="BY35" s="183">
        <v>293915.58188242093</v>
      </c>
      <c r="BZ35" s="36">
        <v>-3.6034563265446851E-3</v>
      </c>
      <c r="CA35" s="183">
        <v>295572.76397545612</v>
      </c>
      <c r="CB35" s="36">
        <v>5.6382927452214293E-3</v>
      </c>
      <c r="CC35" s="183">
        <v>296021.71554492629</v>
      </c>
      <c r="CD35" s="36">
        <v>1.5189206320358473E-3</v>
      </c>
      <c r="CE35" s="183">
        <v>301770.70533518039</v>
      </c>
      <c r="CF35" s="36">
        <v>1.9420838027612852E-2</v>
      </c>
      <c r="CG35" s="183">
        <v>300685.82013446209</v>
      </c>
      <c r="CH35" s="36">
        <v>-3.5950646684319576E-3</v>
      </c>
      <c r="CI35" s="183">
        <v>307525.38589723379</v>
      </c>
      <c r="CJ35" s="36">
        <v>2.2746552397160391E-2</v>
      </c>
      <c r="CK35" s="183">
        <v>311274.0379918635</v>
      </c>
      <c r="CL35" s="36">
        <v>1.2189732186475233E-2</v>
      </c>
      <c r="CM35" s="183">
        <v>316408.24935934541</v>
      </c>
      <c r="CN35" s="36">
        <v>1.6494184354739261E-2</v>
      </c>
      <c r="CO35" s="183">
        <v>320151.12423298409</v>
      </c>
      <c r="CP35" s="36">
        <v>1.1829258185325875E-2</v>
      </c>
      <c r="CQ35" s="183">
        <v>322882.27017838153</v>
      </c>
      <c r="CR35" s="36">
        <v>8.5308022951369189E-3</v>
      </c>
      <c r="CS35" s="183">
        <v>325473.74666206271</v>
      </c>
      <c r="CT35" s="36">
        <v>8.0260724202956268E-3</v>
      </c>
      <c r="CU35" s="183">
        <v>326709.71713019809</v>
      </c>
      <c r="CV35" s="36">
        <v>3.7974505803033409E-3</v>
      </c>
      <c r="CW35" s="183">
        <v>327963.09834628343</v>
      </c>
      <c r="CX35" s="36">
        <v>3.8363756887764833E-3</v>
      </c>
      <c r="CY35" s="183">
        <v>327066.62273190613</v>
      </c>
      <c r="CZ35" s="36">
        <v>-2.7334648894881131E-3</v>
      </c>
      <c r="DA35" s="183">
        <v>324951.84754883748</v>
      </c>
      <c r="DB35" s="36">
        <v>-6.4658850401928536E-3</v>
      </c>
      <c r="DC35" s="183">
        <v>324925.25636285031</v>
      </c>
      <c r="DD35" s="36">
        <v>-8.1831158024625594E-5</v>
      </c>
      <c r="DE35" s="183">
        <v>327895.29192146711</v>
      </c>
      <c r="DF35" s="36">
        <v>9.1406731254528584E-3</v>
      </c>
      <c r="DG35" s="183">
        <v>326994.16273948271</v>
      </c>
      <c r="DH35" s="36">
        <v>-2.748222387408461E-3</v>
      </c>
      <c r="DI35" s="183">
        <v>327112.91615573713</v>
      </c>
      <c r="DJ35" s="36">
        <v>3.6316677722791901E-4</v>
      </c>
      <c r="DK35" s="183">
        <v>326178.79508298071</v>
      </c>
      <c r="DL35" s="36">
        <v>-2.8556532824637326E-3</v>
      </c>
      <c r="DM35" s="183">
        <v>326766.01225446421</v>
      </c>
      <c r="DN35" s="36">
        <v>1.8002922947033539E-3</v>
      </c>
      <c r="DO35" s="183">
        <v>327798.26951923181</v>
      </c>
      <c r="DP35" s="36">
        <v>3.159010503098969E-3</v>
      </c>
      <c r="DQ35" s="183">
        <v>332381.78182822512</v>
      </c>
      <c r="DR35" s="36">
        <v>1.3982722714539486E-2</v>
      </c>
      <c r="DS35" s="183">
        <v>336469.0688223911</v>
      </c>
      <c r="DT35" s="36">
        <v>1.2296964567926505E-2</v>
      </c>
      <c r="DU35" s="183">
        <v>335447.96066498052</v>
      </c>
      <c r="DV35" s="36">
        <v>-3.0347757105411155E-3</v>
      </c>
      <c r="DW35" s="183">
        <v>337436.08787011681</v>
      </c>
      <c r="DX35" s="36">
        <v>5.9267828046862814E-3</v>
      </c>
      <c r="DY35" s="183">
        <v>340908.6453013721</v>
      </c>
      <c r="DZ35" s="36">
        <v>1.0291007856254808E-2</v>
      </c>
      <c r="EA35" s="183">
        <v>344135.97311972751</v>
      </c>
      <c r="EB35" s="36">
        <v>9.4668406414344375E-3</v>
      </c>
      <c r="EC35" s="183">
        <v>346148.28879103687</v>
      </c>
      <c r="ED35" s="36">
        <v>5.84744353537614E-3</v>
      </c>
      <c r="EE35" s="183">
        <v>347494.20654323848</v>
      </c>
      <c r="EF35" s="36">
        <v>3.8882692643156247E-3</v>
      </c>
    </row>
    <row r="36" spans="2:136" ht="14.55" customHeight="1" x14ac:dyDescent="0.3">
      <c r="B36" t="s">
        <v>229</v>
      </c>
      <c r="C36" s="183">
        <v>194781.37282670615</v>
      </c>
      <c r="D36" s="36">
        <v>0</v>
      </c>
      <c r="E36" s="183">
        <v>196955.88015947907</v>
      </c>
      <c r="F36" s="36">
        <v>1.1163836157513707E-2</v>
      </c>
      <c r="G36" s="183">
        <v>198242.42804237796</v>
      </c>
      <c r="H36" s="36">
        <v>6.5321628471164406E-3</v>
      </c>
      <c r="I36" s="183">
        <v>198537.20508864647</v>
      </c>
      <c r="J36" s="36">
        <v>1.4869523601954704E-3</v>
      </c>
      <c r="K36" s="183">
        <v>197965.84965900352</v>
      </c>
      <c r="L36" s="36">
        <v>-2.877825490632091E-3</v>
      </c>
      <c r="M36" s="183">
        <v>198828.68868675246</v>
      </c>
      <c r="N36" s="36">
        <v>4.3585246103565733E-3</v>
      </c>
      <c r="O36" s="183">
        <v>201862.54458243187</v>
      </c>
      <c r="P36" s="36">
        <v>1.5258642581801318E-2</v>
      </c>
      <c r="Q36" s="183">
        <v>206029.49940472984</v>
      </c>
      <c r="R36" s="36">
        <v>2.0642535894499936E-2</v>
      </c>
      <c r="S36" s="183">
        <v>213104.89335435766</v>
      </c>
      <c r="T36" s="36">
        <v>3.4341654811909761E-2</v>
      </c>
      <c r="U36" s="183">
        <v>220071.7056246</v>
      </c>
      <c r="V36" s="36">
        <v>3.269193945095239E-2</v>
      </c>
      <c r="W36" s="183">
        <v>224172.18010997921</v>
      </c>
      <c r="X36" s="36">
        <v>1.8632447427720855E-2</v>
      </c>
      <c r="Y36" s="183">
        <v>229702.2527081068</v>
      </c>
      <c r="Z36" s="36">
        <v>2.4668862101508537E-2</v>
      </c>
      <c r="AA36" s="183">
        <v>227762</v>
      </c>
      <c r="AB36" s="36">
        <v>-8.4468161945819853E-3</v>
      </c>
      <c r="AC36" s="183">
        <v>235586.81450968509</v>
      </c>
      <c r="AD36" s="36">
        <v>3.4355223916566757E-2</v>
      </c>
      <c r="AE36" s="183">
        <v>240115.281335354</v>
      </c>
      <c r="AF36" s="36">
        <v>1.9222072487773856E-2</v>
      </c>
      <c r="AG36" s="183">
        <v>243481.25289579309</v>
      </c>
      <c r="AH36" s="36">
        <v>1.4018148040057632E-2</v>
      </c>
      <c r="AI36" s="183">
        <v>238147.17446186498</v>
      </c>
      <c r="AJ36" s="36">
        <v>-2.1907552924458784E-2</v>
      </c>
      <c r="AK36" s="183">
        <v>251078.98626123049</v>
      </c>
      <c r="AL36" s="36">
        <v>5.4301764564652855E-2</v>
      </c>
      <c r="AM36" s="183">
        <v>255337.31070487079</v>
      </c>
      <c r="AN36" s="36">
        <v>1.6960098919667432E-2</v>
      </c>
      <c r="AO36" s="183">
        <v>257160.38414682401</v>
      </c>
      <c r="AP36" s="36">
        <v>7.1398630968602106E-3</v>
      </c>
      <c r="AQ36" s="183">
        <v>260881.01090544171</v>
      </c>
      <c r="AR36" s="36">
        <v>1.4468117906113465E-2</v>
      </c>
      <c r="AS36" s="183">
        <v>265469.06839972612</v>
      </c>
      <c r="AT36" s="36">
        <v>1.7586782105606602E-2</v>
      </c>
      <c r="AU36" s="183">
        <v>271211.70766656921</v>
      </c>
      <c r="AV36" s="36">
        <v>2.1632046631497648E-2</v>
      </c>
      <c r="AW36" s="183">
        <v>276059.69586917787</v>
      </c>
      <c r="AX36" s="36">
        <v>1.7875291020138517E-2</v>
      </c>
      <c r="AY36" s="183">
        <v>279253.82993361098</v>
      </c>
      <c r="AZ36" s="36">
        <v>1.1570446944007218E-2</v>
      </c>
      <c r="BA36" s="183">
        <v>289946.48951570521</v>
      </c>
      <c r="BB36" s="36">
        <v>3.8290108983057625E-2</v>
      </c>
      <c r="BC36" s="183">
        <v>293908.62513073621</v>
      </c>
      <c r="BD36" s="36">
        <v>1.3665058065193136E-2</v>
      </c>
      <c r="BE36" s="183">
        <v>290264.32717697421</v>
      </c>
      <c r="BF36" s="36">
        <v>-1.2399424998640107E-2</v>
      </c>
      <c r="BG36" s="183">
        <v>285898.24451545969</v>
      </c>
      <c r="BH36" s="36">
        <v>-1.50417473065938E-2</v>
      </c>
      <c r="BI36" s="183">
        <v>283666.13279055618</v>
      </c>
      <c r="BJ36" s="36">
        <v>-7.8073642203941862E-3</v>
      </c>
      <c r="BK36" s="183">
        <v>282502.1327105618</v>
      </c>
      <c r="BL36" s="36">
        <v>-4.1034157604348254E-3</v>
      </c>
      <c r="BM36" s="183">
        <v>283201.69586318691</v>
      </c>
      <c r="BN36" s="36">
        <v>2.4763110490986229E-3</v>
      </c>
      <c r="BO36" s="183">
        <v>278112.6184314813</v>
      </c>
      <c r="BP36" s="36">
        <v>-1.7969798578339358E-2</v>
      </c>
      <c r="BQ36" s="183">
        <v>274615.69143664488</v>
      </c>
      <c r="BR36" s="36">
        <v>-1.2573780415137681E-2</v>
      </c>
      <c r="BS36" s="183">
        <v>272147.78095598659</v>
      </c>
      <c r="BT36" s="36">
        <v>-8.9867788244272218E-3</v>
      </c>
      <c r="BU36" s="183">
        <v>271771.28308731172</v>
      </c>
      <c r="BV36" s="36">
        <v>-1.3834317052019429E-3</v>
      </c>
      <c r="BW36" s="183">
        <v>271944.71502837329</v>
      </c>
      <c r="BX36" s="36">
        <v>6.3815403559708272E-4</v>
      </c>
      <c r="BY36" s="183">
        <v>271339.62750437472</v>
      </c>
      <c r="BZ36" s="36">
        <v>-2.2250387323594634E-3</v>
      </c>
      <c r="CA36" s="183">
        <v>271537.54008447792</v>
      </c>
      <c r="CB36" s="36">
        <v>7.2939062356458528E-4</v>
      </c>
      <c r="CC36" s="183">
        <v>271854.90477099549</v>
      </c>
      <c r="CD36" s="36">
        <v>1.1687691006512235E-3</v>
      </c>
      <c r="CE36" s="183">
        <v>273530.18825430929</v>
      </c>
      <c r="CF36" s="36">
        <v>6.1624177232522115E-3</v>
      </c>
      <c r="CG36" s="183">
        <v>279327.91056812921</v>
      </c>
      <c r="CH36" s="36">
        <v>2.1195913880005079E-2</v>
      </c>
      <c r="CI36" s="183">
        <v>286060.81074433221</v>
      </c>
      <c r="CJ36" s="36">
        <v>2.4103929186699791E-2</v>
      </c>
      <c r="CK36" s="183">
        <v>290822.91353305808</v>
      </c>
      <c r="CL36" s="36">
        <v>1.6647169447415289E-2</v>
      </c>
      <c r="CM36" s="183">
        <v>298066.19404510548</v>
      </c>
      <c r="CN36" s="36">
        <v>2.4906154828216565E-2</v>
      </c>
      <c r="CO36" s="183">
        <v>303855.39928112749</v>
      </c>
      <c r="CP36" s="36">
        <v>1.9422548922626071E-2</v>
      </c>
      <c r="CQ36" s="183">
        <v>303967.25541657058</v>
      </c>
      <c r="CR36" s="36">
        <v>3.6812291539889408E-4</v>
      </c>
      <c r="CS36" s="183">
        <v>303769.06009649101</v>
      </c>
      <c r="CT36" s="36">
        <v>-6.5202852132195677E-4</v>
      </c>
      <c r="CU36" s="183">
        <v>306396.68392163911</v>
      </c>
      <c r="CV36" s="36">
        <v>8.6500706303447306E-3</v>
      </c>
      <c r="CW36" s="183">
        <v>304233.77453044592</v>
      </c>
      <c r="CX36" s="36">
        <v>-7.0591801566179946E-3</v>
      </c>
      <c r="CY36" s="183">
        <v>302940.21188891242</v>
      </c>
      <c r="CZ36" s="36">
        <v>-4.2518706002644402E-3</v>
      </c>
      <c r="DA36" s="183">
        <v>301699.60501795658</v>
      </c>
      <c r="DB36" s="36">
        <v>-4.0952201862549664E-3</v>
      </c>
      <c r="DC36" s="183">
        <v>304341.83995830722</v>
      </c>
      <c r="DD36" s="36">
        <v>8.75783360801341E-3</v>
      </c>
      <c r="DE36" s="183">
        <v>304079.88072100829</v>
      </c>
      <c r="DF36" s="36">
        <v>-8.6074013791470616E-4</v>
      </c>
      <c r="DG36" s="183">
        <v>303447.717979501</v>
      </c>
      <c r="DH36" s="36">
        <v>-2.0789364294946377E-3</v>
      </c>
      <c r="DI36" s="183">
        <v>302361.06314639049</v>
      </c>
      <c r="DJ36" s="36">
        <v>-3.5810281927508569E-3</v>
      </c>
      <c r="DK36" s="183">
        <v>301726.02739388688</v>
      </c>
      <c r="DL36" s="36">
        <v>-2.1002563818746101E-3</v>
      </c>
      <c r="DM36" s="183">
        <v>301663.86230100982</v>
      </c>
      <c r="DN36" s="36">
        <v>-2.0603158903453878E-4</v>
      </c>
      <c r="DO36" s="183">
        <v>303084.11864721822</v>
      </c>
      <c r="DP36" s="36">
        <v>4.708075854280569E-3</v>
      </c>
      <c r="DQ36" s="183">
        <v>306610.88333045557</v>
      </c>
      <c r="DR36" s="36">
        <v>1.1636256953939661E-2</v>
      </c>
      <c r="DS36" s="183">
        <v>308569.71740717988</v>
      </c>
      <c r="DT36" s="36">
        <v>6.3886645361284078E-3</v>
      </c>
      <c r="DU36" s="183">
        <v>311004.03813215619</v>
      </c>
      <c r="DV36" s="36">
        <v>7.8890460976897003E-3</v>
      </c>
      <c r="DW36" s="183">
        <v>312715.54204088531</v>
      </c>
      <c r="DX36" s="36">
        <v>5.503156547445931E-3</v>
      </c>
      <c r="DY36" s="183">
        <v>314571.80840825947</v>
      </c>
      <c r="DZ36" s="36">
        <v>5.9359581402944617E-3</v>
      </c>
      <c r="EA36" s="183">
        <v>313996.77878630348</v>
      </c>
      <c r="EB36" s="36">
        <v>-1.8279757008921038E-3</v>
      </c>
      <c r="EC36" s="183">
        <v>317123.17237117741</v>
      </c>
      <c r="ED36" s="36">
        <v>9.9567696106896975E-3</v>
      </c>
      <c r="EE36" s="183">
        <v>319461.35296923999</v>
      </c>
      <c r="EF36" s="36">
        <v>7.3730991670513113E-3</v>
      </c>
    </row>
    <row r="37" spans="2:136" ht="14.55" customHeight="1" x14ac:dyDescent="0.3">
      <c r="B37" t="s">
        <v>175</v>
      </c>
      <c r="C37" s="183">
        <v>0</v>
      </c>
      <c r="D37" s="36">
        <v>0</v>
      </c>
      <c r="E37" s="183">
        <v>0</v>
      </c>
      <c r="F37" s="36">
        <v>0</v>
      </c>
      <c r="G37" s="183">
        <v>0</v>
      </c>
      <c r="H37" s="36">
        <v>0</v>
      </c>
      <c r="I37" s="183">
        <v>0</v>
      </c>
      <c r="J37" s="36">
        <v>0</v>
      </c>
      <c r="K37" s="183">
        <v>0</v>
      </c>
      <c r="L37" s="36">
        <v>0</v>
      </c>
      <c r="M37" s="183">
        <v>0</v>
      </c>
      <c r="N37" s="36">
        <v>0</v>
      </c>
      <c r="O37" s="183">
        <v>0</v>
      </c>
      <c r="P37" s="36">
        <v>0</v>
      </c>
      <c r="Q37" s="183">
        <v>0</v>
      </c>
      <c r="R37" s="36">
        <v>0</v>
      </c>
      <c r="S37" s="183">
        <v>0</v>
      </c>
      <c r="T37" s="36">
        <v>0</v>
      </c>
      <c r="U37" s="183">
        <v>0</v>
      </c>
      <c r="V37" s="36">
        <v>0</v>
      </c>
      <c r="W37" s="183">
        <v>0</v>
      </c>
      <c r="X37" s="36">
        <v>0</v>
      </c>
      <c r="Y37" s="183">
        <v>0</v>
      </c>
      <c r="Z37" s="36">
        <v>0</v>
      </c>
      <c r="AA37" s="183">
        <v>0</v>
      </c>
      <c r="AB37" s="36">
        <v>0</v>
      </c>
      <c r="AC37" s="183">
        <v>0</v>
      </c>
      <c r="AD37" s="36">
        <v>0</v>
      </c>
      <c r="AE37" s="183">
        <v>0</v>
      </c>
      <c r="AF37" s="36">
        <v>0</v>
      </c>
      <c r="AG37" s="183">
        <v>180670.98838977399</v>
      </c>
      <c r="AH37" s="36">
        <v>0</v>
      </c>
      <c r="AI37" s="183">
        <v>181631.4333627655</v>
      </c>
      <c r="AJ37" s="36">
        <v>5.3159889230220969E-3</v>
      </c>
      <c r="AK37" s="183">
        <v>0</v>
      </c>
      <c r="AL37" s="36">
        <v>-1</v>
      </c>
      <c r="AM37" s="183">
        <v>0</v>
      </c>
      <c r="AN37" s="36">
        <v>0</v>
      </c>
      <c r="AO37" s="183">
        <v>0</v>
      </c>
      <c r="AP37" s="36">
        <v>0</v>
      </c>
      <c r="AQ37" s="183">
        <v>0</v>
      </c>
      <c r="AR37" s="36">
        <v>0</v>
      </c>
      <c r="AS37" s="183">
        <v>0</v>
      </c>
      <c r="AT37" s="36">
        <v>0</v>
      </c>
      <c r="AU37" s="183">
        <v>217795.9708053146</v>
      </c>
      <c r="AV37" s="36">
        <v>0</v>
      </c>
      <c r="AW37" s="183">
        <v>221735.64023842389</v>
      </c>
      <c r="AX37" s="36">
        <v>1.8088807697140163E-2</v>
      </c>
      <c r="AY37" s="183">
        <v>223597.34755542799</v>
      </c>
      <c r="AZ37" s="36">
        <v>8.3960671139844401E-3</v>
      </c>
      <c r="BA37" s="183">
        <v>226435.23676572871</v>
      </c>
      <c r="BB37" s="36">
        <v>1.2691962768463627E-2</v>
      </c>
      <c r="BC37" s="183">
        <v>227738.3632656353</v>
      </c>
      <c r="BD37" s="36">
        <v>5.7549633993352334E-3</v>
      </c>
      <c r="BE37" s="183">
        <v>223917.70895399069</v>
      </c>
      <c r="BF37" s="36">
        <v>-1.6776507290465537E-2</v>
      </c>
      <c r="BG37" s="183">
        <v>220589.88778040101</v>
      </c>
      <c r="BH37" s="36">
        <v>-1.4861804317020111E-2</v>
      </c>
      <c r="BI37" s="183">
        <v>216946.6580796089</v>
      </c>
      <c r="BJ37" s="36">
        <v>-1.651585091887342E-2</v>
      </c>
      <c r="BK37" s="183">
        <v>217039.433850556</v>
      </c>
      <c r="BL37" s="36">
        <v>4.2764323621469202E-4</v>
      </c>
      <c r="BM37" s="183">
        <v>213455.49847557559</v>
      </c>
      <c r="BN37" s="36">
        <v>-1.6512830463095263E-2</v>
      </c>
      <c r="BO37" s="183">
        <v>208951.3651929319</v>
      </c>
      <c r="BP37" s="36">
        <v>-2.1101041270010001E-2</v>
      </c>
      <c r="BQ37" s="183">
        <v>204943.3550358896</v>
      </c>
      <c r="BR37" s="36">
        <v>-1.9181545683329526E-2</v>
      </c>
      <c r="BS37" s="183">
        <v>204795.37573730879</v>
      </c>
      <c r="BT37" s="36">
        <v>-7.2204975152723172E-4</v>
      </c>
      <c r="BU37" s="183">
        <v>206752.47721249229</v>
      </c>
      <c r="BV37" s="36">
        <v>9.5563753240888172E-3</v>
      </c>
      <c r="BW37" s="183">
        <v>207768.78421852109</v>
      </c>
      <c r="BX37" s="36">
        <v>4.9155735386148258E-3</v>
      </c>
      <c r="BY37" s="183">
        <v>207448.00638234589</v>
      </c>
      <c r="BZ37" s="36">
        <v>-1.5439173761435665E-3</v>
      </c>
      <c r="CA37" s="183">
        <v>207419.9378333916</v>
      </c>
      <c r="CB37" s="36">
        <v>-1.3530401879380261E-4</v>
      </c>
      <c r="CC37" s="183">
        <v>208176.0339897844</v>
      </c>
      <c r="CD37" s="36">
        <v>3.6452433854268218E-3</v>
      </c>
      <c r="CE37" s="183">
        <v>209095.04178709551</v>
      </c>
      <c r="CF37" s="36">
        <v>4.4145705905618282E-3</v>
      </c>
      <c r="CG37" s="183">
        <v>212092.43740156849</v>
      </c>
      <c r="CH37" s="36">
        <v>1.4335086996108526E-2</v>
      </c>
      <c r="CI37" s="183">
        <v>214908.09874068011</v>
      </c>
      <c r="CJ37" s="36">
        <v>1.3275632896709855E-2</v>
      </c>
      <c r="CK37" s="183">
        <v>219956.47351063031</v>
      </c>
      <c r="CL37" s="36">
        <v>2.3490853995417948E-2</v>
      </c>
      <c r="CM37" s="183">
        <v>223456.54631500141</v>
      </c>
      <c r="CN37" s="36">
        <v>1.5912570103111534E-2</v>
      </c>
      <c r="CO37" s="183">
        <v>225234.24934580029</v>
      </c>
      <c r="CP37" s="36">
        <v>7.955475281949953E-3</v>
      </c>
      <c r="CQ37" s="183">
        <v>226777.4156291993</v>
      </c>
      <c r="CR37" s="36">
        <v>6.8513837832442359E-3</v>
      </c>
      <c r="CS37" s="183">
        <v>230182.9635345304</v>
      </c>
      <c r="CT37" s="36">
        <v>1.5017138703527166E-2</v>
      </c>
      <c r="CU37" s="183">
        <v>230612.0646253484</v>
      </c>
      <c r="CV37" s="36">
        <v>1.864173978078254E-3</v>
      </c>
      <c r="CW37" s="183">
        <v>232579.11563815709</v>
      </c>
      <c r="CX37" s="36">
        <v>8.5296969003090251E-3</v>
      </c>
      <c r="CY37" s="183">
        <v>234785.75366820849</v>
      </c>
      <c r="CZ37" s="36">
        <v>9.4876877659317849E-3</v>
      </c>
      <c r="DA37" s="183">
        <v>235753.91006093341</v>
      </c>
      <c r="DB37" s="36">
        <v>4.1235738438076819E-3</v>
      </c>
      <c r="DC37" s="183">
        <v>232613.27200984239</v>
      </c>
      <c r="DD37" s="36">
        <v>-1.3321679586477675E-2</v>
      </c>
      <c r="DE37" s="183">
        <v>232129.09019327589</v>
      </c>
      <c r="DF37" s="36">
        <v>-2.0814883535364981E-3</v>
      </c>
      <c r="DG37" s="183">
        <v>231044.55183440389</v>
      </c>
      <c r="DH37" s="36">
        <v>-4.6721346211670012E-3</v>
      </c>
      <c r="DI37" s="183">
        <v>229631.84345599191</v>
      </c>
      <c r="DJ37" s="36">
        <v>-6.1144414235073663E-3</v>
      </c>
      <c r="DK37" s="183">
        <v>229642.62650701861</v>
      </c>
      <c r="DL37" s="36">
        <v>4.6957995304186539E-5</v>
      </c>
      <c r="DM37" s="183">
        <v>231908.98119454121</v>
      </c>
      <c r="DN37" s="36">
        <v>9.8690505416829666E-3</v>
      </c>
      <c r="DO37" s="183">
        <v>235089.08099880279</v>
      </c>
      <c r="DP37" s="36">
        <v>1.3712706544960929E-2</v>
      </c>
      <c r="DQ37" s="183">
        <v>237678.0265019311</v>
      </c>
      <c r="DR37" s="36">
        <v>1.1012614844249091E-2</v>
      </c>
      <c r="DS37" s="183">
        <v>241788.4998186747</v>
      </c>
      <c r="DT37" s="36">
        <v>1.7294292523546417E-2</v>
      </c>
      <c r="DU37" s="183">
        <v>244944.74664733041</v>
      </c>
      <c r="DV37" s="36">
        <v>1.3053750823644128E-2</v>
      </c>
      <c r="DW37" s="183">
        <v>244519.15104437791</v>
      </c>
      <c r="DX37" s="36">
        <v>-1.7375167615465426E-3</v>
      </c>
      <c r="DY37" s="183">
        <v>244800.52604605441</v>
      </c>
      <c r="DZ37" s="36">
        <v>1.1507278692679535E-3</v>
      </c>
      <c r="EA37" s="183">
        <v>247106.66289453721</v>
      </c>
      <c r="EB37" s="36">
        <v>9.4204734186271732E-3</v>
      </c>
      <c r="EC37" s="183">
        <v>246169.1030635497</v>
      </c>
      <c r="ED37" s="36">
        <v>-3.7941503478911009E-3</v>
      </c>
      <c r="EE37" s="183">
        <v>245622.2141219851</v>
      </c>
      <c r="EF37" s="36">
        <v>-2.2215986277669408E-3</v>
      </c>
    </row>
    <row r="38" spans="2:136" ht="14.55" customHeight="1" x14ac:dyDescent="0.3">
      <c r="BO38" s="36"/>
      <c r="BP38" s="36"/>
      <c r="BQ38" s="36"/>
      <c r="BR38" s="36"/>
      <c r="BS38" s="36"/>
      <c r="BT38" s="36"/>
      <c r="BU38" s="36"/>
      <c r="BV38" s="36"/>
      <c r="BW38" s="36"/>
      <c r="BX38" s="36"/>
      <c r="BY38" s="36"/>
      <c r="BZ38" s="36"/>
      <c r="CA38" s="36"/>
      <c r="CB38" s="36"/>
      <c r="CC38" s="36"/>
      <c r="CD38" s="36"/>
      <c r="CE38" s="183"/>
      <c r="CF38" s="36"/>
    </row>
    <row r="42" spans="2:136" ht="14.55" customHeight="1" x14ac:dyDescent="0.3">
      <c r="DQ42" s="183"/>
      <c r="DR42" s="183"/>
      <c r="DS42" s="13"/>
    </row>
    <row r="43" spans="2:136" ht="14.55" customHeight="1" x14ac:dyDescent="0.3">
      <c r="DQ43" s="183"/>
      <c r="DR43" s="183"/>
      <c r="DS43" s="13"/>
    </row>
    <row r="44" spans="2:136" ht="14.55" customHeight="1" x14ac:dyDescent="0.3">
      <c r="DQ44" s="183"/>
      <c r="DR44" s="183"/>
      <c r="DS44" s="13"/>
    </row>
    <row r="45" spans="2:136" ht="14.55" customHeight="1" x14ac:dyDescent="0.3">
      <c r="DQ45" s="183"/>
      <c r="DR45" s="183"/>
      <c r="DS45" s="13"/>
    </row>
    <row r="46" spans="2:136" ht="14.55" customHeight="1" x14ac:dyDescent="0.3">
      <c r="DQ46" s="183"/>
      <c r="DR46" s="183"/>
      <c r="DS46" s="13"/>
    </row>
    <row r="47" spans="2:136" ht="14.55" customHeight="1" x14ac:dyDescent="0.3">
      <c r="DQ47" s="183"/>
      <c r="DR47" s="183"/>
      <c r="DS47" s="13"/>
    </row>
    <row r="48" spans="2:136" ht="14.55" customHeight="1" x14ac:dyDescent="0.3">
      <c r="DQ48" s="183"/>
      <c r="DR48" s="183"/>
      <c r="DS48" s="13"/>
    </row>
    <row r="49" spans="121:123" ht="14.55" customHeight="1" x14ac:dyDescent="0.3">
      <c r="DQ49" s="183"/>
      <c r="DR49" s="183"/>
      <c r="DS49" s="13"/>
    </row>
    <row r="50" spans="121:123" ht="14.55" customHeight="1" x14ac:dyDescent="0.3">
      <c r="DQ50" s="183"/>
      <c r="DR50" s="183"/>
      <c r="DS50" s="13"/>
    </row>
    <row r="51" spans="121:123" ht="14.55" customHeight="1" x14ac:dyDescent="0.3">
      <c r="DQ51" s="183"/>
      <c r="DR51" s="183"/>
      <c r="DS51" s="13"/>
    </row>
    <row r="52" spans="121:123" ht="14.55" customHeight="1" x14ac:dyDescent="0.3">
      <c r="DQ52" s="183"/>
      <c r="DR52" s="183"/>
      <c r="DS52" s="13"/>
    </row>
  </sheetData>
  <conditionalFormatting pivot="1" sqref="CB6:CB17">
    <cfRule type="dataBar" priority="77">
      <dataBar>
        <cfvo type="min"/>
        <cfvo type="max"/>
        <color rgb="FF63C384"/>
      </dataBar>
      <extLst>
        <ext xmlns:x14="http://schemas.microsoft.com/office/spreadsheetml/2009/9/main" uri="{B025F937-C7B1-47D3-B67F-A62EFF666E3E}">
          <x14:id>{CA439080-7195-45C0-B05A-FE4AAA6A3A27}</x14:id>
        </ext>
      </extLst>
    </cfRule>
  </conditionalFormatting>
  <conditionalFormatting pivot="1" sqref="BZ6:BZ17">
    <cfRule type="dataBar" priority="76">
      <dataBar>
        <cfvo type="min"/>
        <cfvo type="max"/>
        <color rgb="FF63C384"/>
      </dataBar>
      <extLst>
        <ext xmlns:x14="http://schemas.microsoft.com/office/spreadsheetml/2009/9/main" uri="{B025F937-C7B1-47D3-B67F-A62EFF666E3E}">
          <x14:id>{67BCD1DE-AE92-43D5-842A-A045F5BD1E1C}</x14:id>
        </ext>
      </extLst>
    </cfRule>
  </conditionalFormatting>
  <conditionalFormatting pivot="1" sqref="BX6:BX17">
    <cfRule type="dataBar" priority="75">
      <dataBar>
        <cfvo type="min"/>
        <cfvo type="max"/>
        <color rgb="FF63C384"/>
      </dataBar>
      <extLst>
        <ext xmlns:x14="http://schemas.microsoft.com/office/spreadsheetml/2009/9/main" uri="{B025F937-C7B1-47D3-B67F-A62EFF666E3E}">
          <x14:id>{721D0425-D977-45FD-8D0E-5299EB41D39B}</x14:id>
        </ext>
      </extLst>
    </cfRule>
  </conditionalFormatting>
  <conditionalFormatting pivot="1" sqref="BV6:BV17">
    <cfRule type="dataBar" priority="74">
      <dataBar>
        <cfvo type="min"/>
        <cfvo type="max"/>
        <color rgb="FF63C384"/>
      </dataBar>
      <extLst>
        <ext xmlns:x14="http://schemas.microsoft.com/office/spreadsheetml/2009/9/main" uri="{B025F937-C7B1-47D3-B67F-A62EFF666E3E}">
          <x14:id>{73D7C53D-A614-417B-93BA-86EA432572CE}</x14:id>
        </ext>
      </extLst>
    </cfRule>
  </conditionalFormatting>
  <conditionalFormatting pivot="1" sqref="CB26:CB37">
    <cfRule type="dataBar" priority="73">
      <dataBar>
        <cfvo type="min"/>
        <cfvo type="max"/>
        <color rgb="FF638EC6"/>
      </dataBar>
      <extLst>
        <ext xmlns:x14="http://schemas.microsoft.com/office/spreadsheetml/2009/9/main" uri="{B025F937-C7B1-47D3-B67F-A62EFF666E3E}">
          <x14:id>{509BC890-EF60-44B4-837B-1BD5EC0FF717}</x14:id>
        </ext>
      </extLst>
    </cfRule>
  </conditionalFormatting>
  <conditionalFormatting pivot="1" sqref="BZ26:BZ37">
    <cfRule type="dataBar" priority="69">
      <dataBar>
        <cfvo type="min"/>
        <cfvo type="max"/>
        <color rgb="FF638EC6"/>
      </dataBar>
      <extLst>
        <ext xmlns:x14="http://schemas.microsoft.com/office/spreadsheetml/2009/9/main" uri="{B025F937-C7B1-47D3-B67F-A62EFF666E3E}">
          <x14:id>{D5816340-A618-427E-B550-5743F97F65B0}</x14:id>
        </ext>
      </extLst>
    </cfRule>
  </conditionalFormatting>
  <conditionalFormatting pivot="1" sqref="BX26:BX37">
    <cfRule type="dataBar" priority="68">
      <dataBar>
        <cfvo type="min"/>
        <cfvo type="max"/>
        <color rgb="FF638EC6"/>
      </dataBar>
      <extLst>
        <ext xmlns:x14="http://schemas.microsoft.com/office/spreadsheetml/2009/9/main" uri="{B025F937-C7B1-47D3-B67F-A62EFF666E3E}">
          <x14:id>{26320F94-2B0D-4E72-B9A0-780646950BBF}</x14:id>
        </ext>
      </extLst>
    </cfRule>
  </conditionalFormatting>
  <conditionalFormatting pivot="1" sqref="BV26:BV37">
    <cfRule type="dataBar" priority="67">
      <dataBar>
        <cfvo type="min"/>
        <cfvo type="max"/>
        <color rgb="FF638EC6"/>
      </dataBar>
      <extLst>
        <ext xmlns:x14="http://schemas.microsoft.com/office/spreadsheetml/2009/9/main" uri="{B025F937-C7B1-47D3-B67F-A62EFF666E3E}">
          <x14:id>{A46B570B-8F5A-4E63-AA46-DBA32E4EA19B}</x14:id>
        </ext>
      </extLst>
    </cfRule>
  </conditionalFormatting>
  <conditionalFormatting pivot="1" sqref="CD6:CD17">
    <cfRule type="dataBar" priority="62">
      <dataBar>
        <cfvo type="min"/>
        <cfvo type="max"/>
        <color rgb="FF63C384"/>
      </dataBar>
      <extLst>
        <ext xmlns:x14="http://schemas.microsoft.com/office/spreadsheetml/2009/9/main" uri="{B025F937-C7B1-47D3-B67F-A62EFF666E3E}">
          <x14:id>{92465102-CE58-436D-8316-4C2270801674}</x14:id>
        </ext>
      </extLst>
    </cfRule>
  </conditionalFormatting>
  <conditionalFormatting pivot="1" sqref="CD26:CD37">
    <cfRule type="dataBar" priority="61">
      <dataBar>
        <cfvo type="min"/>
        <cfvo type="max"/>
        <color rgb="FF638EC6"/>
      </dataBar>
      <extLst>
        <ext xmlns:x14="http://schemas.microsoft.com/office/spreadsheetml/2009/9/main" uri="{B025F937-C7B1-47D3-B67F-A62EFF666E3E}">
          <x14:id>{F3382BB3-7910-4F01-8451-D1881E881BAA}</x14:id>
        </ext>
      </extLst>
    </cfRule>
  </conditionalFormatting>
  <conditionalFormatting pivot="1" sqref="CF26:CF37">
    <cfRule type="dataBar" priority="60">
      <dataBar>
        <cfvo type="min"/>
        <cfvo type="max"/>
        <color rgb="FF638EC6"/>
      </dataBar>
      <extLst>
        <ext xmlns:x14="http://schemas.microsoft.com/office/spreadsheetml/2009/9/main" uri="{B025F937-C7B1-47D3-B67F-A62EFF666E3E}">
          <x14:id>{9D06F540-3804-4667-A8AC-819CD7485B5F}</x14:id>
        </ext>
      </extLst>
    </cfRule>
  </conditionalFormatting>
  <conditionalFormatting pivot="1" sqref="CF6:CF17">
    <cfRule type="dataBar" priority="59">
      <dataBar>
        <cfvo type="min"/>
        <cfvo type="max"/>
        <color rgb="FF63C384"/>
      </dataBar>
      <extLst>
        <ext xmlns:x14="http://schemas.microsoft.com/office/spreadsheetml/2009/9/main" uri="{B025F937-C7B1-47D3-B67F-A62EFF666E3E}">
          <x14:id>{DF51CCDD-ADCB-4F98-93A6-1A190206422C}</x14:id>
        </ext>
      </extLst>
    </cfRule>
  </conditionalFormatting>
  <conditionalFormatting pivot="1" sqref="CH26:CH37">
    <cfRule type="dataBar" priority="58">
      <dataBar>
        <cfvo type="min"/>
        <cfvo type="max"/>
        <color rgb="FF638EC6"/>
      </dataBar>
      <extLst>
        <ext xmlns:x14="http://schemas.microsoft.com/office/spreadsheetml/2009/9/main" uri="{B025F937-C7B1-47D3-B67F-A62EFF666E3E}">
          <x14:id>{71DC8D7E-1172-4629-B7EB-EAE6FF3C578C}</x14:id>
        </ext>
      </extLst>
    </cfRule>
  </conditionalFormatting>
  <conditionalFormatting pivot="1" sqref="CH6:CH17">
    <cfRule type="dataBar" priority="57">
      <dataBar>
        <cfvo type="min"/>
        <cfvo type="max"/>
        <color rgb="FF63C384"/>
      </dataBar>
      <extLst>
        <ext xmlns:x14="http://schemas.microsoft.com/office/spreadsheetml/2009/9/main" uri="{B025F937-C7B1-47D3-B67F-A62EFF666E3E}">
          <x14:id>{77D914B8-3024-4EDB-A91B-06C382069679}</x14:id>
        </ext>
      </extLst>
    </cfRule>
  </conditionalFormatting>
  <conditionalFormatting pivot="1" sqref="CJ6:CJ17">
    <cfRule type="dataBar" priority="56">
      <dataBar>
        <cfvo type="min"/>
        <cfvo type="max"/>
        <color rgb="FF63C384"/>
      </dataBar>
      <extLst>
        <ext xmlns:x14="http://schemas.microsoft.com/office/spreadsheetml/2009/9/main" uri="{B025F937-C7B1-47D3-B67F-A62EFF666E3E}">
          <x14:id>{574CDC76-938B-4B56-9BDC-54937EB32FBE}</x14:id>
        </ext>
      </extLst>
    </cfRule>
  </conditionalFormatting>
  <conditionalFormatting pivot="1" sqref="CJ26:CJ37">
    <cfRule type="dataBar" priority="55">
      <dataBar>
        <cfvo type="min"/>
        <cfvo type="max"/>
        <color rgb="FF638EC6"/>
      </dataBar>
      <extLst>
        <ext xmlns:x14="http://schemas.microsoft.com/office/spreadsheetml/2009/9/main" uri="{B025F937-C7B1-47D3-B67F-A62EFF666E3E}">
          <x14:id>{036CC69B-DD70-4803-A620-D436777F4FB1}</x14:id>
        </ext>
      </extLst>
    </cfRule>
  </conditionalFormatting>
  <conditionalFormatting pivot="1" sqref="CL6:CL17">
    <cfRule type="dataBar" priority="54">
      <dataBar>
        <cfvo type="min"/>
        <cfvo type="max"/>
        <color rgb="FF63C384"/>
      </dataBar>
      <extLst>
        <ext xmlns:x14="http://schemas.microsoft.com/office/spreadsheetml/2009/9/main" uri="{B025F937-C7B1-47D3-B67F-A62EFF666E3E}">
          <x14:id>{863F697D-24B3-4238-8780-0F66C9AD7251}</x14:id>
        </ext>
      </extLst>
    </cfRule>
  </conditionalFormatting>
  <conditionalFormatting pivot="1" sqref="CL26:CL37">
    <cfRule type="dataBar" priority="53">
      <dataBar>
        <cfvo type="min"/>
        <cfvo type="max"/>
        <color rgb="FF638EC6"/>
      </dataBar>
      <extLst>
        <ext xmlns:x14="http://schemas.microsoft.com/office/spreadsheetml/2009/9/main" uri="{B025F937-C7B1-47D3-B67F-A62EFF666E3E}">
          <x14:id>{3BE037E2-EBFA-45DD-9FA0-A1D9EFE1A3E3}</x14:id>
        </ext>
      </extLst>
    </cfRule>
  </conditionalFormatting>
  <conditionalFormatting pivot="1" sqref="CN6:CN17">
    <cfRule type="dataBar" priority="51">
      <dataBar>
        <cfvo type="min"/>
        <cfvo type="max"/>
        <color rgb="FF63C384"/>
      </dataBar>
      <extLst>
        <ext xmlns:x14="http://schemas.microsoft.com/office/spreadsheetml/2009/9/main" uri="{B025F937-C7B1-47D3-B67F-A62EFF666E3E}">
          <x14:id>{FC9E0F15-D352-4F1F-B6AE-AAB910A91C54}</x14:id>
        </ext>
      </extLst>
    </cfRule>
  </conditionalFormatting>
  <conditionalFormatting pivot="1" sqref="CN26:CN37">
    <cfRule type="dataBar" priority="50">
      <dataBar>
        <cfvo type="min"/>
        <cfvo type="max"/>
        <color rgb="FF638EC6"/>
      </dataBar>
      <extLst>
        <ext xmlns:x14="http://schemas.microsoft.com/office/spreadsheetml/2009/9/main" uri="{B025F937-C7B1-47D3-B67F-A62EFF666E3E}">
          <x14:id>{618F214B-38BF-42FF-825D-33ADABAE7A72}</x14:id>
        </ext>
      </extLst>
    </cfRule>
  </conditionalFormatting>
  <conditionalFormatting pivot="1" sqref="CP6:CP17">
    <cfRule type="dataBar" priority="49">
      <dataBar>
        <cfvo type="min"/>
        <cfvo type="max"/>
        <color rgb="FF63C384"/>
      </dataBar>
      <extLst>
        <ext xmlns:x14="http://schemas.microsoft.com/office/spreadsheetml/2009/9/main" uri="{B025F937-C7B1-47D3-B67F-A62EFF666E3E}">
          <x14:id>{6AE83DF0-6C26-40DB-9F95-1AD8B1A6347E}</x14:id>
        </ext>
      </extLst>
    </cfRule>
  </conditionalFormatting>
  <conditionalFormatting pivot="1" sqref="CP26:CP37">
    <cfRule type="dataBar" priority="48">
      <dataBar>
        <cfvo type="min"/>
        <cfvo type="max"/>
        <color rgb="FF638EC6"/>
      </dataBar>
      <extLst>
        <ext xmlns:x14="http://schemas.microsoft.com/office/spreadsheetml/2009/9/main" uri="{B025F937-C7B1-47D3-B67F-A62EFF666E3E}">
          <x14:id>{F4DF60D5-2E16-4BFF-93C3-755BE0E2EA92}</x14:id>
        </ext>
      </extLst>
    </cfRule>
  </conditionalFormatting>
  <conditionalFormatting pivot="1" sqref="CR26:CR37">
    <cfRule type="dataBar" priority="46">
      <dataBar>
        <cfvo type="min"/>
        <cfvo type="max"/>
        <color rgb="FF638EC6"/>
      </dataBar>
      <extLst>
        <ext xmlns:x14="http://schemas.microsoft.com/office/spreadsheetml/2009/9/main" uri="{B025F937-C7B1-47D3-B67F-A62EFF666E3E}">
          <x14:id>{DA4AFD7B-C772-4DCA-BFF5-EFB0E1A29D15}</x14:id>
        </ext>
      </extLst>
    </cfRule>
  </conditionalFormatting>
  <conditionalFormatting pivot="1" sqref="CR6:CR17">
    <cfRule type="dataBar" priority="44">
      <dataBar>
        <cfvo type="min"/>
        <cfvo type="max"/>
        <color rgb="FF63C384"/>
      </dataBar>
      <extLst>
        <ext xmlns:x14="http://schemas.microsoft.com/office/spreadsheetml/2009/9/main" uri="{B025F937-C7B1-47D3-B67F-A62EFF666E3E}">
          <x14:id>{6A449CF2-53C3-4DAD-B140-8508E73D6457}</x14:id>
        </ext>
      </extLst>
    </cfRule>
  </conditionalFormatting>
  <conditionalFormatting pivot="1" sqref="CT6:CT17">
    <cfRule type="dataBar" priority="38">
      <dataBar>
        <cfvo type="min"/>
        <cfvo type="max"/>
        <color rgb="FF638EC6"/>
      </dataBar>
      <extLst>
        <ext xmlns:x14="http://schemas.microsoft.com/office/spreadsheetml/2009/9/main" uri="{B025F937-C7B1-47D3-B67F-A62EFF666E3E}">
          <x14:id>{26056D58-C83E-4FF5-812B-B280D94F99D8}</x14:id>
        </ext>
      </extLst>
    </cfRule>
  </conditionalFormatting>
  <conditionalFormatting pivot="1" sqref="CT26:CT37">
    <cfRule type="dataBar" priority="41">
      <dataBar>
        <cfvo type="min"/>
        <cfvo type="max"/>
        <color rgb="FF63C384"/>
      </dataBar>
      <extLst>
        <ext xmlns:x14="http://schemas.microsoft.com/office/spreadsheetml/2009/9/main" uri="{B025F937-C7B1-47D3-B67F-A62EFF666E3E}">
          <x14:id>{1F23472C-E0F6-48C9-9E84-7C0DE88F2441}</x14:id>
        </ext>
      </extLst>
    </cfRule>
  </conditionalFormatting>
  <conditionalFormatting pivot="1" sqref="CV6:CV17">
    <cfRule type="dataBar" priority="37">
      <dataBar>
        <cfvo type="min"/>
        <cfvo type="max"/>
        <color rgb="FF638EC6"/>
      </dataBar>
      <extLst>
        <ext xmlns:x14="http://schemas.microsoft.com/office/spreadsheetml/2009/9/main" uri="{B025F937-C7B1-47D3-B67F-A62EFF666E3E}">
          <x14:id>{F9FBBF96-27ED-4BE3-B37A-86E19ADF7D63}</x14:id>
        </ext>
      </extLst>
    </cfRule>
  </conditionalFormatting>
  <conditionalFormatting pivot="1" sqref="CV26:CV37">
    <cfRule type="dataBar" priority="36">
      <dataBar>
        <cfvo type="min"/>
        <cfvo type="max"/>
        <color rgb="FF63C384"/>
      </dataBar>
      <extLst>
        <ext xmlns:x14="http://schemas.microsoft.com/office/spreadsheetml/2009/9/main" uri="{B025F937-C7B1-47D3-B67F-A62EFF666E3E}">
          <x14:id>{98885548-B807-4189-BB92-C362469A1850}</x14:id>
        </ext>
      </extLst>
    </cfRule>
  </conditionalFormatting>
  <conditionalFormatting pivot="1" sqref="CX6:CX17">
    <cfRule type="dataBar" priority="35">
      <dataBar>
        <cfvo type="min"/>
        <cfvo type="max"/>
        <color rgb="FF638EC6"/>
      </dataBar>
      <extLst>
        <ext xmlns:x14="http://schemas.microsoft.com/office/spreadsheetml/2009/9/main" uri="{B025F937-C7B1-47D3-B67F-A62EFF666E3E}">
          <x14:id>{DCE187C5-0890-4580-80E5-455B4ED1D085}</x14:id>
        </ext>
      </extLst>
    </cfRule>
  </conditionalFormatting>
  <conditionalFormatting pivot="1" sqref="CX26:CX37">
    <cfRule type="dataBar" priority="34">
      <dataBar>
        <cfvo type="min"/>
        <cfvo type="max"/>
        <color rgb="FF63C384"/>
      </dataBar>
      <extLst>
        <ext xmlns:x14="http://schemas.microsoft.com/office/spreadsheetml/2009/9/main" uri="{B025F937-C7B1-47D3-B67F-A62EFF666E3E}">
          <x14:id>{39454415-9668-4E97-AD06-D63B50ED4869}</x14:id>
        </ext>
      </extLst>
    </cfRule>
  </conditionalFormatting>
  <conditionalFormatting pivot="1" sqref="CZ6:CZ17">
    <cfRule type="dataBar" priority="33">
      <dataBar>
        <cfvo type="min"/>
        <cfvo type="max"/>
        <color rgb="FF638EC6"/>
      </dataBar>
      <extLst>
        <ext xmlns:x14="http://schemas.microsoft.com/office/spreadsheetml/2009/9/main" uri="{B025F937-C7B1-47D3-B67F-A62EFF666E3E}">
          <x14:id>{86DC470B-058E-4764-A564-AED990556214}</x14:id>
        </ext>
      </extLst>
    </cfRule>
  </conditionalFormatting>
  <conditionalFormatting pivot="1" sqref="CZ26:CZ37">
    <cfRule type="dataBar" priority="32">
      <dataBar>
        <cfvo type="min"/>
        <cfvo type="max"/>
        <color rgb="FF63C384"/>
      </dataBar>
      <extLst>
        <ext xmlns:x14="http://schemas.microsoft.com/office/spreadsheetml/2009/9/main" uri="{B025F937-C7B1-47D3-B67F-A62EFF666E3E}">
          <x14:id>{31AC39CE-2080-4D30-9187-8373272D9660}</x14:id>
        </ext>
      </extLst>
    </cfRule>
  </conditionalFormatting>
  <conditionalFormatting pivot="1" sqref="DB6:DB17">
    <cfRule type="dataBar" priority="31">
      <dataBar>
        <cfvo type="min"/>
        <cfvo type="max"/>
        <color rgb="FF638EC6"/>
      </dataBar>
      <extLst>
        <ext xmlns:x14="http://schemas.microsoft.com/office/spreadsheetml/2009/9/main" uri="{B025F937-C7B1-47D3-B67F-A62EFF666E3E}">
          <x14:id>{336FC73D-8ED1-44B3-97A5-1E795EB4CEBB}</x14:id>
        </ext>
      </extLst>
    </cfRule>
  </conditionalFormatting>
  <conditionalFormatting pivot="1" sqref="DB26:DB37">
    <cfRule type="dataBar" priority="30">
      <dataBar>
        <cfvo type="min"/>
        <cfvo type="max"/>
        <color rgb="FF63C384"/>
      </dataBar>
      <extLst>
        <ext xmlns:x14="http://schemas.microsoft.com/office/spreadsheetml/2009/9/main" uri="{B025F937-C7B1-47D3-B67F-A62EFF666E3E}">
          <x14:id>{6B3178C0-5751-40EB-AA0D-8299913F526D}</x14:id>
        </ext>
      </extLst>
    </cfRule>
  </conditionalFormatting>
  <conditionalFormatting pivot="1" sqref="DD6:DD17">
    <cfRule type="dataBar" priority="29">
      <dataBar>
        <cfvo type="min"/>
        <cfvo type="max"/>
        <color rgb="FF638EC6"/>
      </dataBar>
      <extLst>
        <ext xmlns:x14="http://schemas.microsoft.com/office/spreadsheetml/2009/9/main" uri="{B025F937-C7B1-47D3-B67F-A62EFF666E3E}">
          <x14:id>{CFA43AED-3BBA-4403-88BF-50D2F7F2A85F}</x14:id>
        </ext>
      </extLst>
    </cfRule>
  </conditionalFormatting>
  <conditionalFormatting pivot="1" sqref="DD26:DD37">
    <cfRule type="dataBar" priority="28">
      <dataBar>
        <cfvo type="min"/>
        <cfvo type="max"/>
        <color rgb="FF63C384"/>
      </dataBar>
      <extLst>
        <ext xmlns:x14="http://schemas.microsoft.com/office/spreadsheetml/2009/9/main" uri="{B025F937-C7B1-47D3-B67F-A62EFF666E3E}">
          <x14:id>{CA65B47E-9A04-45DD-9317-76DF49A4CE8B}</x14:id>
        </ext>
      </extLst>
    </cfRule>
  </conditionalFormatting>
  <conditionalFormatting pivot="1" sqref="DF6:DF17">
    <cfRule type="dataBar" priority="27">
      <dataBar>
        <cfvo type="min"/>
        <cfvo type="max"/>
        <color rgb="FF638EC6"/>
      </dataBar>
      <extLst>
        <ext xmlns:x14="http://schemas.microsoft.com/office/spreadsheetml/2009/9/main" uri="{B025F937-C7B1-47D3-B67F-A62EFF666E3E}">
          <x14:id>{3B378EE1-0558-4EFD-9693-1A7AEE4E09B8}</x14:id>
        </ext>
      </extLst>
    </cfRule>
  </conditionalFormatting>
  <conditionalFormatting pivot="1" sqref="DF26:DF37">
    <cfRule type="dataBar" priority="26">
      <dataBar>
        <cfvo type="min"/>
        <cfvo type="max"/>
        <color rgb="FF63C384"/>
      </dataBar>
      <extLst>
        <ext xmlns:x14="http://schemas.microsoft.com/office/spreadsheetml/2009/9/main" uri="{B025F937-C7B1-47D3-B67F-A62EFF666E3E}">
          <x14:id>{09B90DD4-277D-4716-B2B0-9B73B4972E14}</x14:id>
        </ext>
      </extLst>
    </cfRule>
  </conditionalFormatting>
  <conditionalFormatting pivot="1" sqref="DH6:DH17">
    <cfRule type="dataBar" priority="25">
      <dataBar>
        <cfvo type="min"/>
        <cfvo type="max"/>
        <color rgb="FF638EC6"/>
      </dataBar>
      <extLst>
        <ext xmlns:x14="http://schemas.microsoft.com/office/spreadsheetml/2009/9/main" uri="{B025F937-C7B1-47D3-B67F-A62EFF666E3E}">
          <x14:id>{80C3A9F1-A3FE-44E4-8DA4-7586742A0606}</x14:id>
        </ext>
      </extLst>
    </cfRule>
  </conditionalFormatting>
  <conditionalFormatting pivot="1" sqref="DH26:DH37">
    <cfRule type="dataBar" priority="24">
      <dataBar>
        <cfvo type="min"/>
        <cfvo type="max"/>
        <color rgb="FF63C384"/>
      </dataBar>
      <extLst>
        <ext xmlns:x14="http://schemas.microsoft.com/office/spreadsheetml/2009/9/main" uri="{B025F937-C7B1-47D3-B67F-A62EFF666E3E}">
          <x14:id>{AA8F3206-368F-491A-AF1D-7A5006496289}</x14:id>
        </ext>
      </extLst>
    </cfRule>
  </conditionalFormatting>
  <conditionalFormatting pivot="1" sqref="DJ6:DJ17">
    <cfRule type="dataBar" priority="23">
      <dataBar>
        <cfvo type="min"/>
        <cfvo type="max"/>
        <color rgb="FF638EC6"/>
      </dataBar>
      <extLst>
        <ext xmlns:x14="http://schemas.microsoft.com/office/spreadsheetml/2009/9/main" uri="{B025F937-C7B1-47D3-B67F-A62EFF666E3E}">
          <x14:id>{AA49AD1F-E617-4AEE-BDFE-B62F2F096997}</x14:id>
        </ext>
      </extLst>
    </cfRule>
  </conditionalFormatting>
  <conditionalFormatting pivot="1" sqref="DJ26:DJ37">
    <cfRule type="dataBar" priority="22">
      <dataBar>
        <cfvo type="min"/>
        <cfvo type="max"/>
        <color rgb="FF63C384"/>
      </dataBar>
      <extLst>
        <ext xmlns:x14="http://schemas.microsoft.com/office/spreadsheetml/2009/9/main" uri="{B025F937-C7B1-47D3-B67F-A62EFF666E3E}">
          <x14:id>{58AEF118-50CF-46A6-934E-20C668693C5B}</x14:id>
        </ext>
      </extLst>
    </cfRule>
  </conditionalFormatting>
  <conditionalFormatting pivot="1" sqref="DL6:DL17">
    <cfRule type="dataBar" priority="21">
      <dataBar>
        <cfvo type="min"/>
        <cfvo type="max"/>
        <color rgb="FF638EC6"/>
      </dataBar>
      <extLst>
        <ext xmlns:x14="http://schemas.microsoft.com/office/spreadsheetml/2009/9/main" uri="{B025F937-C7B1-47D3-B67F-A62EFF666E3E}">
          <x14:id>{8CE0FC65-BAB2-4FED-A692-D3C734E6461C}</x14:id>
        </ext>
      </extLst>
    </cfRule>
  </conditionalFormatting>
  <conditionalFormatting pivot="1" sqref="DL26:DL37">
    <cfRule type="dataBar" priority="20">
      <dataBar>
        <cfvo type="min"/>
        <cfvo type="max"/>
        <color rgb="FF63C384"/>
      </dataBar>
      <extLst>
        <ext xmlns:x14="http://schemas.microsoft.com/office/spreadsheetml/2009/9/main" uri="{B025F937-C7B1-47D3-B67F-A62EFF666E3E}">
          <x14:id>{C1AF1CEC-1016-4051-8164-79056D5D5276}</x14:id>
        </ext>
      </extLst>
    </cfRule>
  </conditionalFormatting>
  <conditionalFormatting pivot="1" sqref="DN6:DN17">
    <cfRule type="dataBar" priority="19">
      <dataBar>
        <cfvo type="min"/>
        <cfvo type="max"/>
        <color rgb="FF638EC6"/>
      </dataBar>
      <extLst>
        <ext xmlns:x14="http://schemas.microsoft.com/office/spreadsheetml/2009/9/main" uri="{B025F937-C7B1-47D3-B67F-A62EFF666E3E}">
          <x14:id>{4741FDCD-7E5E-4E82-8F71-B3CB44972F9B}</x14:id>
        </ext>
      </extLst>
    </cfRule>
  </conditionalFormatting>
  <conditionalFormatting pivot="1" sqref="DN26:DN37">
    <cfRule type="dataBar" priority="18">
      <dataBar>
        <cfvo type="min"/>
        <cfvo type="max"/>
        <color rgb="FF63C384"/>
      </dataBar>
      <extLst>
        <ext xmlns:x14="http://schemas.microsoft.com/office/spreadsheetml/2009/9/main" uri="{B025F937-C7B1-47D3-B67F-A62EFF666E3E}">
          <x14:id>{A1A09998-B6B5-4744-8252-8FA9DC038B87}</x14:id>
        </ext>
      </extLst>
    </cfRule>
  </conditionalFormatting>
  <conditionalFormatting pivot="1" sqref="DP6:DP17">
    <cfRule type="dataBar" priority="17">
      <dataBar>
        <cfvo type="min"/>
        <cfvo type="max"/>
        <color rgb="FF638EC6"/>
      </dataBar>
      <extLst>
        <ext xmlns:x14="http://schemas.microsoft.com/office/spreadsheetml/2009/9/main" uri="{B025F937-C7B1-47D3-B67F-A62EFF666E3E}">
          <x14:id>{5BDDBACC-B7D1-4331-A0A3-825C7B24FFC4}</x14:id>
        </ext>
      </extLst>
    </cfRule>
  </conditionalFormatting>
  <conditionalFormatting pivot="1" sqref="DP26:DP37">
    <cfRule type="dataBar" priority="16">
      <dataBar>
        <cfvo type="min"/>
        <cfvo type="max"/>
        <color rgb="FF63C384"/>
      </dataBar>
      <extLst>
        <ext xmlns:x14="http://schemas.microsoft.com/office/spreadsheetml/2009/9/main" uri="{B025F937-C7B1-47D3-B67F-A62EFF666E3E}">
          <x14:id>{10DB3961-CC46-4099-80FD-25A126256E4B}</x14:id>
        </ext>
      </extLst>
    </cfRule>
  </conditionalFormatting>
  <conditionalFormatting pivot="1" sqref="DR6:DR17">
    <cfRule type="dataBar" priority="15">
      <dataBar>
        <cfvo type="min"/>
        <cfvo type="max"/>
        <color rgb="FF638EC6"/>
      </dataBar>
      <extLst>
        <ext xmlns:x14="http://schemas.microsoft.com/office/spreadsheetml/2009/9/main" uri="{B025F937-C7B1-47D3-B67F-A62EFF666E3E}">
          <x14:id>{F87DD857-DF6B-4B24-83E1-C6E64DA8BDFB}</x14:id>
        </ext>
      </extLst>
    </cfRule>
  </conditionalFormatting>
  <conditionalFormatting pivot="1" sqref="DR26:DR37">
    <cfRule type="dataBar" priority="14">
      <dataBar>
        <cfvo type="min"/>
        <cfvo type="max"/>
        <color rgb="FF63C384"/>
      </dataBar>
      <extLst>
        <ext xmlns:x14="http://schemas.microsoft.com/office/spreadsheetml/2009/9/main" uri="{B025F937-C7B1-47D3-B67F-A62EFF666E3E}">
          <x14:id>{401BEC79-33BE-458F-863F-DA0BA3C40A5E}</x14:id>
        </ext>
      </extLst>
    </cfRule>
  </conditionalFormatting>
  <conditionalFormatting pivot="1" sqref="DT6:DT17">
    <cfRule type="dataBar" priority="13">
      <dataBar>
        <cfvo type="min"/>
        <cfvo type="max"/>
        <color rgb="FF638EC6"/>
      </dataBar>
      <extLst>
        <ext xmlns:x14="http://schemas.microsoft.com/office/spreadsheetml/2009/9/main" uri="{B025F937-C7B1-47D3-B67F-A62EFF666E3E}">
          <x14:id>{259F05F2-4CC2-47A8-9986-16A45985080B}</x14:id>
        </ext>
      </extLst>
    </cfRule>
  </conditionalFormatting>
  <conditionalFormatting pivot="1" sqref="DT26:DT37">
    <cfRule type="dataBar" priority="12">
      <dataBar>
        <cfvo type="min"/>
        <cfvo type="max"/>
        <color rgb="FF63C384"/>
      </dataBar>
      <extLst>
        <ext xmlns:x14="http://schemas.microsoft.com/office/spreadsheetml/2009/9/main" uri="{B025F937-C7B1-47D3-B67F-A62EFF666E3E}">
          <x14:id>{E0A19D88-AC48-441F-BD1B-454FE854ECA6}</x14:id>
        </ext>
      </extLst>
    </cfRule>
  </conditionalFormatting>
  <conditionalFormatting pivot="1" sqref="DV6:DV17">
    <cfRule type="dataBar" priority="11">
      <dataBar>
        <cfvo type="min"/>
        <cfvo type="max"/>
        <color rgb="FF638EC6"/>
      </dataBar>
      <extLst>
        <ext xmlns:x14="http://schemas.microsoft.com/office/spreadsheetml/2009/9/main" uri="{B025F937-C7B1-47D3-B67F-A62EFF666E3E}">
          <x14:id>{0AFB6763-9AEC-4380-8A4D-8C2D3B75178F}</x14:id>
        </ext>
      </extLst>
    </cfRule>
  </conditionalFormatting>
  <conditionalFormatting pivot="1" sqref="DV26:DV37">
    <cfRule type="dataBar" priority="10">
      <dataBar>
        <cfvo type="min"/>
        <cfvo type="max"/>
        <color rgb="FF63C384"/>
      </dataBar>
      <extLst>
        <ext xmlns:x14="http://schemas.microsoft.com/office/spreadsheetml/2009/9/main" uri="{B025F937-C7B1-47D3-B67F-A62EFF666E3E}">
          <x14:id>{C1494ABB-0EA9-48DB-94AA-A3BC048B15E8}</x14:id>
        </ext>
      </extLst>
    </cfRule>
  </conditionalFormatting>
  <conditionalFormatting pivot="1" sqref="DX6:DX17">
    <cfRule type="dataBar" priority="9">
      <dataBar>
        <cfvo type="min"/>
        <cfvo type="max"/>
        <color rgb="FF638EC6"/>
      </dataBar>
      <extLst>
        <ext xmlns:x14="http://schemas.microsoft.com/office/spreadsheetml/2009/9/main" uri="{B025F937-C7B1-47D3-B67F-A62EFF666E3E}">
          <x14:id>{EEAF0E72-5593-4E04-B7CB-795680F948A3}</x14:id>
        </ext>
      </extLst>
    </cfRule>
  </conditionalFormatting>
  <conditionalFormatting pivot="1" sqref="DX26:DX37">
    <cfRule type="dataBar" priority="8">
      <dataBar>
        <cfvo type="min"/>
        <cfvo type="max"/>
        <color rgb="FF63C384"/>
      </dataBar>
      <extLst>
        <ext xmlns:x14="http://schemas.microsoft.com/office/spreadsheetml/2009/9/main" uri="{B025F937-C7B1-47D3-B67F-A62EFF666E3E}">
          <x14:id>{52893456-2F59-4EA1-84FB-7775EC000257}</x14:id>
        </ext>
      </extLst>
    </cfRule>
  </conditionalFormatting>
  <conditionalFormatting pivot="1" sqref="DZ6:DZ17">
    <cfRule type="dataBar" priority="7">
      <dataBar>
        <cfvo type="min"/>
        <cfvo type="max"/>
        <color rgb="FF638EC6"/>
      </dataBar>
      <extLst>
        <ext xmlns:x14="http://schemas.microsoft.com/office/spreadsheetml/2009/9/main" uri="{B025F937-C7B1-47D3-B67F-A62EFF666E3E}">
          <x14:id>{236B9754-D825-40E6-A36F-F4FF56698039}</x14:id>
        </ext>
      </extLst>
    </cfRule>
  </conditionalFormatting>
  <conditionalFormatting pivot="1" sqref="DZ26:DZ37">
    <cfRule type="dataBar" priority="6">
      <dataBar>
        <cfvo type="min"/>
        <cfvo type="max"/>
        <color rgb="FF63C384"/>
      </dataBar>
      <extLst>
        <ext xmlns:x14="http://schemas.microsoft.com/office/spreadsheetml/2009/9/main" uri="{B025F937-C7B1-47D3-B67F-A62EFF666E3E}">
          <x14:id>{B517F261-52FE-424A-9DCD-2931A68DF8D5}</x14:id>
        </ext>
      </extLst>
    </cfRule>
  </conditionalFormatting>
  <conditionalFormatting pivot="1" sqref="EB26:EB37">
    <cfRule type="dataBar" priority="4">
      <dataBar>
        <cfvo type="min"/>
        <cfvo type="max"/>
        <color rgb="FF63C384"/>
      </dataBar>
      <extLst>
        <ext xmlns:x14="http://schemas.microsoft.com/office/spreadsheetml/2009/9/main" uri="{B025F937-C7B1-47D3-B67F-A62EFF666E3E}">
          <x14:id>{3E8B4DAA-2025-434C-B5A0-AB1CA4CF2F3B}</x14:id>
        </ext>
      </extLst>
    </cfRule>
  </conditionalFormatting>
  <conditionalFormatting pivot="1" sqref="EB6:EB17">
    <cfRule type="dataBar" priority="3">
      <dataBar>
        <cfvo type="min"/>
        <cfvo type="max"/>
        <color rgb="FF638EC6"/>
      </dataBar>
      <extLst>
        <ext xmlns:x14="http://schemas.microsoft.com/office/spreadsheetml/2009/9/main" uri="{B025F937-C7B1-47D3-B67F-A62EFF666E3E}">
          <x14:id>{55BCA7CD-C5B4-4084-B7CF-786B279B2B1E}</x14:id>
        </ext>
      </extLst>
    </cfRule>
  </conditionalFormatting>
  <conditionalFormatting pivot="1" sqref="ED6:ED17">
    <cfRule type="dataBar" priority="2">
      <dataBar>
        <cfvo type="min"/>
        <cfvo type="max"/>
        <color rgb="FF638EC6"/>
      </dataBar>
      <extLst>
        <ext xmlns:x14="http://schemas.microsoft.com/office/spreadsheetml/2009/9/main" uri="{B025F937-C7B1-47D3-B67F-A62EFF666E3E}">
          <x14:id>{03CCCEA6-2B82-4437-A27D-E8FCB0618066}</x14:id>
        </ext>
      </extLst>
    </cfRule>
  </conditionalFormatting>
  <conditionalFormatting pivot="1" sqref="ED26:ED37">
    <cfRule type="dataBar" priority="1">
      <dataBar>
        <cfvo type="min"/>
        <cfvo type="max"/>
        <color rgb="FF63C384"/>
      </dataBar>
      <extLst>
        <ext xmlns:x14="http://schemas.microsoft.com/office/spreadsheetml/2009/9/main" uri="{B025F937-C7B1-47D3-B67F-A62EFF666E3E}">
          <x14:id>{7F18BE1F-5C2A-44E6-8C49-66AC66A80A56}</x14:id>
        </ext>
      </extLst>
    </cfRule>
  </conditionalFormatting>
  <pageMargins left="0.7" right="0.7" top="0.75" bottom="0.75" header="0.3" footer="0.3"/>
  <pageSetup paperSize="9" orientation="portrait" r:id="rId3"/>
  <ignoredErrors>
    <ignoredError sqref="CA18:DE18 BY18:BZ18 BW18:BX18 BU18:BV18 BS18:BT18 BR18 BN18:BP18 BM18 AX18 F18 H18 J18 L18 N18 P18 R18 T18 V18 X18 Z18 AB18 AD18 AF18 AH18 AJ18 AL18 AN18 AP18 AR18 AT18 AV18 AZ18 BB18 BD18 BG18 BI18 BK18" formula="1"/>
    <ignoredError sqref="D18" evalError="1"/>
  </ignoredErrors>
  <extLst>
    <ext xmlns:x14="http://schemas.microsoft.com/office/spreadsheetml/2009/9/main" uri="{78C0D931-6437-407d-A8EE-F0AAD7539E65}">
      <x14:conditionalFormattings>
        <x14:conditionalFormatting xmlns:xm="http://schemas.microsoft.com/office/excel/2006/main" pivot="1">
          <x14:cfRule type="dataBar" id="{CA439080-7195-45C0-B05A-FE4AAA6A3A27}">
            <x14:dataBar minLength="0" maxLength="100" gradient="0">
              <x14:cfvo type="autoMin"/>
              <x14:cfvo type="autoMax"/>
              <x14:negativeFillColor theme="5" tint="0.59999389629810485"/>
              <x14:axisColor rgb="FF000000"/>
            </x14:dataBar>
          </x14:cfRule>
          <xm:sqref>CB6:CB17</xm:sqref>
        </x14:conditionalFormatting>
        <x14:conditionalFormatting xmlns:xm="http://schemas.microsoft.com/office/excel/2006/main" pivot="1">
          <x14:cfRule type="dataBar" id="{67BCD1DE-AE92-43D5-842A-A045F5BD1E1C}">
            <x14:dataBar minLength="0" maxLength="100" gradient="0">
              <x14:cfvo type="autoMin"/>
              <x14:cfvo type="autoMax"/>
              <x14:negativeFillColor theme="5" tint="0.59999389629810485"/>
              <x14:axisColor rgb="FF000000"/>
            </x14:dataBar>
          </x14:cfRule>
          <xm:sqref>BZ6:BZ17</xm:sqref>
        </x14:conditionalFormatting>
        <x14:conditionalFormatting xmlns:xm="http://schemas.microsoft.com/office/excel/2006/main" pivot="1">
          <x14:cfRule type="dataBar" id="{721D0425-D977-45FD-8D0E-5299EB41D39B}">
            <x14:dataBar minLength="0" maxLength="100" gradient="0">
              <x14:cfvo type="autoMin"/>
              <x14:cfvo type="autoMax"/>
              <x14:negativeFillColor theme="5" tint="0.59999389629810485"/>
              <x14:axisColor rgb="FF000000"/>
            </x14:dataBar>
          </x14:cfRule>
          <xm:sqref>BX6:BX17</xm:sqref>
        </x14:conditionalFormatting>
        <x14:conditionalFormatting xmlns:xm="http://schemas.microsoft.com/office/excel/2006/main" pivot="1">
          <x14:cfRule type="dataBar" id="{73D7C53D-A614-417B-93BA-86EA432572CE}">
            <x14:dataBar minLength="0" maxLength="100" gradient="0">
              <x14:cfvo type="autoMin"/>
              <x14:cfvo type="autoMax"/>
              <x14:negativeFillColor theme="5" tint="0.59999389629810485"/>
              <x14:axisColor rgb="FF000000"/>
            </x14:dataBar>
          </x14:cfRule>
          <xm:sqref>BV6:BV17</xm:sqref>
        </x14:conditionalFormatting>
        <x14:conditionalFormatting xmlns:xm="http://schemas.microsoft.com/office/excel/2006/main" pivot="1">
          <x14:cfRule type="dataBar" id="{509BC890-EF60-44B4-837B-1BD5EC0FF717}">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CB26:CB37</xm:sqref>
        </x14:conditionalFormatting>
        <x14:conditionalFormatting xmlns:xm="http://schemas.microsoft.com/office/excel/2006/main" pivot="1">
          <x14:cfRule type="dataBar" id="{D5816340-A618-427E-B550-5743F97F65B0}">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BZ26:BZ37</xm:sqref>
        </x14:conditionalFormatting>
        <x14:conditionalFormatting xmlns:xm="http://schemas.microsoft.com/office/excel/2006/main" pivot="1">
          <x14:cfRule type="dataBar" id="{26320F94-2B0D-4E72-B9A0-780646950BBF}">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BX26:BX37</xm:sqref>
        </x14:conditionalFormatting>
        <x14:conditionalFormatting xmlns:xm="http://schemas.microsoft.com/office/excel/2006/main" pivot="1">
          <x14:cfRule type="dataBar" id="{A46B570B-8F5A-4E63-AA46-DBA32E4EA19B}">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BV26:BV37</xm:sqref>
        </x14:conditionalFormatting>
        <x14:conditionalFormatting xmlns:xm="http://schemas.microsoft.com/office/excel/2006/main" pivot="1">
          <x14:cfRule type="dataBar" id="{92465102-CE58-436D-8316-4C2270801674}">
            <x14:dataBar minLength="0" maxLength="100" gradient="0">
              <x14:cfvo type="autoMin"/>
              <x14:cfvo type="autoMax"/>
              <x14:negativeFillColor theme="5" tint="0.59999389629810485"/>
              <x14:axisColor rgb="FF000000"/>
            </x14:dataBar>
          </x14:cfRule>
          <xm:sqref>CD6:CD17</xm:sqref>
        </x14:conditionalFormatting>
        <x14:conditionalFormatting xmlns:xm="http://schemas.microsoft.com/office/excel/2006/main" pivot="1">
          <x14:cfRule type="dataBar" id="{F3382BB3-7910-4F01-8451-D1881E881BAA}">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CD26:CD37</xm:sqref>
        </x14:conditionalFormatting>
        <x14:conditionalFormatting xmlns:xm="http://schemas.microsoft.com/office/excel/2006/main" pivot="1">
          <x14:cfRule type="dataBar" id="{9D06F540-3804-4667-A8AC-819CD7485B5F}">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CF26:CF37</xm:sqref>
        </x14:conditionalFormatting>
        <x14:conditionalFormatting xmlns:xm="http://schemas.microsoft.com/office/excel/2006/main" pivot="1">
          <x14:cfRule type="dataBar" id="{DF51CCDD-ADCB-4F98-93A6-1A190206422C}">
            <x14:dataBar minLength="0" maxLength="100" gradient="0">
              <x14:cfvo type="autoMin"/>
              <x14:cfvo type="autoMax"/>
              <x14:negativeFillColor theme="5" tint="0.59999389629810485"/>
              <x14:axisColor rgb="FF000000"/>
            </x14:dataBar>
          </x14:cfRule>
          <xm:sqref>CF6:CF17</xm:sqref>
        </x14:conditionalFormatting>
        <x14:conditionalFormatting xmlns:xm="http://schemas.microsoft.com/office/excel/2006/main" pivot="1">
          <x14:cfRule type="dataBar" id="{71DC8D7E-1172-4629-B7EB-EAE6FF3C578C}">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CH26:CH37</xm:sqref>
        </x14:conditionalFormatting>
        <x14:conditionalFormatting xmlns:xm="http://schemas.microsoft.com/office/excel/2006/main" pivot="1">
          <x14:cfRule type="dataBar" id="{77D914B8-3024-4EDB-A91B-06C382069679}">
            <x14:dataBar minLength="0" maxLength="100" gradient="0">
              <x14:cfvo type="autoMin"/>
              <x14:cfvo type="autoMax"/>
              <x14:negativeFillColor theme="5" tint="0.59999389629810485"/>
              <x14:axisColor rgb="FF000000"/>
            </x14:dataBar>
          </x14:cfRule>
          <xm:sqref>CH6:CH17</xm:sqref>
        </x14:conditionalFormatting>
        <x14:conditionalFormatting xmlns:xm="http://schemas.microsoft.com/office/excel/2006/main" pivot="1">
          <x14:cfRule type="dataBar" id="{574CDC76-938B-4B56-9BDC-54937EB32FBE}">
            <x14:dataBar minLength="0" maxLength="100" gradient="0">
              <x14:cfvo type="autoMin"/>
              <x14:cfvo type="autoMax"/>
              <x14:negativeFillColor theme="5" tint="0.59999389629810485"/>
              <x14:axisColor rgb="FF000000"/>
            </x14:dataBar>
          </x14:cfRule>
          <xm:sqref>CJ6:CJ17</xm:sqref>
        </x14:conditionalFormatting>
        <x14:conditionalFormatting xmlns:xm="http://schemas.microsoft.com/office/excel/2006/main" pivot="1">
          <x14:cfRule type="dataBar" id="{036CC69B-DD70-4803-A620-D436777F4FB1}">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CJ26:CJ37</xm:sqref>
        </x14:conditionalFormatting>
        <x14:conditionalFormatting xmlns:xm="http://schemas.microsoft.com/office/excel/2006/main" pivot="1">
          <x14:cfRule type="dataBar" id="{863F697D-24B3-4238-8780-0F66C9AD7251}">
            <x14:dataBar minLength="0" maxLength="100" gradient="0">
              <x14:cfvo type="autoMin"/>
              <x14:cfvo type="autoMax"/>
              <x14:negativeFillColor theme="5" tint="0.59999389629810485"/>
              <x14:axisColor rgb="FF000000"/>
            </x14:dataBar>
          </x14:cfRule>
          <xm:sqref>CL6:CL17</xm:sqref>
        </x14:conditionalFormatting>
        <x14:conditionalFormatting xmlns:xm="http://schemas.microsoft.com/office/excel/2006/main" pivot="1">
          <x14:cfRule type="dataBar" id="{3BE037E2-EBFA-45DD-9FA0-A1D9EFE1A3E3}">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CL26:CL37</xm:sqref>
        </x14:conditionalFormatting>
        <x14:conditionalFormatting xmlns:xm="http://schemas.microsoft.com/office/excel/2006/main" pivot="1">
          <x14:cfRule type="dataBar" id="{FC9E0F15-D352-4F1F-B6AE-AAB910A91C54}">
            <x14:dataBar minLength="0" maxLength="100" gradient="0">
              <x14:cfvo type="autoMin"/>
              <x14:cfvo type="autoMax"/>
              <x14:negativeFillColor theme="5" tint="0.59999389629810485"/>
              <x14:axisColor rgb="FF000000"/>
            </x14:dataBar>
          </x14:cfRule>
          <xm:sqref>CN6:CN17</xm:sqref>
        </x14:conditionalFormatting>
        <x14:conditionalFormatting xmlns:xm="http://schemas.microsoft.com/office/excel/2006/main" pivot="1">
          <x14:cfRule type="dataBar" id="{618F214B-38BF-42FF-825D-33ADABAE7A72}">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CN26:CN37</xm:sqref>
        </x14:conditionalFormatting>
        <x14:conditionalFormatting xmlns:xm="http://schemas.microsoft.com/office/excel/2006/main" pivot="1">
          <x14:cfRule type="dataBar" id="{6AE83DF0-6C26-40DB-9F95-1AD8B1A6347E}">
            <x14:dataBar minLength="0" maxLength="100" gradient="0">
              <x14:cfvo type="autoMin"/>
              <x14:cfvo type="autoMax"/>
              <x14:negativeFillColor theme="5" tint="0.59999389629810485"/>
              <x14:axisColor rgb="FF000000"/>
            </x14:dataBar>
          </x14:cfRule>
          <xm:sqref>CP6:CP17</xm:sqref>
        </x14:conditionalFormatting>
        <x14:conditionalFormatting xmlns:xm="http://schemas.microsoft.com/office/excel/2006/main" pivot="1">
          <x14:cfRule type="dataBar" id="{F4DF60D5-2E16-4BFF-93C3-755BE0E2EA92}">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CP26:CP37</xm:sqref>
        </x14:conditionalFormatting>
        <x14:conditionalFormatting xmlns:xm="http://schemas.microsoft.com/office/excel/2006/main" pivot="1">
          <x14:cfRule type="dataBar" id="{DA4AFD7B-C772-4DCA-BFF5-EFB0E1A29D15}">
            <x14:dataBar minLength="0" maxLength="100" border="1" negativeBarBorderColorSameAsPositive="0">
              <x14:cfvo type="autoMin"/>
              <x14:cfvo type="autoMax"/>
              <x14:borderColor rgb="FF638EC6"/>
              <x14:negativeFillColor theme="3" tint="0.79998168889431442"/>
              <x14:negativeBorderColor theme="4"/>
              <x14:axisColor rgb="FF000000"/>
            </x14:dataBar>
          </x14:cfRule>
          <xm:sqref>CR26:CR37</xm:sqref>
        </x14:conditionalFormatting>
        <x14:conditionalFormatting xmlns:xm="http://schemas.microsoft.com/office/excel/2006/main" pivot="1">
          <x14:cfRule type="dataBar" id="{6A449CF2-53C3-4DAD-B140-8508E73D6457}">
            <x14:dataBar minLength="0" maxLength="100" gradient="0">
              <x14:cfvo type="autoMin"/>
              <x14:cfvo type="autoMax"/>
              <x14:negativeFillColor theme="5" tint="0.59999389629810485"/>
              <x14:axisColor rgb="FF000000"/>
            </x14:dataBar>
          </x14:cfRule>
          <xm:sqref>CR6:CR17</xm:sqref>
        </x14:conditionalFormatting>
        <x14:conditionalFormatting xmlns:xm="http://schemas.microsoft.com/office/excel/2006/main" pivot="1">
          <x14:cfRule type="dataBar" id="{26056D58-C83E-4FF5-812B-B280D94F99D8}">
            <x14:dataBar minLength="0" maxLength="100" gradient="0">
              <x14:cfvo type="autoMin"/>
              <x14:cfvo type="autoMax"/>
              <x14:negativeFillColor theme="5" tint="0.59999389629810485"/>
              <x14:axisColor rgb="FF000000"/>
            </x14:dataBar>
          </x14:cfRule>
          <xm:sqref>CT6:CT17</xm:sqref>
        </x14:conditionalFormatting>
        <x14:conditionalFormatting xmlns:xm="http://schemas.microsoft.com/office/excel/2006/main" pivot="1">
          <x14:cfRule type="dataBar" id="{1F23472C-E0F6-48C9-9E84-7C0DE88F2441}">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CT26:CT37</xm:sqref>
        </x14:conditionalFormatting>
        <x14:conditionalFormatting xmlns:xm="http://schemas.microsoft.com/office/excel/2006/main" pivot="1">
          <x14:cfRule type="dataBar" id="{F9FBBF96-27ED-4BE3-B37A-86E19ADF7D63}">
            <x14:dataBar minLength="0" maxLength="100" gradient="0">
              <x14:cfvo type="autoMin"/>
              <x14:cfvo type="autoMax"/>
              <x14:negativeFillColor theme="5" tint="0.59999389629810485"/>
              <x14:axisColor rgb="FF000000"/>
            </x14:dataBar>
          </x14:cfRule>
          <xm:sqref>CV6:CV17</xm:sqref>
        </x14:conditionalFormatting>
        <x14:conditionalFormatting xmlns:xm="http://schemas.microsoft.com/office/excel/2006/main" pivot="1">
          <x14:cfRule type="dataBar" id="{98885548-B807-4189-BB92-C362469A1850}">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CV26:CV37</xm:sqref>
        </x14:conditionalFormatting>
        <x14:conditionalFormatting xmlns:xm="http://schemas.microsoft.com/office/excel/2006/main" pivot="1">
          <x14:cfRule type="dataBar" id="{DCE187C5-0890-4580-80E5-455B4ED1D085}">
            <x14:dataBar minLength="0" maxLength="100" gradient="0">
              <x14:cfvo type="autoMin"/>
              <x14:cfvo type="autoMax"/>
              <x14:negativeFillColor theme="5" tint="0.59999389629810485"/>
              <x14:axisColor rgb="FF000000"/>
            </x14:dataBar>
          </x14:cfRule>
          <xm:sqref>CX6:CX17</xm:sqref>
        </x14:conditionalFormatting>
        <x14:conditionalFormatting xmlns:xm="http://schemas.microsoft.com/office/excel/2006/main" pivot="1">
          <x14:cfRule type="dataBar" id="{39454415-9668-4E97-AD06-D63B50ED4869}">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CX26:CX37</xm:sqref>
        </x14:conditionalFormatting>
        <x14:conditionalFormatting xmlns:xm="http://schemas.microsoft.com/office/excel/2006/main" pivot="1">
          <x14:cfRule type="dataBar" id="{86DC470B-058E-4764-A564-AED990556214}">
            <x14:dataBar minLength="0" maxLength="100" gradient="0">
              <x14:cfvo type="autoMin"/>
              <x14:cfvo type="autoMax"/>
              <x14:negativeFillColor theme="5" tint="0.59999389629810485"/>
              <x14:axisColor rgb="FF000000"/>
            </x14:dataBar>
          </x14:cfRule>
          <xm:sqref>CZ6:CZ17</xm:sqref>
        </x14:conditionalFormatting>
        <x14:conditionalFormatting xmlns:xm="http://schemas.microsoft.com/office/excel/2006/main" pivot="1">
          <x14:cfRule type="dataBar" id="{31AC39CE-2080-4D30-9187-8373272D9660}">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CZ26:CZ37</xm:sqref>
        </x14:conditionalFormatting>
        <x14:conditionalFormatting xmlns:xm="http://schemas.microsoft.com/office/excel/2006/main" pivot="1">
          <x14:cfRule type="dataBar" id="{336FC73D-8ED1-44B3-97A5-1E795EB4CEBB}">
            <x14:dataBar minLength="0" maxLength="100" gradient="0">
              <x14:cfvo type="autoMin"/>
              <x14:cfvo type="autoMax"/>
              <x14:negativeFillColor theme="5" tint="0.59999389629810485"/>
              <x14:axisColor rgb="FF000000"/>
            </x14:dataBar>
          </x14:cfRule>
          <xm:sqref>DB6:DB17</xm:sqref>
        </x14:conditionalFormatting>
        <x14:conditionalFormatting xmlns:xm="http://schemas.microsoft.com/office/excel/2006/main" pivot="1">
          <x14:cfRule type="dataBar" id="{6B3178C0-5751-40EB-AA0D-8299913F526D}">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DB26:DB37</xm:sqref>
        </x14:conditionalFormatting>
        <x14:conditionalFormatting xmlns:xm="http://schemas.microsoft.com/office/excel/2006/main" pivot="1">
          <x14:cfRule type="dataBar" id="{CFA43AED-3BBA-4403-88BF-50D2F7F2A85F}">
            <x14:dataBar minLength="0" maxLength="100" gradient="0">
              <x14:cfvo type="autoMin"/>
              <x14:cfvo type="autoMax"/>
              <x14:negativeFillColor theme="5" tint="0.59999389629810485"/>
              <x14:axisColor rgb="FF000000"/>
            </x14:dataBar>
          </x14:cfRule>
          <xm:sqref>DD6:DD17</xm:sqref>
        </x14:conditionalFormatting>
        <x14:conditionalFormatting xmlns:xm="http://schemas.microsoft.com/office/excel/2006/main" pivot="1">
          <x14:cfRule type="dataBar" id="{CA65B47E-9A04-45DD-9317-76DF49A4CE8B}">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DD26:DD37</xm:sqref>
        </x14:conditionalFormatting>
        <x14:conditionalFormatting xmlns:xm="http://schemas.microsoft.com/office/excel/2006/main" pivot="1">
          <x14:cfRule type="dataBar" id="{3B378EE1-0558-4EFD-9693-1A7AEE4E09B8}">
            <x14:dataBar minLength="0" maxLength="100" gradient="0">
              <x14:cfvo type="autoMin"/>
              <x14:cfvo type="autoMax"/>
              <x14:negativeFillColor theme="5" tint="0.59999389629810485"/>
              <x14:axisColor rgb="FF000000"/>
            </x14:dataBar>
          </x14:cfRule>
          <xm:sqref>DF6:DF17</xm:sqref>
        </x14:conditionalFormatting>
        <x14:conditionalFormatting xmlns:xm="http://schemas.microsoft.com/office/excel/2006/main" pivot="1">
          <x14:cfRule type="dataBar" id="{09B90DD4-277D-4716-B2B0-9B73B4972E14}">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DF26:DF37</xm:sqref>
        </x14:conditionalFormatting>
        <x14:conditionalFormatting xmlns:xm="http://schemas.microsoft.com/office/excel/2006/main" pivot="1">
          <x14:cfRule type="dataBar" id="{80C3A9F1-A3FE-44E4-8DA4-7586742A0606}">
            <x14:dataBar minLength="0" maxLength="100" gradient="0">
              <x14:cfvo type="autoMin"/>
              <x14:cfvo type="autoMax"/>
              <x14:negativeFillColor theme="5" tint="0.59999389629810485"/>
              <x14:axisColor rgb="FF000000"/>
            </x14:dataBar>
          </x14:cfRule>
          <xm:sqref>DH6:DH17</xm:sqref>
        </x14:conditionalFormatting>
        <x14:conditionalFormatting xmlns:xm="http://schemas.microsoft.com/office/excel/2006/main" pivot="1">
          <x14:cfRule type="dataBar" id="{AA8F3206-368F-491A-AF1D-7A5006496289}">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DH26:DH37</xm:sqref>
        </x14:conditionalFormatting>
        <x14:conditionalFormatting xmlns:xm="http://schemas.microsoft.com/office/excel/2006/main" pivot="1">
          <x14:cfRule type="dataBar" id="{AA49AD1F-E617-4AEE-BDFE-B62F2F096997}">
            <x14:dataBar minLength="0" maxLength="100" gradient="0">
              <x14:cfvo type="autoMin"/>
              <x14:cfvo type="autoMax"/>
              <x14:negativeFillColor theme="5" tint="0.59999389629810485"/>
              <x14:axisColor rgb="FF000000"/>
            </x14:dataBar>
          </x14:cfRule>
          <xm:sqref>DJ6:DJ17</xm:sqref>
        </x14:conditionalFormatting>
        <x14:conditionalFormatting xmlns:xm="http://schemas.microsoft.com/office/excel/2006/main" pivot="1">
          <x14:cfRule type="dataBar" id="{58AEF118-50CF-46A6-934E-20C668693C5B}">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DJ26:DJ37</xm:sqref>
        </x14:conditionalFormatting>
        <x14:conditionalFormatting xmlns:xm="http://schemas.microsoft.com/office/excel/2006/main" pivot="1">
          <x14:cfRule type="dataBar" id="{8CE0FC65-BAB2-4FED-A692-D3C734E6461C}">
            <x14:dataBar minLength="0" maxLength="100" gradient="0">
              <x14:cfvo type="autoMin"/>
              <x14:cfvo type="autoMax"/>
              <x14:negativeFillColor theme="5" tint="0.59999389629810485"/>
              <x14:axisColor rgb="FF000000"/>
            </x14:dataBar>
          </x14:cfRule>
          <xm:sqref>DL6:DL17</xm:sqref>
        </x14:conditionalFormatting>
        <x14:conditionalFormatting xmlns:xm="http://schemas.microsoft.com/office/excel/2006/main" pivot="1">
          <x14:cfRule type="dataBar" id="{C1AF1CEC-1016-4051-8164-79056D5D5276}">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DL26:DL37</xm:sqref>
        </x14:conditionalFormatting>
        <x14:conditionalFormatting xmlns:xm="http://schemas.microsoft.com/office/excel/2006/main" pivot="1">
          <x14:cfRule type="dataBar" id="{4741FDCD-7E5E-4E82-8F71-B3CB44972F9B}">
            <x14:dataBar minLength="0" maxLength="100" gradient="0">
              <x14:cfvo type="autoMin"/>
              <x14:cfvo type="autoMax"/>
              <x14:negativeFillColor theme="5" tint="0.59999389629810485"/>
              <x14:axisColor rgb="FF000000"/>
            </x14:dataBar>
          </x14:cfRule>
          <xm:sqref>DN6:DN17</xm:sqref>
        </x14:conditionalFormatting>
        <x14:conditionalFormatting xmlns:xm="http://schemas.microsoft.com/office/excel/2006/main" pivot="1">
          <x14:cfRule type="dataBar" id="{A1A09998-B6B5-4744-8252-8FA9DC038B87}">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DN26:DN37</xm:sqref>
        </x14:conditionalFormatting>
        <x14:conditionalFormatting xmlns:xm="http://schemas.microsoft.com/office/excel/2006/main" pivot="1">
          <x14:cfRule type="dataBar" id="{5BDDBACC-B7D1-4331-A0A3-825C7B24FFC4}">
            <x14:dataBar minLength="0" maxLength="100" gradient="0">
              <x14:cfvo type="autoMin"/>
              <x14:cfvo type="autoMax"/>
              <x14:negativeFillColor theme="5" tint="0.59999389629810485"/>
              <x14:axisColor rgb="FF000000"/>
            </x14:dataBar>
          </x14:cfRule>
          <xm:sqref>DP6:DP17</xm:sqref>
        </x14:conditionalFormatting>
        <x14:conditionalFormatting xmlns:xm="http://schemas.microsoft.com/office/excel/2006/main" pivot="1">
          <x14:cfRule type="dataBar" id="{10DB3961-CC46-4099-80FD-25A126256E4B}">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DP26:DP37</xm:sqref>
        </x14:conditionalFormatting>
        <x14:conditionalFormatting xmlns:xm="http://schemas.microsoft.com/office/excel/2006/main" pivot="1">
          <x14:cfRule type="dataBar" id="{F87DD857-DF6B-4B24-83E1-C6E64DA8BDFB}">
            <x14:dataBar minLength="0" maxLength="100" gradient="0">
              <x14:cfvo type="autoMin"/>
              <x14:cfvo type="autoMax"/>
              <x14:negativeFillColor theme="5" tint="0.59999389629810485"/>
              <x14:axisColor rgb="FF000000"/>
            </x14:dataBar>
          </x14:cfRule>
          <xm:sqref>DR6:DR17</xm:sqref>
        </x14:conditionalFormatting>
        <x14:conditionalFormatting xmlns:xm="http://schemas.microsoft.com/office/excel/2006/main" pivot="1">
          <x14:cfRule type="dataBar" id="{401BEC79-33BE-458F-863F-DA0BA3C40A5E}">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DR26:DR37</xm:sqref>
        </x14:conditionalFormatting>
        <x14:conditionalFormatting xmlns:xm="http://schemas.microsoft.com/office/excel/2006/main" pivot="1">
          <x14:cfRule type="dataBar" id="{259F05F2-4CC2-47A8-9986-16A45985080B}">
            <x14:dataBar minLength="0" maxLength="100" gradient="0">
              <x14:cfvo type="autoMin"/>
              <x14:cfvo type="autoMax"/>
              <x14:negativeFillColor theme="5" tint="0.59999389629810485"/>
              <x14:axisColor rgb="FF000000"/>
            </x14:dataBar>
          </x14:cfRule>
          <xm:sqref>DT6:DT17</xm:sqref>
        </x14:conditionalFormatting>
        <x14:conditionalFormatting xmlns:xm="http://schemas.microsoft.com/office/excel/2006/main" pivot="1">
          <x14:cfRule type="dataBar" id="{E0A19D88-AC48-441F-BD1B-454FE854ECA6}">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DT26:DT37</xm:sqref>
        </x14:conditionalFormatting>
        <x14:conditionalFormatting xmlns:xm="http://schemas.microsoft.com/office/excel/2006/main" pivot="1">
          <x14:cfRule type="dataBar" id="{0AFB6763-9AEC-4380-8A4D-8C2D3B75178F}">
            <x14:dataBar minLength="0" maxLength="100" gradient="0">
              <x14:cfvo type="autoMin"/>
              <x14:cfvo type="autoMax"/>
              <x14:negativeFillColor theme="5" tint="0.59999389629810485"/>
              <x14:axisColor rgb="FF000000"/>
            </x14:dataBar>
          </x14:cfRule>
          <xm:sqref>DV6:DV17</xm:sqref>
        </x14:conditionalFormatting>
        <x14:conditionalFormatting xmlns:xm="http://schemas.microsoft.com/office/excel/2006/main" pivot="1">
          <x14:cfRule type="dataBar" id="{C1494ABB-0EA9-48DB-94AA-A3BC048B15E8}">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DV26:DV37</xm:sqref>
        </x14:conditionalFormatting>
        <x14:conditionalFormatting xmlns:xm="http://schemas.microsoft.com/office/excel/2006/main" pivot="1">
          <x14:cfRule type="dataBar" id="{EEAF0E72-5593-4E04-B7CB-795680F948A3}">
            <x14:dataBar minLength="0" maxLength="100" gradient="0">
              <x14:cfvo type="autoMin"/>
              <x14:cfvo type="autoMax"/>
              <x14:negativeFillColor theme="5" tint="0.59999389629810485"/>
              <x14:axisColor rgb="FF000000"/>
            </x14:dataBar>
          </x14:cfRule>
          <xm:sqref>DX6:DX17</xm:sqref>
        </x14:conditionalFormatting>
        <x14:conditionalFormatting xmlns:xm="http://schemas.microsoft.com/office/excel/2006/main" pivot="1">
          <x14:cfRule type="dataBar" id="{52893456-2F59-4EA1-84FB-7775EC000257}">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DX26:DX37</xm:sqref>
        </x14:conditionalFormatting>
        <x14:conditionalFormatting xmlns:xm="http://schemas.microsoft.com/office/excel/2006/main" pivot="1">
          <x14:cfRule type="dataBar" id="{236B9754-D825-40E6-A36F-F4FF56698039}">
            <x14:dataBar minLength="0" maxLength="100" gradient="0">
              <x14:cfvo type="autoMin"/>
              <x14:cfvo type="autoMax"/>
              <x14:negativeFillColor theme="5" tint="0.59999389629810485"/>
              <x14:axisColor rgb="FF000000"/>
            </x14:dataBar>
          </x14:cfRule>
          <xm:sqref>DZ6:DZ17</xm:sqref>
        </x14:conditionalFormatting>
        <x14:conditionalFormatting xmlns:xm="http://schemas.microsoft.com/office/excel/2006/main" pivot="1">
          <x14:cfRule type="dataBar" id="{B517F261-52FE-424A-9DCD-2931A68DF8D5}">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DZ26:DZ37</xm:sqref>
        </x14:conditionalFormatting>
        <x14:conditionalFormatting xmlns:xm="http://schemas.microsoft.com/office/excel/2006/main" pivot="1">
          <x14:cfRule type="dataBar" id="{3E8B4DAA-2025-434C-B5A0-AB1CA4CF2F3B}">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EB26:EB37</xm:sqref>
        </x14:conditionalFormatting>
        <x14:conditionalFormatting xmlns:xm="http://schemas.microsoft.com/office/excel/2006/main" pivot="1">
          <x14:cfRule type="dataBar" id="{55BCA7CD-C5B4-4084-B7CF-786B279B2B1E}">
            <x14:dataBar minLength="0" maxLength="100" gradient="0">
              <x14:cfvo type="autoMin"/>
              <x14:cfvo type="autoMax"/>
              <x14:negativeFillColor theme="5" tint="0.59999389629810485"/>
              <x14:axisColor rgb="FF000000"/>
            </x14:dataBar>
          </x14:cfRule>
          <xm:sqref>EB6:EB17</xm:sqref>
        </x14:conditionalFormatting>
        <x14:conditionalFormatting xmlns:xm="http://schemas.microsoft.com/office/excel/2006/main" pivot="1">
          <x14:cfRule type="dataBar" id="{03CCCEA6-2B82-4437-A27D-E8FCB0618066}">
            <x14:dataBar minLength="0" maxLength="100" gradient="0">
              <x14:cfvo type="autoMin"/>
              <x14:cfvo type="autoMax"/>
              <x14:negativeFillColor theme="5" tint="0.59999389629810485"/>
              <x14:axisColor rgb="FF000000"/>
            </x14:dataBar>
          </x14:cfRule>
          <xm:sqref>ED6:ED17</xm:sqref>
        </x14:conditionalFormatting>
        <x14:conditionalFormatting xmlns:xm="http://schemas.microsoft.com/office/excel/2006/main" pivot="1">
          <x14:cfRule type="dataBar" id="{7F18BE1F-5C2A-44E6-8C49-66AC66A80A56}">
            <x14:dataBar minLength="0" maxLength="100" border="1" negativeBarBorderColorSameAsPositive="0">
              <x14:cfvo type="autoMin"/>
              <x14:cfvo type="autoMax"/>
              <x14:borderColor rgb="FF63C384"/>
              <x14:negativeFillColor theme="3" tint="0.79998168889431442"/>
              <x14:negativeBorderColor theme="3" tint="0.79998168889431442"/>
              <x14:axisColor rgb="FF000000"/>
            </x14:dataBar>
          </x14:cfRule>
          <xm:sqref>ED26:ED37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4EAF-9E0C-42FC-9A71-A00B67BAA713}">
  <dimension ref="E3:I14"/>
  <sheetViews>
    <sheetView workbookViewId="0">
      <selection activeCell="I3" sqref="I3:I14"/>
    </sheetView>
  </sheetViews>
  <sheetFormatPr defaultRowHeight="14.4" x14ac:dyDescent="0.3"/>
  <sheetData>
    <row r="3" spans="5:9" x14ac:dyDescent="0.3">
      <c r="E3" t="s">
        <v>23</v>
      </c>
      <c r="F3" s="183">
        <v>287409.28199236043</v>
      </c>
      <c r="G3" s="183">
        <v>295857.63627712522</v>
      </c>
      <c r="H3" s="13">
        <f>G3/F3-1</f>
        <v>2.9394855399935693E-2</v>
      </c>
      <c r="I3" s="183">
        <f>G3-F3</f>
        <v>8448.3542847647914</v>
      </c>
    </row>
    <row r="4" spans="5:9" x14ac:dyDescent="0.3">
      <c r="E4" t="s">
        <v>226</v>
      </c>
      <c r="F4" s="183">
        <v>363986.05242072273</v>
      </c>
      <c r="G4" s="183">
        <v>368955.45423507312</v>
      </c>
      <c r="H4" s="13">
        <f t="shared" ref="H4:H14" si="0">G4/F4-1</f>
        <v>1.3652725925350495E-2</v>
      </c>
      <c r="I4" s="183">
        <f t="shared" ref="I4:I14" si="1">G4-F4</f>
        <v>4969.4018143503927</v>
      </c>
    </row>
    <row r="5" spans="5:9" x14ac:dyDescent="0.3">
      <c r="E5" t="s">
        <v>9</v>
      </c>
      <c r="F5" s="183">
        <v>240619.63308372049</v>
      </c>
      <c r="G5" s="183">
        <v>239605.44126146811</v>
      </c>
      <c r="H5" s="13">
        <f t="shared" si="0"/>
        <v>-4.2149171672101193E-3</v>
      </c>
      <c r="I5" s="183">
        <f t="shared" si="1"/>
        <v>-1014.1918222523818</v>
      </c>
    </row>
    <row r="6" spans="5:9" x14ac:dyDescent="0.3">
      <c r="E6" t="s">
        <v>90</v>
      </c>
      <c r="F6" s="183">
        <v>330487.43833048351</v>
      </c>
      <c r="G6" s="183">
        <v>338935.99935681309</v>
      </c>
      <c r="H6" s="13">
        <f t="shared" si="0"/>
        <v>2.5563939945823622E-2</v>
      </c>
      <c r="I6" s="183">
        <f t="shared" si="1"/>
        <v>8448.5610263295821</v>
      </c>
    </row>
    <row r="7" spans="5:9" x14ac:dyDescent="0.3">
      <c r="E7" t="s">
        <v>244</v>
      </c>
      <c r="F7" s="183">
        <v>304404.80976587272</v>
      </c>
      <c r="G7" s="183">
        <v>313831.97483090812</v>
      </c>
      <c r="H7" s="13">
        <f t="shared" si="0"/>
        <v>3.0969172505145748E-2</v>
      </c>
      <c r="I7" s="183">
        <f t="shared" si="1"/>
        <v>9427.1650650353986</v>
      </c>
    </row>
    <row r="8" spans="5:9" x14ac:dyDescent="0.3">
      <c r="E8" t="s">
        <v>227</v>
      </c>
      <c r="F8" s="183">
        <v>333453.58297836472</v>
      </c>
      <c r="G8" s="183">
        <v>335102.60702170612</v>
      </c>
      <c r="H8" s="13">
        <f t="shared" si="0"/>
        <v>4.9452881226001999E-3</v>
      </c>
      <c r="I8" s="183">
        <f t="shared" si="1"/>
        <v>1649.0240433414001</v>
      </c>
    </row>
    <row r="9" spans="5:9" x14ac:dyDescent="0.3">
      <c r="E9" t="s">
        <v>13</v>
      </c>
      <c r="F9" s="183">
        <v>179482.84446282289</v>
      </c>
      <c r="G9" s="183">
        <v>183225.25019643709</v>
      </c>
      <c r="H9" s="13">
        <f t="shared" si="0"/>
        <v>2.0851049830499901E-2</v>
      </c>
      <c r="I9" s="183">
        <f t="shared" si="1"/>
        <v>3742.4057336141996</v>
      </c>
    </row>
    <row r="10" spans="5:9" x14ac:dyDescent="0.3">
      <c r="E10" t="s">
        <v>228</v>
      </c>
      <c r="F10" s="183">
        <v>623394.61502750486</v>
      </c>
      <c r="G10" s="183">
        <v>675010.44577401597</v>
      </c>
      <c r="H10" s="13">
        <f t="shared" si="0"/>
        <v>8.2798005472398462E-2</v>
      </c>
      <c r="I10" s="183">
        <f t="shared" si="1"/>
        <v>51615.830746511114</v>
      </c>
    </row>
    <row r="11" spans="5:9" x14ac:dyDescent="0.3">
      <c r="E11" t="s">
        <v>230</v>
      </c>
      <c r="F11" s="183">
        <v>281875.81664987578</v>
      </c>
      <c r="G11" s="183">
        <v>286213.87438602129</v>
      </c>
      <c r="H11" s="13">
        <f t="shared" si="0"/>
        <v>1.5389960684473625E-2</v>
      </c>
      <c r="I11" s="183">
        <f t="shared" si="1"/>
        <v>4338.0577361455071</v>
      </c>
    </row>
    <row r="12" spans="5:9" x14ac:dyDescent="0.3">
      <c r="E12" t="s">
        <v>231</v>
      </c>
      <c r="F12" s="183">
        <v>327112.91615573713</v>
      </c>
      <c r="G12" s="183">
        <v>336469.0688223911</v>
      </c>
      <c r="H12" s="13">
        <f t="shared" si="0"/>
        <v>2.8602211054850279E-2</v>
      </c>
      <c r="I12" s="183">
        <f t="shared" si="1"/>
        <v>9356.1526666539721</v>
      </c>
    </row>
    <row r="13" spans="5:9" x14ac:dyDescent="0.3">
      <c r="E13" t="s">
        <v>229</v>
      </c>
      <c r="F13" s="183">
        <v>302361.06314639049</v>
      </c>
      <c r="G13" s="183">
        <v>308569.71740717988</v>
      </c>
      <c r="H13" s="13">
        <f t="shared" si="0"/>
        <v>2.0533908024339187E-2</v>
      </c>
      <c r="I13" s="183">
        <f t="shared" si="1"/>
        <v>6208.6542607893934</v>
      </c>
    </row>
    <row r="14" spans="5:9" x14ac:dyDescent="0.3">
      <c r="E14" t="s">
        <v>175</v>
      </c>
      <c r="F14" s="183">
        <v>229631.84345599191</v>
      </c>
      <c r="G14" s="183">
        <v>241788.4998186747</v>
      </c>
      <c r="H14" s="13">
        <f t="shared" si="0"/>
        <v>5.2939767323744835E-2</v>
      </c>
      <c r="I14" s="183">
        <f t="shared" si="1"/>
        <v>12156.656362682785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072B-B7A9-4406-8C70-75295B57D620}">
  <sheetPr codeName="Лист14"/>
  <dimension ref="A1:J15"/>
  <sheetViews>
    <sheetView workbookViewId="0">
      <selection activeCell="E19" sqref="E19"/>
    </sheetView>
  </sheetViews>
  <sheetFormatPr defaultRowHeight="14.4" x14ac:dyDescent="0.3"/>
  <cols>
    <col min="1" max="1" width="17.5546875" bestFit="1" customWidth="1"/>
    <col min="2" max="2" width="7.21875" bestFit="1" customWidth="1"/>
    <col min="3" max="3" width="11" bestFit="1" customWidth="1"/>
    <col min="4" max="4" width="4.77734375" customWidth="1"/>
    <col min="5" max="5" width="20.21875" bestFit="1" customWidth="1"/>
    <col min="6" max="6" width="11.21875" customWidth="1"/>
    <col min="7" max="7" width="10.6640625" bestFit="1" customWidth="1"/>
    <col min="8" max="8" width="6.5546875" customWidth="1"/>
    <col min="9" max="17" width="9.77734375" bestFit="1" customWidth="1"/>
    <col min="18" max="18" width="11.21875" bestFit="1" customWidth="1"/>
    <col min="19" max="34" width="3.77734375" bestFit="1" customWidth="1"/>
    <col min="35" max="190" width="4.77734375" bestFit="1" customWidth="1"/>
    <col min="191" max="191" width="11.21875" bestFit="1" customWidth="1"/>
  </cols>
  <sheetData>
    <row r="1" spans="1:10" x14ac:dyDescent="0.3">
      <c r="A1" s="177" t="s">
        <v>223</v>
      </c>
    </row>
    <row r="3" spans="1:10" x14ac:dyDescent="0.3">
      <c r="A3" s="172" t="s">
        <v>235</v>
      </c>
      <c r="B3" s="164" t="s">
        <v>199</v>
      </c>
      <c r="E3" s="172" t="s">
        <v>235</v>
      </c>
      <c r="F3" s="164" t="s">
        <v>199</v>
      </c>
      <c r="J3" s="164"/>
    </row>
    <row r="4" spans="1:10" x14ac:dyDescent="0.3">
      <c r="A4" s="172" t="s">
        <v>204</v>
      </c>
      <c r="B4" t="s">
        <v>247</v>
      </c>
      <c r="E4" s="172" t="s">
        <v>206</v>
      </c>
      <c r="F4" t="s">
        <v>247</v>
      </c>
      <c r="H4" s="177" t="s">
        <v>224</v>
      </c>
    </row>
    <row r="6" spans="1:10" x14ac:dyDescent="0.3">
      <c r="A6" s="172" t="s">
        <v>186</v>
      </c>
      <c r="B6" t="s">
        <v>209</v>
      </c>
      <c r="C6" t="s">
        <v>210</v>
      </c>
      <c r="E6" s="172" t="s">
        <v>186</v>
      </c>
      <c r="F6" t="s">
        <v>211</v>
      </c>
      <c r="G6" t="s">
        <v>210</v>
      </c>
    </row>
    <row r="7" spans="1:10" x14ac:dyDescent="0.3">
      <c r="A7" t="s">
        <v>23</v>
      </c>
      <c r="B7" s="184">
        <v>3771</v>
      </c>
      <c r="C7" s="36">
        <v>-3.1587057010785791E-2</v>
      </c>
      <c r="E7" t="s">
        <v>23</v>
      </c>
      <c r="F7" s="185">
        <v>301401.5354857652</v>
      </c>
      <c r="G7" s="36">
        <v>-1.2197246147880314E-3</v>
      </c>
    </row>
    <row r="8" spans="1:10" x14ac:dyDescent="0.3">
      <c r="A8" t="s">
        <v>226</v>
      </c>
      <c r="B8" s="184">
        <v>4115</v>
      </c>
      <c r="C8" s="36">
        <v>-2.1823472356935492E-3</v>
      </c>
      <c r="E8" t="s">
        <v>226</v>
      </c>
      <c r="F8" s="185">
        <v>390426.86223253259</v>
      </c>
      <c r="G8" s="36">
        <v>2.0027905419195413E-2</v>
      </c>
    </row>
    <row r="9" spans="1:10" x14ac:dyDescent="0.3">
      <c r="A9" t="s">
        <v>90</v>
      </c>
      <c r="B9" s="184">
        <v>3596</v>
      </c>
      <c r="C9" s="36">
        <v>-2.7731558513588439E-3</v>
      </c>
      <c r="E9" t="s">
        <v>90</v>
      </c>
      <c r="F9" s="185">
        <v>348719.96547182067</v>
      </c>
      <c r="G9" s="36">
        <v>3.7453717291595634E-3</v>
      </c>
    </row>
    <row r="10" spans="1:10" x14ac:dyDescent="0.3">
      <c r="A10" t="s">
        <v>238</v>
      </c>
      <c r="B10" s="184">
        <v>3408</v>
      </c>
      <c r="C10" s="36">
        <v>5.8719906048154691E-4</v>
      </c>
      <c r="E10" t="s">
        <v>238</v>
      </c>
      <c r="F10" s="185">
        <v>321601.43818400661</v>
      </c>
      <c r="G10" s="36">
        <v>2.506242202195974E-4</v>
      </c>
    </row>
    <row r="11" spans="1:10" x14ac:dyDescent="0.3">
      <c r="A11" t="s">
        <v>227</v>
      </c>
      <c r="B11" s="184">
        <v>2270</v>
      </c>
      <c r="C11" s="36">
        <v>6.6518847006651338E-3</v>
      </c>
      <c r="E11" t="s">
        <v>227</v>
      </c>
      <c r="F11" s="185">
        <v>341954.07260854339</v>
      </c>
      <c r="G11" s="36">
        <v>3.9958797424599624E-3</v>
      </c>
    </row>
    <row r="12" spans="1:10" x14ac:dyDescent="0.3">
      <c r="A12" t="s">
        <v>228</v>
      </c>
      <c r="B12" s="184">
        <v>4466</v>
      </c>
      <c r="C12" s="36">
        <v>-7.1142730102267127E-3</v>
      </c>
      <c r="E12" t="s">
        <v>228</v>
      </c>
      <c r="F12" s="185">
        <v>691577.06056553405</v>
      </c>
      <c r="G12" s="36">
        <v>-7.2880181495893481E-3</v>
      </c>
    </row>
    <row r="13" spans="1:10" x14ac:dyDescent="0.3">
      <c r="A13" t="s">
        <v>230</v>
      </c>
      <c r="B13" s="184">
        <v>3588</v>
      </c>
      <c r="C13" s="36">
        <v>1.2415349887133109E-2</v>
      </c>
      <c r="E13" t="s">
        <v>230</v>
      </c>
      <c r="F13" s="185">
        <v>293796.85927651142</v>
      </c>
      <c r="G13" s="36">
        <v>1.3239759555428776E-2</v>
      </c>
    </row>
    <row r="14" spans="1:10" x14ac:dyDescent="0.3">
      <c r="A14" t="s">
        <v>231</v>
      </c>
      <c r="B14" s="184">
        <v>3801</v>
      </c>
      <c r="C14" s="36">
        <v>-1.706749418153608E-2</v>
      </c>
      <c r="E14" t="s">
        <v>231</v>
      </c>
      <c r="F14" s="185">
        <v>347494.20654323848</v>
      </c>
      <c r="G14" s="36">
        <v>3.8882692643156247E-3</v>
      </c>
    </row>
    <row r="15" spans="1:10" x14ac:dyDescent="0.3">
      <c r="A15" t="s">
        <v>229</v>
      </c>
      <c r="B15" s="184">
        <v>3865</v>
      </c>
      <c r="C15" s="36">
        <v>-1.8786494034018775E-2</v>
      </c>
      <c r="E15" t="s">
        <v>229</v>
      </c>
      <c r="F15" s="185">
        <v>319461.35296923999</v>
      </c>
      <c r="G15" s="36">
        <v>7.3730991670513113E-3</v>
      </c>
    </row>
  </sheetData>
  <conditionalFormatting pivot="1" sqref="B7:B15">
    <cfRule type="dataBar" priority="10">
      <dataBar>
        <cfvo type="min"/>
        <cfvo type="max"/>
        <color rgb="FF638EC6"/>
      </dataBar>
      <extLst>
        <ext xmlns:x14="http://schemas.microsoft.com/office/spreadsheetml/2009/9/main" uri="{B025F937-C7B1-47D3-B67F-A62EFF666E3E}">
          <x14:id>{801FA2B7-4EBF-4497-8DB9-B17FEC8FF201}</x14:id>
        </ext>
      </extLst>
    </cfRule>
  </conditionalFormatting>
  <conditionalFormatting pivot="1" sqref="F7:F15">
    <cfRule type="dataBar" priority="9">
      <dataBar>
        <cfvo type="min"/>
        <cfvo type="max"/>
        <color rgb="FF638EC6"/>
      </dataBar>
      <extLst>
        <ext xmlns:x14="http://schemas.microsoft.com/office/spreadsheetml/2009/9/main" uri="{B025F937-C7B1-47D3-B67F-A62EFF666E3E}">
          <x14:id>{2C1FF54C-84A8-4616-B531-7E53A2062A0B}</x14:id>
        </ext>
      </extLst>
    </cfRule>
  </conditionalFormatting>
  <conditionalFormatting pivot="1">
    <cfRule type="dataBar" priority="8">
      <dataBar>
        <cfvo type="min"/>
        <cfvo type="max"/>
        <color theme="9" tint="0.59999389629810485"/>
      </dataBar>
      <extLst>
        <ext xmlns:x14="http://schemas.microsoft.com/office/spreadsheetml/2009/9/main" uri="{B025F937-C7B1-47D3-B67F-A62EFF666E3E}">
          <x14:id>{B1E52BDC-D703-49F5-AADB-7D4ABB822FD0}</x14:id>
        </ext>
      </extLst>
    </cfRule>
  </conditionalFormatting>
  <conditionalFormatting pivot="1" sqref="F7:F15">
    <cfRule type="dataBar" priority="7">
      <dataBar>
        <cfvo type="min"/>
        <cfvo type="max"/>
        <color theme="9" tint="0.59999389629810485"/>
      </dataBar>
      <extLst>
        <ext xmlns:x14="http://schemas.microsoft.com/office/spreadsheetml/2009/9/main" uri="{B025F937-C7B1-47D3-B67F-A62EFF666E3E}">
          <x14:id>{EA58F010-751E-484F-886B-CF0C64BAC819}</x14:id>
        </ext>
      </extLst>
    </cfRule>
  </conditionalFormatting>
  <conditionalFormatting pivot="1" sqref="C7:C15">
    <cfRule type="dataBar" priority="2">
      <dataBar>
        <cfvo type="min"/>
        <cfvo type="max"/>
        <color rgb="FF63C384"/>
      </dataBar>
      <extLst>
        <ext xmlns:x14="http://schemas.microsoft.com/office/spreadsheetml/2009/9/main" uri="{B025F937-C7B1-47D3-B67F-A62EFF666E3E}">
          <x14:id>{8E2C44B8-C14D-4A5C-A683-B72C70D6D608}</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801FA2B7-4EBF-4497-8DB9-B17FEC8FF201}">
            <x14:dataBar minLength="0" maxLength="100" gradient="0">
              <x14:cfvo type="autoMin"/>
              <x14:cfvo type="autoMax"/>
              <x14:negativeFillColor rgb="FFFF0000"/>
              <x14:axisColor rgb="FF000000"/>
            </x14:dataBar>
          </x14:cfRule>
          <xm:sqref>B7:B15</xm:sqref>
        </x14:conditionalFormatting>
        <x14:conditionalFormatting xmlns:xm="http://schemas.microsoft.com/office/excel/2006/main" pivot="1">
          <x14:cfRule type="dataBar" id="{2C1FF54C-84A8-4616-B531-7E53A2062A0B}">
            <x14:dataBar minLength="0" maxLength="100" gradient="0">
              <x14:cfvo type="autoMin"/>
              <x14:cfvo type="autoMax"/>
              <x14:negativeFillColor rgb="FFFF0000"/>
              <x14:axisColor rgb="FF000000"/>
            </x14:dataBar>
          </x14:cfRule>
          <xm:sqref>F7:F15</xm:sqref>
        </x14:conditionalFormatting>
        <x14:conditionalFormatting xmlns:xm="http://schemas.microsoft.com/office/excel/2006/main" pivot="1">
          <x14:cfRule type="dataBar" id="{B1E52BDC-D703-49F5-AADB-7D4ABB822FD0}">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EA58F010-751E-484F-886B-CF0C64BAC819}">
            <x14:dataBar minLength="0" maxLength="100" gradient="0">
              <x14:cfvo type="autoMin"/>
              <x14:cfvo type="autoMax"/>
              <x14:negativeFillColor rgb="FFFF0000"/>
              <x14:axisColor rgb="FF000000"/>
            </x14:dataBar>
          </x14:cfRule>
          <xm:sqref>F7:F15</xm:sqref>
        </x14:conditionalFormatting>
        <x14:conditionalFormatting xmlns:xm="http://schemas.microsoft.com/office/excel/2006/main" pivot="1">
          <x14:cfRule type="dataBar" id="{8E2C44B8-C14D-4A5C-A683-B72C70D6D608}">
            <x14:dataBar minLength="0" maxLength="100" border="1" negativeBarBorderColorSameAsPositive="0">
              <x14:cfvo type="autoMin"/>
              <x14:cfvo type="autoMax"/>
              <x14:borderColor rgb="FF63C384"/>
              <x14:negativeFillColor theme="7" tint="0.59999389629810485"/>
              <x14:negativeBorderColor theme="7" tint="0.59999389629810485"/>
              <x14:axisColor rgb="FF000000"/>
            </x14:dataBar>
          </x14:cfRule>
          <xm:sqref>C7:C15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1CB4B-03A0-4852-9EB3-3EAFBAC9094F}">
  <sheetPr codeName="Лист15"/>
  <dimension ref="B1:E15"/>
  <sheetViews>
    <sheetView workbookViewId="0">
      <selection activeCell="B2" sqref="B2"/>
    </sheetView>
  </sheetViews>
  <sheetFormatPr defaultRowHeight="14.4" x14ac:dyDescent="0.3"/>
  <cols>
    <col min="1" max="1" width="4.77734375" customWidth="1"/>
    <col min="2" max="2" width="20.21875" bestFit="1" customWidth="1"/>
    <col min="3" max="3" width="11.21875" customWidth="1"/>
    <col min="4" max="4" width="10.6640625" bestFit="1" customWidth="1"/>
    <col min="5" max="5" width="10.77734375" customWidth="1"/>
    <col min="6" max="14" width="9.77734375" bestFit="1" customWidth="1"/>
    <col min="15" max="15" width="11.21875" bestFit="1" customWidth="1"/>
    <col min="16" max="31" width="3.77734375" bestFit="1" customWidth="1"/>
    <col min="32" max="187" width="4.77734375" bestFit="1" customWidth="1"/>
    <col min="188" max="188" width="11.21875" bestFit="1" customWidth="1"/>
  </cols>
  <sheetData>
    <row r="1" spans="2:5" x14ac:dyDescent="0.3">
      <c r="B1" s="177" t="s">
        <v>243</v>
      </c>
    </row>
    <row r="3" spans="2:5" x14ac:dyDescent="0.3">
      <c r="B3" s="172" t="s">
        <v>211</v>
      </c>
      <c r="C3" s="172" t="s">
        <v>206</v>
      </c>
      <c r="D3" s="172" t="s">
        <v>235</v>
      </c>
    </row>
    <row r="4" spans="2:5" x14ac:dyDescent="0.3">
      <c r="C4" t="s">
        <v>192</v>
      </c>
      <c r="D4" t="s">
        <v>242</v>
      </c>
      <c r="E4" t="s">
        <v>247</v>
      </c>
    </row>
    <row r="5" spans="2:5" x14ac:dyDescent="0.3">
      <c r="B5" s="172" t="s">
        <v>186</v>
      </c>
      <c r="C5" s="164" t="s">
        <v>199</v>
      </c>
      <c r="D5" s="164" t="s">
        <v>199</v>
      </c>
      <c r="E5" s="164" t="s">
        <v>199</v>
      </c>
    </row>
    <row r="6" spans="2:5" x14ac:dyDescent="0.3">
      <c r="B6" t="s">
        <v>213</v>
      </c>
      <c r="C6" s="185">
        <v>271753.43139286892</v>
      </c>
      <c r="D6" s="185">
        <v>286025.57234542491</v>
      </c>
      <c r="E6" s="185">
        <v>301401.5354857652</v>
      </c>
    </row>
    <row r="7" spans="2:5" x14ac:dyDescent="0.3">
      <c r="B7" t="s">
        <v>214</v>
      </c>
      <c r="C7" s="185">
        <v>340731.0975671148</v>
      </c>
      <c r="D7" s="185">
        <v>365128.20366535801</v>
      </c>
      <c r="E7" s="185">
        <v>390426.86223253259</v>
      </c>
    </row>
    <row r="8" spans="2:5" x14ac:dyDescent="0.3">
      <c r="B8" t="s">
        <v>215</v>
      </c>
      <c r="C8" s="185">
        <v>220945.6460367316</v>
      </c>
      <c r="D8" s="185">
        <v>246027.25758545179</v>
      </c>
      <c r="E8" s="185">
        <v>237173.07507765331</v>
      </c>
    </row>
    <row r="9" spans="2:5" x14ac:dyDescent="0.3">
      <c r="B9" t="s">
        <v>216</v>
      </c>
      <c r="C9" s="185">
        <v>314128.71891417587</v>
      </c>
      <c r="D9" s="185">
        <v>331132.64062906388</v>
      </c>
      <c r="E9" s="185">
        <v>348719.96547182067</v>
      </c>
    </row>
    <row r="10" spans="2:5" x14ac:dyDescent="0.3">
      <c r="B10" t="s">
        <v>217</v>
      </c>
      <c r="C10" s="185">
        <v>291580.60943401378</v>
      </c>
      <c r="D10" s="185">
        <v>304370.83287192642</v>
      </c>
      <c r="E10" s="185">
        <v>321601.43818400661</v>
      </c>
    </row>
    <row r="11" spans="2:5" x14ac:dyDescent="0.3">
      <c r="B11" t="s">
        <v>218</v>
      </c>
      <c r="C11" s="185">
        <v>315410.97976804298</v>
      </c>
      <c r="D11" s="185">
        <v>332583.65265418711</v>
      </c>
      <c r="E11" s="185">
        <v>341954.07260854339</v>
      </c>
    </row>
    <row r="12" spans="2:5" x14ac:dyDescent="0.3">
      <c r="B12" t="s">
        <v>219</v>
      </c>
      <c r="C12" s="185">
        <v>574623.85455811245</v>
      </c>
      <c r="D12" s="185">
        <v>619052.451207601</v>
      </c>
      <c r="E12" s="185">
        <v>691577.06056553405</v>
      </c>
    </row>
    <row r="13" spans="2:5" x14ac:dyDescent="0.3">
      <c r="B13" t="s">
        <v>220</v>
      </c>
      <c r="C13" s="185">
        <v>265768.53769819078</v>
      </c>
      <c r="D13" s="185">
        <v>282380.45405822009</v>
      </c>
      <c r="E13" s="185">
        <v>293796.85927651142</v>
      </c>
    </row>
    <row r="14" spans="2:5" x14ac:dyDescent="0.3">
      <c r="B14" t="s">
        <v>221</v>
      </c>
      <c r="C14" s="185">
        <v>307525.38589723379</v>
      </c>
      <c r="D14" s="185">
        <v>326994.16273948271</v>
      </c>
      <c r="E14" s="185">
        <v>347494.20654323848</v>
      </c>
    </row>
    <row r="15" spans="2:5" x14ac:dyDescent="0.3">
      <c r="B15" t="s">
        <v>222</v>
      </c>
      <c r="C15" s="185">
        <v>286060.81074433221</v>
      </c>
      <c r="D15" s="185">
        <v>303447.717979501</v>
      </c>
      <c r="E15" s="185">
        <v>319461.35296923999</v>
      </c>
    </row>
  </sheetData>
  <conditionalFormatting pivot="1" sqref="C6:E15">
    <cfRule type="dataBar" priority="4">
      <dataBar>
        <cfvo type="min"/>
        <cfvo type="max"/>
        <color rgb="FF638EC6"/>
      </dataBar>
      <extLst>
        <ext xmlns:x14="http://schemas.microsoft.com/office/spreadsheetml/2009/9/main" uri="{B025F937-C7B1-47D3-B67F-A62EFF666E3E}">
          <x14:id>{729DF253-32C5-4977-87D5-9C6C91445C64}</x14:id>
        </ext>
      </extLst>
    </cfRule>
  </conditionalFormatting>
  <conditionalFormatting pivot="1">
    <cfRule type="dataBar" priority="3">
      <dataBar>
        <cfvo type="min"/>
        <cfvo type="max"/>
        <color theme="9" tint="0.59999389629810485"/>
      </dataBar>
      <extLst>
        <ext xmlns:x14="http://schemas.microsoft.com/office/spreadsheetml/2009/9/main" uri="{B025F937-C7B1-47D3-B67F-A62EFF666E3E}">
          <x14:id>{EBA96F0F-2010-48C3-9542-B0AE3EB0BA43}</x14:id>
        </ext>
      </extLst>
    </cfRule>
  </conditionalFormatting>
  <conditionalFormatting pivot="1" sqref="C6:E15">
    <cfRule type="dataBar" priority="2">
      <dataBar>
        <cfvo type="min"/>
        <cfvo type="max"/>
        <color theme="9" tint="0.59999389629810485"/>
      </dataBar>
      <extLst>
        <ext xmlns:x14="http://schemas.microsoft.com/office/spreadsheetml/2009/9/main" uri="{B025F937-C7B1-47D3-B67F-A62EFF666E3E}">
          <x14:id>{FC978D56-D8AE-4BB5-B15D-F9F3DB881BFD}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29DF253-32C5-4977-87D5-9C6C91445C64}">
            <x14:dataBar minLength="0" maxLength="100" gradient="0">
              <x14:cfvo type="autoMin"/>
              <x14:cfvo type="autoMax"/>
              <x14:negativeFillColor rgb="FFFF0000"/>
              <x14:axisColor rgb="FF000000"/>
            </x14:dataBar>
          </x14:cfRule>
          <xm:sqref>C6:E15</xm:sqref>
        </x14:conditionalFormatting>
        <x14:conditionalFormatting xmlns:xm="http://schemas.microsoft.com/office/excel/2006/main" pivot="1">
          <x14:cfRule type="dataBar" id="{EBA96F0F-2010-48C3-9542-B0AE3EB0BA43}">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FC978D56-D8AE-4BB5-B15D-F9F3DB881BFD}">
            <x14:dataBar minLength="0" maxLength="100" gradient="0">
              <x14:cfvo type="autoMin"/>
              <x14:cfvo type="autoMax"/>
              <x14:negativeFillColor rgb="FFFF0000"/>
              <x14:axisColor rgb="FF000000"/>
            </x14:dataBar>
          </x14:cfRule>
          <xm:sqref>C6:E15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932B-A592-4E90-ABE3-74DE8C0EB94A}">
  <sheetPr codeName="Лист16"/>
  <dimension ref="B1:AF63"/>
  <sheetViews>
    <sheetView topLeftCell="A31" zoomScale="55" zoomScaleNormal="55" workbookViewId="0">
      <selection activeCell="AK57" sqref="AK57"/>
    </sheetView>
  </sheetViews>
  <sheetFormatPr defaultRowHeight="14.4" x14ac:dyDescent="0.3"/>
  <cols>
    <col min="1" max="1" width="4.77734375" customWidth="1"/>
    <col min="2" max="2" width="20.21875" bestFit="1" customWidth="1"/>
    <col min="3" max="3" width="11.21875" customWidth="1"/>
    <col min="4" max="4" width="11.109375" bestFit="1" customWidth="1"/>
    <col min="5" max="5" width="12.77734375" bestFit="1" customWidth="1"/>
    <col min="6" max="12" width="11" bestFit="1" customWidth="1"/>
    <col min="13" max="14" width="9.77734375" bestFit="1" customWidth="1"/>
    <col min="15" max="15" width="11.21875" bestFit="1" customWidth="1"/>
    <col min="16" max="23" width="3.77734375" bestFit="1" customWidth="1"/>
    <col min="24" max="28" width="3.88671875" bestFit="1" customWidth="1"/>
    <col min="29" max="29" width="4.33203125" bestFit="1" customWidth="1"/>
    <col min="30" max="31" width="3.88671875" bestFit="1" customWidth="1"/>
    <col min="32" max="32" width="4.88671875" bestFit="1" customWidth="1"/>
    <col min="33" max="187" width="4.77734375" bestFit="1" customWidth="1"/>
    <col min="188" max="188" width="11.21875" bestFit="1" customWidth="1"/>
  </cols>
  <sheetData>
    <row r="1" spans="2:12" x14ac:dyDescent="0.3">
      <c r="B1" s="177"/>
    </row>
    <row r="2" spans="2:12" x14ac:dyDescent="0.3">
      <c r="B2" t="s">
        <v>212</v>
      </c>
    </row>
    <row r="3" spans="2:12" x14ac:dyDescent="0.3">
      <c r="G3" s="164"/>
    </row>
    <row r="6" spans="2:12" x14ac:dyDescent="0.3">
      <c r="B6" s="172" t="s">
        <v>190</v>
      </c>
      <c r="D6" s="172" t="s">
        <v>186</v>
      </c>
    </row>
    <row r="7" spans="2:12" x14ac:dyDescent="0.3">
      <c r="B7" s="172" t="s">
        <v>206</v>
      </c>
      <c r="C7" s="172" t="s">
        <v>235</v>
      </c>
      <c r="D7" t="s">
        <v>7</v>
      </c>
      <c r="E7" t="s">
        <v>8</v>
      </c>
      <c r="F7" t="s">
        <v>9</v>
      </c>
      <c r="G7" t="s">
        <v>10</v>
      </c>
      <c r="H7" t="s">
        <v>11</v>
      </c>
      <c r="I7" t="s">
        <v>12</v>
      </c>
      <c r="J7" t="s">
        <v>15</v>
      </c>
      <c r="K7" t="s">
        <v>16</v>
      </c>
      <c r="L7" t="s">
        <v>17</v>
      </c>
    </row>
    <row r="8" spans="2:12" x14ac:dyDescent="0.3">
      <c r="B8" t="s">
        <v>233</v>
      </c>
      <c r="C8" s="164" t="s">
        <v>193</v>
      </c>
      <c r="D8" s="185">
        <v>222408.36348782439</v>
      </c>
      <c r="E8" s="185">
        <v>288669.41646255122</v>
      </c>
      <c r="F8" s="185">
        <v>169893.75244082001</v>
      </c>
      <c r="G8" s="185">
        <v>254214.55851797509</v>
      </c>
      <c r="H8" s="185">
        <v>226980.94736958799</v>
      </c>
      <c r="I8" s="185">
        <v>252079.08210971011</v>
      </c>
      <c r="J8" s="185">
        <v>207722.82884056869</v>
      </c>
      <c r="K8" s="185">
        <v>252676.76757866339</v>
      </c>
      <c r="L8" s="185">
        <v>229702.2527081068</v>
      </c>
    </row>
    <row r="9" spans="2:12" x14ac:dyDescent="0.3">
      <c r="C9" s="164" t="s">
        <v>194</v>
      </c>
      <c r="D9" s="185">
        <v>224060</v>
      </c>
      <c r="E9" s="185">
        <v>290704</v>
      </c>
      <c r="F9" s="185">
        <v>166469</v>
      </c>
      <c r="G9" s="185">
        <v>250175</v>
      </c>
      <c r="H9" s="185">
        <v>227817</v>
      </c>
      <c r="I9" s="185">
        <v>249379</v>
      </c>
      <c r="J9" s="185">
        <v>208923</v>
      </c>
      <c r="K9" s="185">
        <v>251521</v>
      </c>
      <c r="L9" s="185">
        <v>227762</v>
      </c>
    </row>
    <row r="10" spans="2:12" x14ac:dyDescent="0.3">
      <c r="C10" s="164" t="s">
        <v>195</v>
      </c>
      <c r="D10" s="185">
        <v>229760.2050391048</v>
      </c>
      <c r="E10" s="185">
        <v>294686.30042326043</v>
      </c>
      <c r="F10" s="185">
        <v>170101.71363001299</v>
      </c>
      <c r="G10" s="185">
        <v>255178.5</v>
      </c>
      <c r="H10" s="185">
        <v>230654</v>
      </c>
      <c r="I10" s="185">
        <v>256057.22500537531</v>
      </c>
      <c r="J10" s="185">
        <v>214923.24614204169</v>
      </c>
      <c r="K10" s="185">
        <v>257717.3994652222</v>
      </c>
      <c r="L10" s="185">
        <v>235586.81450968509</v>
      </c>
    </row>
    <row r="11" spans="2:12" x14ac:dyDescent="0.3">
      <c r="C11" s="164" t="s">
        <v>196</v>
      </c>
      <c r="D11" s="185">
        <v>231824.103198336</v>
      </c>
      <c r="E11" s="185">
        <v>299003.19790890749</v>
      </c>
      <c r="F11" s="185">
        <v>171331.37824459199</v>
      </c>
      <c r="G11" s="185">
        <v>262834</v>
      </c>
      <c r="H11" s="185">
        <v>232671</v>
      </c>
      <c r="I11" s="185">
        <v>259971.7770430946</v>
      </c>
      <c r="J11" s="185">
        <v>214656</v>
      </c>
      <c r="K11" s="185">
        <v>263055.17312146898</v>
      </c>
      <c r="L11" s="185">
        <v>240115.281335354</v>
      </c>
    </row>
    <row r="12" spans="2:12" x14ac:dyDescent="0.3">
      <c r="C12" s="164" t="s">
        <v>3</v>
      </c>
      <c r="D12" s="185">
        <v>236146.7532297835</v>
      </c>
      <c r="E12" s="185">
        <v>303562.77174101147</v>
      </c>
      <c r="F12" s="185">
        <v>185143.76767959961</v>
      </c>
      <c r="G12" s="185">
        <v>270519.52216606628</v>
      </c>
      <c r="H12" s="185">
        <v>242760</v>
      </c>
      <c r="I12" s="185">
        <v>264259.30843595619</v>
      </c>
      <c r="J12" s="185">
        <v>223160.25658915259</v>
      </c>
      <c r="K12" s="185">
        <v>267496.63666675298</v>
      </c>
      <c r="L12" s="185">
        <v>243481.25289579309</v>
      </c>
    </row>
    <row r="13" spans="2:12" x14ac:dyDescent="0.3">
      <c r="C13" s="164" t="s">
        <v>197</v>
      </c>
      <c r="D13" s="185">
        <v>230983.15311796564</v>
      </c>
      <c r="E13" s="185">
        <v>307644.74547330698</v>
      </c>
      <c r="F13" s="185">
        <v>185631.433362765</v>
      </c>
      <c r="G13" s="185">
        <v>271639.90676165489</v>
      </c>
      <c r="H13" s="185">
        <v>250087.87851045234</v>
      </c>
      <c r="I13" s="185">
        <v>263638.9330597294</v>
      </c>
      <c r="J13" s="185">
        <v>221907.45513157058</v>
      </c>
      <c r="K13" s="185">
        <v>267714.09157880186</v>
      </c>
      <c r="L13" s="185">
        <v>238147.17446186498</v>
      </c>
    </row>
    <row r="14" spans="2:12" x14ac:dyDescent="0.3">
      <c r="C14" s="164" t="s">
        <v>198</v>
      </c>
      <c r="D14" s="185">
        <v>239462</v>
      </c>
      <c r="E14" s="185">
        <v>307365.87509837101</v>
      </c>
      <c r="F14" s="185">
        <v>189270</v>
      </c>
      <c r="G14" s="185">
        <v>279829.87249036401</v>
      </c>
      <c r="H14" s="185">
        <v>258704</v>
      </c>
      <c r="I14" s="185">
        <v>270586.86449560802</v>
      </c>
      <c r="J14" s="185">
        <v>231525.01908459191</v>
      </c>
      <c r="K14" s="185">
        <v>274500.01690092351</v>
      </c>
      <c r="L14" s="185">
        <v>251078.98626123049</v>
      </c>
    </row>
    <row r="15" spans="2:12" x14ac:dyDescent="0.3">
      <c r="C15" s="164" t="s">
        <v>199</v>
      </c>
      <c r="D15" s="185">
        <v>243817.904226457</v>
      </c>
      <c r="E15" s="185">
        <v>313986.35700671421</v>
      </c>
      <c r="F15" s="185">
        <v>190978.5946016557</v>
      </c>
      <c r="G15" s="185">
        <v>285267.26389235689</v>
      </c>
      <c r="H15" s="185">
        <v>262066.97207549991</v>
      </c>
      <c r="I15" s="185">
        <v>273464.63700159639</v>
      </c>
      <c r="J15" s="185">
        <v>236217.4435711597</v>
      </c>
      <c r="K15" s="185">
        <v>279971.03003293643</v>
      </c>
      <c r="L15" s="185">
        <v>255337.31070487079</v>
      </c>
    </row>
    <row r="16" spans="2:12" x14ac:dyDescent="0.3">
      <c r="C16" s="164" t="s">
        <v>200</v>
      </c>
      <c r="D16" s="185">
        <v>249485.8436743115</v>
      </c>
      <c r="E16" s="185">
        <v>318405.32816914219</v>
      </c>
      <c r="F16" s="185">
        <v>191949.76357757431</v>
      </c>
      <c r="G16" s="185">
        <v>288234.28745723149</v>
      </c>
      <c r="H16" s="185">
        <v>267543.33263386798</v>
      </c>
      <c r="I16" s="185">
        <v>278765.98798666633</v>
      </c>
      <c r="J16" s="185">
        <v>240456.28294197639</v>
      </c>
      <c r="K16" s="185">
        <v>284425.09842203389</v>
      </c>
      <c r="L16" s="185">
        <v>257160.38414682401</v>
      </c>
    </row>
    <row r="17" spans="2:12" x14ac:dyDescent="0.3">
      <c r="C17" s="164" t="s">
        <v>201</v>
      </c>
      <c r="D17" s="185">
        <v>253346.3276842862</v>
      </c>
      <c r="E17" s="185">
        <v>321496.05009821663</v>
      </c>
      <c r="F17" s="185">
        <v>199505.4179037796</v>
      </c>
      <c r="G17" s="185">
        <v>290471.21689291118</v>
      </c>
      <c r="H17" s="185">
        <v>271461.21226723271</v>
      </c>
      <c r="I17" s="185">
        <v>285228.90836500551</v>
      </c>
      <c r="J17" s="185">
        <v>244291.873544584</v>
      </c>
      <c r="K17" s="185">
        <v>287414.23817491438</v>
      </c>
      <c r="L17" s="185">
        <v>260881.01090544171</v>
      </c>
    </row>
    <row r="18" spans="2:12" x14ac:dyDescent="0.3">
      <c r="C18" s="164" t="s">
        <v>202</v>
      </c>
      <c r="D18" s="185">
        <v>256232</v>
      </c>
      <c r="E18" s="185">
        <v>326170</v>
      </c>
      <c r="F18" s="185">
        <v>204239.18979340579</v>
      </c>
      <c r="G18" s="185">
        <v>293787</v>
      </c>
      <c r="H18" s="185">
        <v>275176.24553046102</v>
      </c>
      <c r="I18" s="185">
        <v>289711.73171745968</v>
      </c>
      <c r="J18" s="185">
        <v>248434.6984776</v>
      </c>
      <c r="K18" s="185">
        <v>291686.34427841782</v>
      </c>
      <c r="L18" s="185">
        <v>265469.06839972612</v>
      </c>
    </row>
    <row r="19" spans="2:12" x14ac:dyDescent="0.3">
      <c r="C19" s="164" t="s">
        <v>203</v>
      </c>
      <c r="D19" s="185">
        <v>258976.40443368099</v>
      </c>
      <c r="E19" s="185">
        <v>330302.86080593202</v>
      </c>
      <c r="F19" s="185">
        <v>207782.7273838</v>
      </c>
      <c r="G19" s="185">
        <v>298124.974818199</v>
      </c>
      <c r="H19" s="185">
        <v>279581.36686801759</v>
      </c>
      <c r="I19" s="185">
        <v>292388.12739667401</v>
      </c>
      <c r="J19" s="185">
        <v>250776.498061486</v>
      </c>
      <c r="K19" s="185">
        <v>295671.37932612142</v>
      </c>
      <c r="L19" s="185">
        <v>271211.70766656921</v>
      </c>
    </row>
    <row r="20" spans="2:12" x14ac:dyDescent="0.3">
      <c r="B20" t="s">
        <v>191</v>
      </c>
      <c r="C20" s="164" t="s">
        <v>193</v>
      </c>
      <c r="D20" s="185">
        <v>267946.63172765332</v>
      </c>
      <c r="E20" s="185">
        <v>340527.33672739542</v>
      </c>
      <c r="F20" s="185">
        <v>209952.13364457179</v>
      </c>
      <c r="G20" s="185">
        <v>301307.60404216993</v>
      </c>
      <c r="H20" s="185">
        <v>283948.77177602582</v>
      </c>
      <c r="I20" s="185">
        <v>301531.94290582743</v>
      </c>
      <c r="J20" s="185">
        <v>257687.7018565388</v>
      </c>
      <c r="K20" s="185">
        <v>301752.70797902631</v>
      </c>
      <c r="L20" s="185">
        <v>276059.69586917787</v>
      </c>
    </row>
    <row r="21" spans="2:12" x14ac:dyDescent="0.3">
      <c r="C21" s="164" t="s">
        <v>194</v>
      </c>
      <c r="D21" s="185">
        <v>270974.11240620178</v>
      </c>
      <c r="E21" s="185">
        <v>346948.1862733243</v>
      </c>
      <c r="F21" s="185">
        <v>212581.93896508319</v>
      </c>
      <c r="G21" s="185">
        <v>306540.32746884797</v>
      </c>
      <c r="H21" s="185">
        <v>287890.35994628642</v>
      </c>
      <c r="I21" s="185">
        <v>306505.3299040483</v>
      </c>
      <c r="J21" s="185">
        <v>262051.61598266201</v>
      </c>
      <c r="K21" s="185">
        <v>307307.36865101598</v>
      </c>
      <c r="L21" s="185">
        <v>279253.82993361098</v>
      </c>
    </row>
    <row r="22" spans="2:12" x14ac:dyDescent="0.3">
      <c r="C22" s="164" t="s">
        <v>195</v>
      </c>
      <c r="D22" s="185">
        <v>278463.86159667029</v>
      </c>
      <c r="E22" s="185">
        <v>363085.50828029233</v>
      </c>
      <c r="F22" s="185">
        <v>221724.66943999371</v>
      </c>
      <c r="G22" s="185">
        <v>320968.52090053831</v>
      </c>
      <c r="H22" s="185">
        <v>296364.80183482671</v>
      </c>
      <c r="I22" s="185">
        <v>317477.79596749821</v>
      </c>
      <c r="J22" s="185">
        <v>270818.45032309112</v>
      </c>
      <c r="K22" s="185">
        <v>320210.02967514237</v>
      </c>
      <c r="L22" s="185">
        <v>289946.48951570521</v>
      </c>
    </row>
    <row r="23" spans="2:12" x14ac:dyDescent="0.3">
      <c r="C23" s="164" t="s">
        <v>196</v>
      </c>
      <c r="D23" s="185">
        <v>280226.01933808258</v>
      </c>
      <c r="E23" s="185">
        <v>367420.52702621918</v>
      </c>
      <c r="F23" s="185">
        <v>224159.74462695079</v>
      </c>
      <c r="G23" s="185">
        <v>327258.34607007517</v>
      </c>
      <c r="H23" s="185">
        <v>297827.46372484748</v>
      </c>
      <c r="I23" s="185">
        <v>317865.33061718981</v>
      </c>
      <c r="J23" s="185">
        <v>273327.71999100369</v>
      </c>
      <c r="K23" s="185">
        <v>324283.56090027408</v>
      </c>
      <c r="L23" s="185">
        <v>293908.62513073621</v>
      </c>
    </row>
    <row r="24" spans="2:12" x14ac:dyDescent="0.3">
      <c r="C24" s="164" t="s">
        <v>3</v>
      </c>
      <c r="D24" s="185">
        <v>275858.12621868192</v>
      </c>
      <c r="E24" s="185">
        <v>359294.42630135908</v>
      </c>
      <c r="F24" s="185">
        <v>224950.51592621111</v>
      </c>
      <c r="G24" s="185">
        <v>321220.19261946628</v>
      </c>
      <c r="H24" s="185">
        <v>293393.42577519623</v>
      </c>
      <c r="I24" s="185">
        <v>314491.06933455681</v>
      </c>
      <c r="J24" s="185">
        <v>270054.66578569799</v>
      </c>
      <c r="K24" s="185">
        <v>318190.26654221967</v>
      </c>
      <c r="L24" s="185">
        <v>290264.32717697421</v>
      </c>
    </row>
    <row r="25" spans="2:12" x14ac:dyDescent="0.3">
      <c r="C25" s="164" t="s">
        <v>197</v>
      </c>
      <c r="D25" s="185">
        <v>272522.22327429499</v>
      </c>
      <c r="E25" s="185">
        <v>348500.65509742312</v>
      </c>
      <c r="F25" s="185">
        <v>223068.0169433133</v>
      </c>
      <c r="G25" s="185">
        <v>314573.90563794709</v>
      </c>
      <c r="H25" s="185">
        <v>294060.66383427603</v>
      </c>
      <c r="I25" s="185">
        <v>306747.44519740611</v>
      </c>
      <c r="J25" s="185">
        <v>265723.44464542938</v>
      </c>
      <c r="K25" s="185">
        <v>312344.65072477132</v>
      </c>
      <c r="L25" s="185">
        <v>285898.24451545969</v>
      </c>
    </row>
    <row r="26" spans="2:12" x14ac:dyDescent="0.3">
      <c r="C26" s="164" t="s">
        <v>198</v>
      </c>
      <c r="D26" s="185">
        <v>269980.5322232318</v>
      </c>
      <c r="E26" s="185">
        <v>343912.83252685261</v>
      </c>
      <c r="F26" s="185">
        <v>218829.20562310121</v>
      </c>
      <c r="G26" s="185">
        <v>308423.61822482687</v>
      </c>
      <c r="H26" s="185">
        <v>288945.80174840608</v>
      </c>
      <c r="I26" s="185">
        <v>302028.76333584398</v>
      </c>
      <c r="J26" s="185">
        <v>263884.01689317689</v>
      </c>
      <c r="K26" s="185">
        <v>309244.1348849741</v>
      </c>
      <c r="L26" s="185">
        <v>283666.13279055618</v>
      </c>
    </row>
    <row r="27" spans="2:12" x14ac:dyDescent="0.3">
      <c r="C27" s="164" t="s">
        <v>199</v>
      </c>
      <c r="D27" s="185">
        <v>268038.24546257441</v>
      </c>
      <c r="E27" s="185">
        <v>340004.22844694433</v>
      </c>
      <c r="F27" s="185">
        <v>217394.79671944631</v>
      </c>
      <c r="G27" s="185">
        <v>308092.55807605002</v>
      </c>
      <c r="H27" s="185">
        <v>286930.18072477228</v>
      </c>
      <c r="I27" s="185">
        <v>301502.58819331578</v>
      </c>
      <c r="J27" s="185">
        <v>263479.18276773021</v>
      </c>
      <c r="K27" s="185">
        <v>308834.37533444568</v>
      </c>
      <c r="L27" s="185">
        <v>282502.1327105618</v>
      </c>
    </row>
    <row r="28" spans="2:12" x14ac:dyDescent="0.3">
      <c r="C28" s="164" t="s">
        <v>200</v>
      </c>
      <c r="D28" s="185">
        <v>266117.43562820752</v>
      </c>
      <c r="E28" s="185">
        <v>336424.29970319528</v>
      </c>
      <c r="F28" s="185">
        <v>219142.34026592321</v>
      </c>
      <c r="G28" s="185">
        <v>307037.0851852576</v>
      </c>
      <c r="H28" s="185">
        <v>285504.26702068438</v>
      </c>
      <c r="I28" s="185">
        <v>299742.17782187578</v>
      </c>
      <c r="J28" s="185">
        <v>262155.09597327432</v>
      </c>
      <c r="K28" s="185">
        <v>306233.1175945258</v>
      </c>
      <c r="L28" s="185">
        <v>283201.69586318691</v>
      </c>
    </row>
    <row r="29" spans="2:12" x14ac:dyDescent="0.3">
      <c r="C29" s="164" t="s">
        <v>201</v>
      </c>
      <c r="D29" s="185">
        <v>261889.18829567861</v>
      </c>
      <c r="E29" s="185">
        <v>330306.84382925881</v>
      </c>
      <c r="F29" s="185">
        <v>218235.13738975261</v>
      </c>
      <c r="G29" s="185">
        <v>301857.90412314358</v>
      </c>
      <c r="H29" s="185">
        <v>281794.19893284788</v>
      </c>
      <c r="I29" s="185">
        <v>295218.10880760069</v>
      </c>
      <c r="J29" s="185">
        <v>259166.2479942012</v>
      </c>
      <c r="K29" s="185">
        <v>301531.71527971758</v>
      </c>
      <c r="L29" s="185">
        <v>278112.6184314813</v>
      </c>
    </row>
    <row r="30" spans="2:12" x14ac:dyDescent="0.3">
      <c r="C30" s="164" t="s">
        <v>202</v>
      </c>
      <c r="D30" s="185">
        <v>258588.9765727123</v>
      </c>
      <c r="E30" s="185">
        <v>326518.66673538182</v>
      </c>
      <c r="F30" s="185">
        <v>213383.53864553969</v>
      </c>
      <c r="G30" s="185">
        <v>298853.75503415312</v>
      </c>
      <c r="H30" s="185">
        <v>278597.23265815148</v>
      </c>
      <c r="I30" s="185">
        <v>290013.10981768259</v>
      </c>
      <c r="J30" s="185">
        <v>255999.51713306949</v>
      </c>
      <c r="K30" s="185">
        <v>299035.41672953381</v>
      </c>
      <c r="L30" s="185">
        <v>274615.69143664488</v>
      </c>
    </row>
    <row r="31" spans="2:12" x14ac:dyDescent="0.3">
      <c r="C31" s="164" t="s">
        <v>203</v>
      </c>
      <c r="D31" s="185">
        <v>258297.76694470219</v>
      </c>
      <c r="E31" s="185">
        <v>324768.07093273278</v>
      </c>
      <c r="F31" s="185">
        <v>213351.93392868809</v>
      </c>
      <c r="G31" s="185">
        <v>296416.32505120052</v>
      </c>
      <c r="H31" s="185">
        <v>275840.2238329539</v>
      </c>
      <c r="I31" s="185">
        <v>289305.56698198023</v>
      </c>
      <c r="J31" s="185">
        <v>253290.11788260931</v>
      </c>
      <c r="K31" s="185">
        <v>296629.6945765338</v>
      </c>
      <c r="L31" s="185">
        <v>272147.78095598659</v>
      </c>
    </row>
    <row r="32" spans="2:12" x14ac:dyDescent="0.3">
      <c r="B32" t="s">
        <v>192</v>
      </c>
      <c r="C32" s="164" t="s">
        <v>193</v>
      </c>
      <c r="D32" s="185">
        <v>259332.9226559925</v>
      </c>
      <c r="E32" s="185">
        <v>326279.82855966821</v>
      </c>
      <c r="F32" s="185">
        <v>214267.87892695851</v>
      </c>
      <c r="G32" s="185">
        <v>296895.23621274339</v>
      </c>
      <c r="H32" s="185">
        <v>275615.10457874852</v>
      </c>
      <c r="I32" s="185">
        <v>290651.04610973608</v>
      </c>
      <c r="J32" s="185">
        <v>252980.29083724669</v>
      </c>
      <c r="K32" s="185">
        <v>295773.71667826647</v>
      </c>
      <c r="L32" s="185">
        <v>271771.28308731172</v>
      </c>
    </row>
    <row r="33" spans="2:32" x14ac:dyDescent="0.3">
      <c r="C33" s="164" t="s">
        <v>194</v>
      </c>
      <c r="D33" s="185">
        <v>259473.58519021151</v>
      </c>
      <c r="E33" s="185">
        <v>322496.14762979379</v>
      </c>
      <c r="F33" s="185">
        <v>215088.57304761501</v>
      </c>
      <c r="G33" s="185">
        <v>297406.94574075512</v>
      </c>
      <c r="H33" s="185">
        <v>276820.27551149769</v>
      </c>
      <c r="I33" s="185">
        <v>289313.35217759508</v>
      </c>
      <c r="J33" s="185">
        <v>252497.7358589184</v>
      </c>
      <c r="K33" s="185">
        <v>294978.52411132469</v>
      </c>
      <c r="L33" s="185">
        <v>271944.71502837329</v>
      </c>
    </row>
    <row r="34" spans="2:32" x14ac:dyDescent="0.3">
      <c r="C34" s="164" t="s">
        <v>195</v>
      </c>
      <c r="D34" s="185">
        <v>259217.51369044819</v>
      </c>
      <c r="E34" s="185">
        <v>325831.62776930293</v>
      </c>
      <c r="F34" s="185">
        <v>216997.25024225019</v>
      </c>
      <c r="G34" s="185">
        <v>298460.60393010598</v>
      </c>
      <c r="H34" s="185">
        <v>277437.93456249143</v>
      </c>
      <c r="I34" s="185">
        <v>291927.00474655448</v>
      </c>
      <c r="J34" s="185">
        <v>251723.6431670411</v>
      </c>
      <c r="K34" s="185">
        <v>293915.58188242093</v>
      </c>
      <c r="L34" s="185">
        <v>271339.62750437472</v>
      </c>
    </row>
    <row r="35" spans="2:32" x14ac:dyDescent="0.3">
      <c r="C35" s="164" t="s">
        <v>196</v>
      </c>
      <c r="D35" s="185">
        <v>260149.9673409111</v>
      </c>
      <c r="E35" s="185">
        <v>326518.58120994607</v>
      </c>
      <c r="F35" s="185">
        <v>216056.46931929531</v>
      </c>
      <c r="G35" s="185">
        <v>299938.94214565807</v>
      </c>
      <c r="H35" s="185">
        <v>277858.91699838708</v>
      </c>
      <c r="I35" s="185">
        <v>294542.43336894322</v>
      </c>
      <c r="J35" s="185">
        <v>253205.29192346189</v>
      </c>
      <c r="K35" s="185">
        <v>295572.76397545612</v>
      </c>
      <c r="L35" s="185">
        <v>271537.54008447792</v>
      </c>
    </row>
    <row r="36" spans="2:32" x14ac:dyDescent="0.3">
      <c r="C36" s="164" t="s">
        <v>3</v>
      </c>
      <c r="D36" s="185">
        <v>262704.28325107589</v>
      </c>
      <c r="E36" s="185">
        <v>327429.4116643655</v>
      </c>
      <c r="F36" s="185">
        <v>213370.62512897881</v>
      </c>
      <c r="G36" s="185">
        <v>300379.37446483312</v>
      </c>
      <c r="H36" s="185">
        <v>279150.40118053567</v>
      </c>
      <c r="I36" s="185">
        <v>297107.98577907193</v>
      </c>
      <c r="J36" s="185">
        <v>255249.24178488849</v>
      </c>
      <c r="K36" s="185">
        <v>296021.71554492629</v>
      </c>
      <c r="L36" s="185">
        <v>271854.90477099549</v>
      </c>
    </row>
    <row r="37" spans="2:32" x14ac:dyDescent="0.3">
      <c r="C37" s="164" t="s">
        <v>197</v>
      </c>
      <c r="D37" s="185">
        <v>265501.56664034212</v>
      </c>
      <c r="E37" s="185">
        <v>328390.28514200193</v>
      </c>
      <c r="F37" s="185">
        <v>214974.22752841661</v>
      </c>
      <c r="G37" s="185">
        <v>303225.98987913458</v>
      </c>
      <c r="H37" s="185">
        <v>279539.77466396021</v>
      </c>
      <c r="I37" s="185">
        <v>301766.00375931652</v>
      </c>
      <c r="J37" s="185">
        <v>256861.97509712071</v>
      </c>
      <c r="K37" s="185">
        <v>301770.70533518039</v>
      </c>
      <c r="L37" s="185">
        <v>273530.18825430929</v>
      </c>
    </row>
    <row r="38" spans="2:32" x14ac:dyDescent="0.3">
      <c r="C38" s="164" t="s">
        <v>198</v>
      </c>
      <c r="D38" s="185">
        <v>266289.44816882262</v>
      </c>
      <c r="E38" s="185">
        <v>333528.81317852531</v>
      </c>
      <c r="F38" s="185">
        <v>218059.79304317909</v>
      </c>
      <c r="G38" s="185">
        <v>307368.10369987052</v>
      </c>
      <c r="H38" s="185">
        <v>284347.03525877051</v>
      </c>
      <c r="I38" s="185">
        <v>307084.6799054633</v>
      </c>
      <c r="J38" s="185">
        <v>259040.205839884</v>
      </c>
      <c r="K38" s="185">
        <v>300685.82013446209</v>
      </c>
      <c r="L38" s="185">
        <v>279327.91056812921</v>
      </c>
    </row>
    <row r="39" spans="2:32" x14ac:dyDescent="0.3">
      <c r="C39" s="164" t="s">
        <v>199</v>
      </c>
      <c r="D39" s="185">
        <v>271753.43139286892</v>
      </c>
      <c r="E39" s="185">
        <v>340731.0975671148</v>
      </c>
      <c r="F39" s="185">
        <v>220945.6460367316</v>
      </c>
      <c r="G39" s="185">
        <v>314128.71891417587</v>
      </c>
      <c r="H39" s="185">
        <v>291580.60943401378</v>
      </c>
      <c r="I39" s="185">
        <v>315410.97976804298</v>
      </c>
      <c r="J39" s="185">
        <v>265768.53769819078</v>
      </c>
      <c r="K39" s="185">
        <v>307525.38589723379</v>
      </c>
      <c r="L39" s="185">
        <v>286060.81074433221</v>
      </c>
    </row>
    <row r="40" spans="2:32" x14ac:dyDescent="0.3">
      <c r="C40" s="164" t="s">
        <v>200</v>
      </c>
      <c r="D40" s="185">
        <v>277235.93367614498</v>
      </c>
      <c r="E40" s="185">
        <v>349255.28392081911</v>
      </c>
      <c r="F40" s="185">
        <v>224057.94029980301</v>
      </c>
      <c r="G40" s="185">
        <v>321168.53584189608</v>
      </c>
      <c r="H40" s="185">
        <v>294447.35008345579</v>
      </c>
      <c r="I40" s="185">
        <v>319495.38175727188</v>
      </c>
      <c r="J40" s="185">
        <v>271223.36272102938</v>
      </c>
      <c r="K40" s="185">
        <v>311274.0379918635</v>
      </c>
      <c r="L40" s="185">
        <v>290822.91353305808</v>
      </c>
    </row>
    <row r="41" spans="2:32" x14ac:dyDescent="0.3">
      <c r="C41" s="164" t="s">
        <v>201</v>
      </c>
      <c r="D41" s="185">
        <v>282293.97338899889</v>
      </c>
      <c r="E41" s="185">
        <v>352808.01997684769</v>
      </c>
      <c r="F41" s="185">
        <v>224930.65665679009</v>
      </c>
      <c r="G41" s="185">
        <v>323237.1142766329</v>
      </c>
      <c r="H41" s="185">
        <v>297704.71835918742</v>
      </c>
      <c r="I41" s="185">
        <v>322172.24541405181</v>
      </c>
      <c r="J41" s="185">
        <v>274114.74802020751</v>
      </c>
      <c r="K41" s="185">
        <v>316408.24935934541</v>
      </c>
      <c r="L41" s="185">
        <v>298066.19404510548</v>
      </c>
    </row>
    <row r="42" spans="2:32" x14ac:dyDescent="0.3">
      <c r="C42" s="164" t="s">
        <v>202</v>
      </c>
      <c r="D42" s="185">
        <v>283897.2503487455</v>
      </c>
      <c r="E42" s="185">
        <v>358307.04182195792</v>
      </c>
      <c r="F42" s="185">
        <v>225511.9671450966</v>
      </c>
      <c r="G42" s="185">
        <v>326254.4047485473</v>
      </c>
      <c r="H42" s="185">
        <v>299211.42835346819</v>
      </c>
      <c r="I42" s="185">
        <v>330385.81442517339</v>
      </c>
      <c r="J42" s="185">
        <v>277276.17125937139</v>
      </c>
      <c r="K42" s="185">
        <v>320151.12423298409</v>
      </c>
      <c r="L42" s="185">
        <v>303855.39928112749</v>
      </c>
    </row>
    <row r="43" spans="2:32" x14ac:dyDescent="0.3">
      <c r="C43" s="164" t="s">
        <v>203</v>
      </c>
      <c r="D43" s="185">
        <v>284566.58050260629</v>
      </c>
      <c r="E43" s="185">
        <v>361334.5781139374</v>
      </c>
      <c r="F43" s="185">
        <v>225208.20038814619</v>
      </c>
      <c r="G43" s="185">
        <v>328426.97070733021</v>
      </c>
      <c r="H43" s="185">
        <v>301104.78862383508</v>
      </c>
      <c r="I43" s="185">
        <v>331229.33674344502</v>
      </c>
      <c r="J43" s="185">
        <v>279706.17179711262</v>
      </c>
      <c r="K43" s="185">
        <v>322882.27017838153</v>
      </c>
      <c r="L43" s="185">
        <v>303967.25541657058</v>
      </c>
      <c r="X43" s="185">
        <v>283897.2503487455</v>
      </c>
      <c r="Y43" s="185">
        <v>358307.04182195792</v>
      </c>
      <c r="Z43" s="185">
        <v>225511.9671450966</v>
      </c>
      <c r="AA43" s="185">
        <v>326254.4047485473</v>
      </c>
      <c r="AB43" s="185">
        <v>299211.42835346819</v>
      </c>
      <c r="AC43" s="185">
        <v>330385.81442517339</v>
      </c>
      <c r="AD43" s="185">
        <v>277276.17125937139</v>
      </c>
      <c r="AE43" s="185">
        <v>320151.12423298409</v>
      </c>
      <c r="AF43" s="185">
        <v>303855.39928112749</v>
      </c>
    </row>
    <row r="44" spans="2:32" x14ac:dyDescent="0.3">
      <c r="B44" t="s">
        <v>242</v>
      </c>
      <c r="C44" s="164" t="s">
        <v>193</v>
      </c>
      <c r="D44" s="185">
        <v>289262.51425630139</v>
      </c>
      <c r="E44" s="185">
        <v>363757.26054850942</v>
      </c>
      <c r="F44" s="185">
        <v>227814.4215212173</v>
      </c>
      <c r="G44" s="185">
        <v>328810.32795796858</v>
      </c>
      <c r="H44" s="185">
        <v>303900.31270526722</v>
      </c>
      <c r="I44" s="185">
        <v>331327.5585186574</v>
      </c>
      <c r="J44" s="185">
        <v>281744.10480363289</v>
      </c>
      <c r="K44" s="185">
        <v>325473.74666206271</v>
      </c>
      <c r="L44" s="185">
        <v>303769.06009649101</v>
      </c>
      <c r="X44" s="185">
        <v>289091.93327233038</v>
      </c>
      <c r="Y44" s="185">
        <v>364445.73021905182</v>
      </c>
      <c r="Z44" s="185">
        <v>244208.32468270959</v>
      </c>
      <c r="AA44" s="185">
        <v>331672.086974354</v>
      </c>
      <c r="AB44" s="185">
        <v>305179.86040978582</v>
      </c>
      <c r="AC44" s="185">
        <v>327399.52271234401</v>
      </c>
      <c r="AD44" s="185">
        <v>279884.08645021811</v>
      </c>
      <c r="AE44" s="185">
        <v>326766.01225446421</v>
      </c>
      <c r="AF44" s="185">
        <v>301663.86230100982</v>
      </c>
    </row>
    <row r="45" spans="2:32" x14ac:dyDescent="0.3">
      <c r="C45" s="164" t="s">
        <v>194</v>
      </c>
      <c r="D45" s="185">
        <v>289294.03604298149</v>
      </c>
      <c r="E45" s="185">
        <v>365488.45612006949</v>
      </c>
      <c r="F45" s="185">
        <v>229921.2919516268</v>
      </c>
      <c r="G45" s="185">
        <v>330143.52980276878</v>
      </c>
      <c r="H45" s="185">
        <v>304797.91739474999</v>
      </c>
      <c r="I45" s="185">
        <v>332830.33556204388</v>
      </c>
      <c r="J45" s="185">
        <v>283273.20011927688</v>
      </c>
      <c r="K45" s="185">
        <v>326709.71713019809</v>
      </c>
      <c r="L45" s="185">
        <v>306396.68392163911</v>
      </c>
    </row>
    <row r="46" spans="2:32" x14ac:dyDescent="0.3">
      <c r="C46" s="164" t="s">
        <v>195</v>
      </c>
      <c r="D46" s="185">
        <v>288247.75322451221</v>
      </c>
      <c r="E46" s="185">
        <v>364124.99397040351</v>
      </c>
      <c r="F46" s="185">
        <v>229030.49457631609</v>
      </c>
      <c r="G46" s="185">
        <v>330494.80886684521</v>
      </c>
      <c r="H46" s="185">
        <v>305786.89972633158</v>
      </c>
      <c r="I46" s="185">
        <v>332550.31321326829</v>
      </c>
      <c r="J46" s="185">
        <v>283523.30342770729</v>
      </c>
      <c r="K46" s="185">
        <v>327963.09834628343</v>
      </c>
      <c r="L46" s="185">
        <v>304233.77453044592</v>
      </c>
      <c r="X46" s="13">
        <f>X44/X43-1</f>
        <v>1.8297757083605592E-2</v>
      </c>
      <c r="Y46" s="13">
        <f t="shared" ref="Y46:AF46" si="0">Y44/Y43-1</f>
        <v>1.7132480472276557E-2</v>
      </c>
      <c r="Z46" s="13">
        <f t="shared" si="0"/>
        <v>8.2906276657076727E-2</v>
      </c>
      <c r="AA46" s="13">
        <f t="shared" si="0"/>
        <v>1.6605698335267594E-2</v>
      </c>
      <c r="AB46" s="13">
        <f t="shared" si="0"/>
        <v>1.9947206191826661E-2</v>
      </c>
      <c r="AC46" s="13">
        <f t="shared" si="0"/>
        <v>-9.0388012512738758E-3</v>
      </c>
      <c r="AD46" s="13">
        <f t="shared" si="0"/>
        <v>9.4054789454200982E-3</v>
      </c>
      <c r="AE46" s="13">
        <f t="shared" si="0"/>
        <v>2.0661767274214649E-2</v>
      </c>
      <c r="AF46" s="13">
        <f t="shared" si="0"/>
        <v>-7.2124338922476827E-3</v>
      </c>
    </row>
    <row r="47" spans="2:32" x14ac:dyDescent="0.3">
      <c r="C47" s="164" t="s">
        <v>196</v>
      </c>
      <c r="D47" s="185">
        <v>288479.34075166669</v>
      </c>
      <c r="E47" s="185">
        <v>368219.18854266661</v>
      </c>
      <c r="F47" s="185">
        <v>227357.98053028231</v>
      </c>
      <c r="G47" s="185">
        <v>329507.20153990138</v>
      </c>
      <c r="H47" s="185">
        <v>303756.42641210521</v>
      </c>
      <c r="I47" s="185">
        <v>335124.97603968438</v>
      </c>
      <c r="J47" s="185">
        <v>283163.00037090998</v>
      </c>
      <c r="K47" s="185">
        <v>327066.62273190613</v>
      </c>
      <c r="L47" s="185">
        <v>302940.21188891242</v>
      </c>
    </row>
    <row r="48" spans="2:32" x14ac:dyDescent="0.3">
      <c r="C48" s="164" t="s">
        <v>3</v>
      </c>
      <c r="D48" s="185">
        <v>288968.10491984768</v>
      </c>
      <c r="E48" s="185">
        <v>368799.48439855588</v>
      </c>
      <c r="F48" s="185">
        <v>226554.22661148949</v>
      </c>
      <c r="G48" s="185">
        <v>329242.58834747411</v>
      </c>
      <c r="H48" s="185">
        <v>302621.59237596218</v>
      </c>
      <c r="I48" s="185">
        <v>333732.1697959337</v>
      </c>
      <c r="J48" s="185">
        <v>283544.86647466029</v>
      </c>
      <c r="K48" s="185">
        <v>324951.84754883748</v>
      </c>
      <c r="L48" s="185">
        <v>301699.60501795658</v>
      </c>
    </row>
    <row r="49" spans="2:12" x14ac:dyDescent="0.3">
      <c r="C49" s="164" t="s">
        <v>197</v>
      </c>
      <c r="D49" s="185">
        <v>287676.32622962177</v>
      </c>
      <c r="E49" s="185">
        <v>365693.23202531482</v>
      </c>
      <c r="F49" s="185">
        <v>237888.0335267788</v>
      </c>
      <c r="G49" s="185">
        <v>330942.83815609728</v>
      </c>
      <c r="H49" s="185">
        <v>303820.5387852781</v>
      </c>
      <c r="I49" s="185">
        <v>333764.65117828222</v>
      </c>
      <c r="J49" s="185">
        <v>284380.36858578888</v>
      </c>
      <c r="K49" s="185">
        <v>324925.25636285031</v>
      </c>
      <c r="L49" s="185">
        <v>304341.83995830722</v>
      </c>
    </row>
    <row r="50" spans="2:12" x14ac:dyDescent="0.3">
      <c r="C50" s="164" t="s">
        <v>198</v>
      </c>
      <c r="D50" s="185">
        <v>286793.21137159038</v>
      </c>
      <c r="E50" s="185">
        <v>365502.5866583098</v>
      </c>
      <c r="F50" s="185">
        <v>247623.3037515528</v>
      </c>
      <c r="G50" s="185">
        <v>330336.17872488959</v>
      </c>
      <c r="H50" s="185">
        <v>305159.31251833541</v>
      </c>
      <c r="I50" s="185">
        <v>336614.32469798689</v>
      </c>
      <c r="J50" s="185">
        <v>282743.66138014442</v>
      </c>
      <c r="K50" s="185">
        <v>327895.29192146711</v>
      </c>
      <c r="L50" s="185">
        <v>304079.88072100829</v>
      </c>
    </row>
    <row r="51" spans="2:12" x14ac:dyDescent="0.3">
      <c r="C51" s="164" t="s">
        <v>199</v>
      </c>
      <c r="D51" s="185">
        <v>286025.57234542491</v>
      </c>
      <c r="E51" s="185">
        <v>365128.20366535801</v>
      </c>
      <c r="F51" s="185">
        <v>246027.25758545179</v>
      </c>
      <c r="G51" s="185">
        <v>331132.64062906388</v>
      </c>
      <c r="H51" s="185">
        <v>304370.83287192642</v>
      </c>
      <c r="I51" s="185">
        <v>332583.65265418711</v>
      </c>
      <c r="J51" s="185">
        <v>282380.45405822009</v>
      </c>
      <c r="K51" s="185">
        <v>326994.16273948271</v>
      </c>
      <c r="L51" s="185">
        <v>303447.717979501</v>
      </c>
    </row>
    <row r="52" spans="2:12" x14ac:dyDescent="0.3">
      <c r="C52" s="164" t="s">
        <v>200</v>
      </c>
      <c r="D52" s="185">
        <v>287409.28199236043</v>
      </c>
      <c r="E52" s="185">
        <v>363986.05242072273</v>
      </c>
      <c r="F52" s="185">
        <v>240619.63308372049</v>
      </c>
      <c r="G52" s="185">
        <v>330487.43833048351</v>
      </c>
      <c r="H52" s="185">
        <v>304404.80976587272</v>
      </c>
      <c r="I52" s="185">
        <v>333453.58297836472</v>
      </c>
      <c r="J52" s="185">
        <v>281875.81664987578</v>
      </c>
      <c r="K52" s="185">
        <v>327112.91615573713</v>
      </c>
      <c r="L52" s="185">
        <v>302361.06314639049</v>
      </c>
    </row>
    <row r="53" spans="2:12" x14ac:dyDescent="0.3">
      <c r="C53" s="164" t="s">
        <v>201</v>
      </c>
      <c r="D53" s="185">
        <v>288992.82439911942</v>
      </c>
      <c r="E53" s="185">
        <v>362538.29923184903</v>
      </c>
      <c r="F53" s="185">
        <v>241863.84205128581</v>
      </c>
      <c r="G53" s="185">
        <v>330183.04751504032</v>
      </c>
      <c r="H53" s="185">
        <v>306631.17917172652</v>
      </c>
      <c r="I53" s="185">
        <v>328142.68042187352</v>
      </c>
      <c r="J53" s="185">
        <v>280412.24142864317</v>
      </c>
      <c r="K53" s="185">
        <v>326178.79508298071</v>
      </c>
      <c r="L53" s="185">
        <v>301726.02739388688</v>
      </c>
    </row>
    <row r="54" spans="2:12" x14ac:dyDescent="0.3">
      <c r="C54" s="164" t="s">
        <v>202</v>
      </c>
      <c r="D54" s="185">
        <v>289091.93327233038</v>
      </c>
      <c r="E54" s="185">
        <v>364445.73021905182</v>
      </c>
      <c r="F54" s="185">
        <v>244208.32468270959</v>
      </c>
      <c r="G54" s="185">
        <v>331672.086974354</v>
      </c>
      <c r="H54" s="185">
        <v>305179.86040978582</v>
      </c>
      <c r="I54" s="185">
        <v>327399.52271234401</v>
      </c>
      <c r="J54" s="185">
        <v>279884.08645021811</v>
      </c>
      <c r="K54" s="185">
        <v>326766.01225446421</v>
      </c>
      <c r="L54" s="185">
        <v>301663.86230100982</v>
      </c>
    </row>
    <row r="55" spans="2:12" x14ac:dyDescent="0.3">
      <c r="C55" s="164" t="s">
        <v>203</v>
      </c>
      <c r="D55" s="185">
        <v>289980.25083942019</v>
      </c>
      <c r="E55" s="185">
        <v>369502.27569141809</v>
      </c>
      <c r="F55" s="185">
        <v>238674.71645041919</v>
      </c>
      <c r="G55" s="185">
        <v>336113.39543653611</v>
      </c>
      <c r="H55" s="185">
        <v>306243.98326348321</v>
      </c>
      <c r="I55" s="185">
        <v>328521.9967413015</v>
      </c>
      <c r="J55" s="185">
        <v>279876.37696030119</v>
      </c>
      <c r="K55" s="185">
        <v>327798.26951923181</v>
      </c>
      <c r="L55" s="185">
        <v>303084.11864721822</v>
      </c>
    </row>
    <row r="56" spans="2:12" x14ac:dyDescent="0.3">
      <c r="B56" t="s">
        <v>247</v>
      </c>
      <c r="C56" s="164" t="s">
        <v>193</v>
      </c>
      <c r="D56" s="185">
        <v>292003.78639468091</v>
      </c>
      <c r="E56" s="185">
        <v>368329.72741063911</v>
      </c>
      <c r="F56" s="185">
        <v>240406.9260083765</v>
      </c>
      <c r="G56" s="185">
        <v>338682.9193765801</v>
      </c>
      <c r="H56" s="185">
        <v>310326.18845235859</v>
      </c>
      <c r="I56" s="185">
        <v>334847.28011468862</v>
      </c>
      <c r="J56" s="185">
        <v>283657.11184294149</v>
      </c>
      <c r="K56" s="185">
        <v>332381.78182822512</v>
      </c>
      <c r="L56" s="185">
        <v>306610.88333045557</v>
      </c>
    </row>
    <row r="57" spans="2:12" x14ac:dyDescent="0.3">
      <c r="C57" s="164" t="s">
        <v>194</v>
      </c>
      <c r="D57" s="185">
        <v>295857.63627712522</v>
      </c>
      <c r="E57" s="185">
        <v>368955.45423507312</v>
      </c>
      <c r="F57" s="185">
        <v>239605.44126146811</v>
      </c>
      <c r="G57" s="185">
        <v>338935.99935681309</v>
      </c>
      <c r="H57" s="185">
        <v>313831.97483090812</v>
      </c>
      <c r="I57" s="185">
        <v>335102.60702170612</v>
      </c>
      <c r="J57" s="185">
        <v>286213.87438602129</v>
      </c>
      <c r="K57" s="185">
        <v>336469.0688223911</v>
      </c>
      <c r="L57" s="185">
        <v>308569.71740717988</v>
      </c>
    </row>
    <row r="58" spans="2:12" x14ac:dyDescent="0.3">
      <c r="C58" s="164" t="s">
        <v>195</v>
      </c>
      <c r="D58" s="185">
        <v>296711.33436988131</v>
      </c>
      <c r="E58" s="185">
        <v>371943.62034706899</v>
      </c>
      <c r="F58" s="185">
        <v>241066.2104217906</v>
      </c>
      <c r="G58" s="185">
        <v>341724.35932565929</v>
      </c>
      <c r="H58" s="185">
        <v>316327.06470858649</v>
      </c>
      <c r="I58" s="185">
        <v>336597.12595187902</v>
      </c>
      <c r="J58" s="185">
        <v>285943.1054842883</v>
      </c>
      <c r="K58" s="185">
        <v>335447.96066498052</v>
      </c>
      <c r="L58" s="185">
        <v>311004.03813215619</v>
      </c>
    </row>
    <row r="59" spans="2:12" x14ac:dyDescent="0.3">
      <c r="C59" s="164" t="s">
        <v>196</v>
      </c>
      <c r="D59" s="185">
        <v>297368.20961400057</v>
      </c>
      <c r="E59" s="185">
        <v>376505.26851884701</v>
      </c>
      <c r="F59" s="185">
        <v>240027.5228364263</v>
      </c>
      <c r="G59" s="185">
        <v>343250.62477042607</v>
      </c>
      <c r="H59" s="185">
        <v>314724.05188943259</v>
      </c>
      <c r="I59" s="185">
        <v>335750.1813191523</v>
      </c>
      <c r="J59" s="185">
        <v>286221.31953163189</v>
      </c>
      <c r="K59" s="185">
        <v>337436.08787011681</v>
      </c>
      <c r="L59" s="185">
        <v>312715.54204088531</v>
      </c>
    </row>
    <row r="60" spans="2:12" x14ac:dyDescent="0.3">
      <c r="C60" s="164" t="s">
        <v>3</v>
      </c>
      <c r="D60" s="185">
        <v>299179.8334931166</v>
      </c>
      <c r="E60" s="185">
        <v>379696.244495266</v>
      </c>
      <c r="F60" s="185">
        <v>240633.21552951471</v>
      </c>
      <c r="G60" s="185">
        <v>344838.07020641002</v>
      </c>
      <c r="H60" s="185">
        <v>315255.15594688873</v>
      </c>
      <c r="I60" s="185">
        <v>336790.17124595778</v>
      </c>
      <c r="J60" s="185">
        <v>288195.5116936898</v>
      </c>
      <c r="K60" s="185">
        <v>340908.6453013721</v>
      </c>
      <c r="L60" s="185">
        <v>314571.80840825947</v>
      </c>
    </row>
    <row r="61" spans="2:12" x14ac:dyDescent="0.3">
      <c r="C61" s="164" t="s">
        <v>197</v>
      </c>
      <c r="D61" s="185">
        <v>300411.15172712231</v>
      </c>
      <c r="E61" s="185">
        <v>386488.58184481232</v>
      </c>
      <c r="F61" s="185">
        <v>238893.6730041714</v>
      </c>
      <c r="G61" s="185">
        <v>344945.80126026628</v>
      </c>
      <c r="H61" s="185">
        <v>319672.09024320153</v>
      </c>
      <c r="I61" s="185">
        <v>336678.29908251087</v>
      </c>
      <c r="J61" s="185">
        <v>288286.60095405392</v>
      </c>
      <c r="K61" s="185">
        <v>344135.97311972751</v>
      </c>
      <c r="L61" s="185">
        <v>313996.77878630348</v>
      </c>
    </row>
    <row r="62" spans="2:12" x14ac:dyDescent="0.3">
      <c r="C62" s="164" t="s">
        <v>198</v>
      </c>
      <c r="D62" s="185">
        <v>301769.6113086734</v>
      </c>
      <c r="E62" s="185">
        <v>382760.96188964648</v>
      </c>
      <c r="F62" s="185">
        <v>237231.21085144891</v>
      </c>
      <c r="G62" s="185">
        <v>347418.75309579581</v>
      </c>
      <c r="H62" s="185">
        <v>321520.85726986901</v>
      </c>
      <c r="I62" s="185">
        <v>340593.1035257433</v>
      </c>
      <c r="J62" s="185">
        <v>289957.88657703123</v>
      </c>
      <c r="K62" s="185">
        <v>346148.28879103687</v>
      </c>
      <c r="L62" s="185">
        <v>317123.17237117741</v>
      </c>
    </row>
    <row r="63" spans="2:12" x14ac:dyDescent="0.3">
      <c r="C63" s="164" t="s">
        <v>199</v>
      </c>
      <c r="D63" s="185">
        <v>301401.5354857652</v>
      </c>
      <c r="E63" s="185">
        <v>390426.86223253259</v>
      </c>
      <c r="F63" s="185">
        <v>237173.07507765331</v>
      </c>
      <c r="G63" s="185">
        <v>348719.96547182067</v>
      </c>
      <c r="H63" s="185">
        <v>321601.43818400661</v>
      </c>
      <c r="I63" s="185">
        <v>341954.07260854339</v>
      </c>
      <c r="J63" s="185">
        <v>293796.85927651142</v>
      </c>
      <c r="K63" s="185">
        <v>347494.20654323848</v>
      </c>
      <c r="L63" s="185">
        <v>319461.35296923999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37CC-AFD4-4742-852F-EB67DDB93897}">
  <sheetPr codeName="Лист3"/>
  <dimension ref="A1:M64"/>
  <sheetViews>
    <sheetView topLeftCell="A28" zoomScale="55" zoomScaleNormal="55" workbookViewId="0">
      <selection activeCell="I64" sqref="I64"/>
    </sheetView>
  </sheetViews>
  <sheetFormatPr defaultRowHeight="14.4" x14ac:dyDescent="0.3"/>
  <cols>
    <col min="1" max="1" width="16.77734375" bestFit="1" customWidth="1"/>
    <col min="2" max="2" width="21" customWidth="1"/>
  </cols>
  <sheetData>
    <row r="1" spans="1:13" x14ac:dyDescent="0.3">
      <c r="A1" t="s">
        <v>245</v>
      </c>
      <c r="G1" t="s">
        <v>246</v>
      </c>
    </row>
    <row r="2" spans="1:13" x14ac:dyDescent="0.3">
      <c r="G2" s="172" t="s">
        <v>240</v>
      </c>
      <c r="H2" s="172" t="s">
        <v>241</v>
      </c>
    </row>
    <row r="3" spans="1:13" x14ac:dyDescent="0.3">
      <c r="A3" s="172" t="s">
        <v>239</v>
      </c>
      <c r="B3" t="s">
        <v>240</v>
      </c>
      <c r="G3" s="172" t="s">
        <v>239</v>
      </c>
      <c r="H3" t="s">
        <v>232</v>
      </c>
      <c r="I3" t="s">
        <v>233</v>
      </c>
      <c r="J3" t="s">
        <v>191</v>
      </c>
      <c r="K3" t="s">
        <v>192</v>
      </c>
      <c r="L3" t="s">
        <v>242</v>
      </c>
      <c r="M3" t="s">
        <v>247</v>
      </c>
    </row>
    <row r="4" spans="1:13" x14ac:dyDescent="0.3">
      <c r="A4" s="111" t="s">
        <v>233</v>
      </c>
      <c r="B4" s="183"/>
      <c r="G4" s="192" t="s">
        <v>193</v>
      </c>
      <c r="H4" s="183"/>
      <c r="I4" s="183">
        <v>33696</v>
      </c>
      <c r="J4" s="183">
        <v>34055</v>
      </c>
      <c r="K4" s="183">
        <v>46290</v>
      </c>
      <c r="L4" s="183">
        <v>34722</v>
      </c>
      <c r="M4" s="183">
        <v>35988</v>
      </c>
    </row>
    <row r="5" spans="1:13" x14ac:dyDescent="0.3">
      <c r="A5" s="193" t="s">
        <v>193</v>
      </c>
      <c r="B5" s="183">
        <v>33696</v>
      </c>
      <c r="G5" s="192" t="s">
        <v>194</v>
      </c>
      <c r="H5" s="183">
        <v>51138</v>
      </c>
      <c r="I5" s="183">
        <v>36928</v>
      </c>
      <c r="J5" s="183">
        <v>37351</v>
      </c>
      <c r="K5" s="183">
        <v>48705</v>
      </c>
      <c r="L5" s="183">
        <v>38847</v>
      </c>
      <c r="M5" s="183">
        <v>37022</v>
      </c>
    </row>
    <row r="6" spans="1:13" x14ac:dyDescent="0.3">
      <c r="A6" s="193" t="s">
        <v>194</v>
      </c>
      <c r="B6" s="183">
        <v>36928</v>
      </c>
      <c r="G6" s="192" t="s">
        <v>195</v>
      </c>
      <c r="H6" s="183">
        <v>49623</v>
      </c>
      <c r="I6" s="183">
        <v>40098.840000000004</v>
      </c>
      <c r="J6" s="183">
        <v>35749</v>
      </c>
      <c r="K6" s="183">
        <v>51354</v>
      </c>
      <c r="L6" s="183">
        <v>40695</v>
      </c>
      <c r="M6" s="183">
        <v>37437</v>
      </c>
    </row>
    <row r="7" spans="1:13" x14ac:dyDescent="0.3">
      <c r="A7" s="193" t="s">
        <v>195</v>
      </c>
      <c r="B7" s="183">
        <v>40098.840000000004</v>
      </c>
      <c r="G7" s="192" t="s">
        <v>196</v>
      </c>
      <c r="H7" s="183">
        <v>35935</v>
      </c>
      <c r="I7" s="183">
        <v>39674</v>
      </c>
      <c r="J7" s="183">
        <v>32227</v>
      </c>
      <c r="K7" s="183">
        <v>48817</v>
      </c>
      <c r="L7" s="183">
        <v>41463</v>
      </c>
      <c r="M7" s="183">
        <v>36697</v>
      </c>
    </row>
    <row r="8" spans="1:13" x14ac:dyDescent="0.3">
      <c r="A8" s="193" t="s">
        <v>196</v>
      </c>
      <c r="B8" s="183">
        <v>39674</v>
      </c>
      <c r="G8" s="192" t="s">
        <v>3</v>
      </c>
      <c r="H8" s="183">
        <v>40051</v>
      </c>
      <c r="I8" s="183">
        <v>39139</v>
      </c>
      <c r="J8" s="183">
        <v>35606</v>
      </c>
      <c r="K8" s="183">
        <v>47660</v>
      </c>
      <c r="L8" s="183">
        <v>41191</v>
      </c>
      <c r="M8" s="183">
        <v>36941</v>
      </c>
    </row>
    <row r="9" spans="1:13" x14ac:dyDescent="0.3">
      <c r="A9" s="193" t="s">
        <v>3</v>
      </c>
      <c r="B9" s="183">
        <v>39139</v>
      </c>
      <c r="G9" s="192" t="s">
        <v>197</v>
      </c>
      <c r="H9" s="183">
        <v>45138</v>
      </c>
      <c r="I9" s="183">
        <v>39250</v>
      </c>
      <c r="J9" s="183">
        <v>40367</v>
      </c>
      <c r="K9" s="183">
        <v>46252</v>
      </c>
      <c r="L9" s="183">
        <v>42751</v>
      </c>
      <c r="M9" s="183">
        <v>34708</v>
      </c>
    </row>
    <row r="10" spans="1:13" x14ac:dyDescent="0.3">
      <c r="A10" s="193" t="s">
        <v>197</v>
      </c>
      <c r="B10" s="183">
        <v>39250</v>
      </c>
      <c r="G10" s="192" t="s">
        <v>198</v>
      </c>
      <c r="H10" s="183">
        <v>44816</v>
      </c>
      <c r="I10" s="183">
        <v>38946</v>
      </c>
      <c r="J10" s="183">
        <v>43364</v>
      </c>
      <c r="K10" s="183">
        <v>43280</v>
      </c>
      <c r="L10" s="183">
        <v>43920</v>
      </c>
      <c r="M10" s="183">
        <v>35695</v>
      </c>
    </row>
    <row r="11" spans="1:13" x14ac:dyDescent="0.3">
      <c r="A11" s="193" t="s">
        <v>198</v>
      </c>
      <c r="B11" s="183">
        <v>38946</v>
      </c>
      <c r="G11" s="192" t="s">
        <v>199</v>
      </c>
      <c r="H11" s="183">
        <v>43874</v>
      </c>
      <c r="I11" s="183">
        <v>37677</v>
      </c>
      <c r="J11" s="183">
        <v>44486</v>
      </c>
      <c r="K11" s="183">
        <v>41050</v>
      </c>
      <c r="L11" s="183">
        <v>44771</v>
      </c>
      <c r="M11" s="183">
        <v>35274</v>
      </c>
    </row>
    <row r="12" spans="1:13" x14ac:dyDescent="0.3">
      <c r="A12" s="193" t="s">
        <v>199</v>
      </c>
      <c r="B12" s="183">
        <v>37677</v>
      </c>
      <c r="G12" s="192" t="s">
        <v>200</v>
      </c>
      <c r="H12" s="183">
        <v>42617</v>
      </c>
      <c r="I12" s="183">
        <v>39371.869999999995</v>
      </c>
      <c r="J12" s="183">
        <v>49091</v>
      </c>
      <c r="K12" s="183">
        <v>38632</v>
      </c>
      <c r="L12" s="183">
        <v>45297</v>
      </c>
      <c r="M12" s="183"/>
    </row>
    <row r="13" spans="1:13" x14ac:dyDescent="0.3">
      <c r="A13" s="193" t="s">
        <v>200</v>
      </c>
      <c r="B13" s="183">
        <v>39371.869999999995</v>
      </c>
      <c r="G13" s="192" t="s">
        <v>201</v>
      </c>
      <c r="H13" s="183">
        <v>40044</v>
      </c>
      <c r="I13" s="183">
        <v>40320</v>
      </c>
      <c r="J13" s="183">
        <v>50851</v>
      </c>
      <c r="K13" s="183">
        <v>37552</v>
      </c>
      <c r="L13" s="183">
        <v>46503.270000000004</v>
      </c>
      <c r="M13" s="183"/>
    </row>
    <row r="14" spans="1:13" x14ac:dyDescent="0.3">
      <c r="A14" s="193" t="s">
        <v>201</v>
      </c>
      <c r="B14" s="183">
        <v>40320</v>
      </c>
      <c r="G14" s="192" t="s">
        <v>202</v>
      </c>
      <c r="H14" s="183">
        <v>36531</v>
      </c>
      <c r="I14" s="183">
        <v>38654</v>
      </c>
      <c r="J14" s="183">
        <v>50186</v>
      </c>
      <c r="K14" s="183">
        <v>37865</v>
      </c>
      <c r="L14" s="183">
        <v>45781</v>
      </c>
      <c r="M14" s="183"/>
    </row>
    <row r="15" spans="1:13" x14ac:dyDescent="0.3">
      <c r="A15" s="193" t="s">
        <v>202</v>
      </c>
      <c r="B15" s="183">
        <v>38654</v>
      </c>
      <c r="G15" s="192" t="s">
        <v>203</v>
      </c>
      <c r="H15" s="183">
        <v>33045</v>
      </c>
      <c r="I15" s="183">
        <v>36939</v>
      </c>
      <c r="J15" s="183">
        <v>48354</v>
      </c>
      <c r="K15" s="183">
        <v>34799</v>
      </c>
      <c r="L15" s="183">
        <v>40105</v>
      </c>
      <c r="M15" s="183"/>
    </row>
    <row r="16" spans="1:13" x14ac:dyDescent="0.3">
      <c r="A16" s="193" t="s">
        <v>203</v>
      </c>
      <c r="B16" s="183">
        <v>36939</v>
      </c>
    </row>
    <row r="17" spans="1:2" x14ac:dyDescent="0.3">
      <c r="A17" s="111" t="s">
        <v>191</v>
      </c>
      <c r="B17" s="183"/>
    </row>
    <row r="18" spans="1:2" x14ac:dyDescent="0.3">
      <c r="A18" s="193" t="s">
        <v>193</v>
      </c>
      <c r="B18" s="183">
        <v>34055</v>
      </c>
    </row>
    <row r="19" spans="1:2" x14ac:dyDescent="0.3">
      <c r="A19" s="193" t="s">
        <v>194</v>
      </c>
      <c r="B19" s="183">
        <v>37351</v>
      </c>
    </row>
    <row r="20" spans="1:2" x14ac:dyDescent="0.3">
      <c r="A20" s="193" t="s">
        <v>195</v>
      </c>
      <c r="B20" s="183">
        <v>35749</v>
      </c>
    </row>
    <row r="21" spans="1:2" x14ac:dyDescent="0.3">
      <c r="A21" s="193" t="s">
        <v>196</v>
      </c>
      <c r="B21" s="183">
        <v>32227</v>
      </c>
    </row>
    <row r="22" spans="1:2" x14ac:dyDescent="0.3">
      <c r="A22" s="193" t="s">
        <v>3</v>
      </c>
      <c r="B22" s="183">
        <v>35606</v>
      </c>
    </row>
    <row r="23" spans="1:2" x14ac:dyDescent="0.3">
      <c r="A23" s="193" t="s">
        <v>197</v>
      </c>
      <c r="B23" s="183">
        <v>40367</v>
      </c>
    </row>
    <row r="24" spans="1:2" x14ac:dyDescent="0.3">
      <c r="A24" s="193" t="s">
        <v>198</v>
      </c>
      <c r="B24" s="183">
        <v>43364</v>
      </c>
    </row>
    <row r="25" spans="1:2" x14ac:dyDescent="0.3">
      <c r="A25" s="193" t="s">
        <v>199</v>
      </c>
      <c r="B25" s="183">
        <v>44486</v>
      </c>
    </row>
    <row r="26" spans="1:2" x14ac:dyDescent="0.3">
      <c r="A26" s="193" t="s">
        <v>200</v>
      </c>
      <c r="B26" s="183">
        <v>49091</v>
      </c>
    </row>
    <row r="27" spans="1:2" x14ac:dyDescent="0.3">
      <c r="A27" s="193" t="s">
        <v>201</v>
      </c>
      <c r="B27" s="183">
        <v>50851</v>
      </c>
    </row>
    <row r="28" spans="1:2" x14ac:dyDescent="0.3">
      <c r="A28" s="193" t="s">
        <v>202</v>
      </c>
      <c r="B28" s="183">
        <v>50186</v>
      </c>
    </row>
    <row r="29" spans="1:2" x14ac:dyDescent="0.3">
      <c r="A29" s="193" t="s">
        <v>203</v>
      </c>
      <c r="B29" s="183">
        <v>48354</v>
      </c>
    </row>
    <row r="30" spans="1:2" x14ac:dyDescent="0.3">
      <c r="A30" s="111" t="s">
        <v>192</v>
      </c>
      <c r="B30" s="183"/>
    </row>
    <row r="31" spans="1:2" x14ac:dyDescent="0.3">
      <c r="A31" s="193" t="s">
        <v>193</v>
      </c>
      <c r="B31" s="183">
        <v>46290</v>
      </c>
    </row>
    <row r="32" spans="1:2" x14ac:dyDescent="0.3">
      <c r="A32" s="193" t="s">
        <v>194</v>
      </c>
      <c r="B32" s="183">
        <v>48705</v>
      </c>
    </row>
    <row r="33" spans="1:13" x14ac:dyDescent="0.3">
      <c r="A33" s="193" t="s">
        <v>195</v>
      </c>
      <c r="B33" s="183">
        <v>51354</v>
      </c>
    </row>
    <row r="34" spans="1:13" x14ac:dyDescent="0.3">
      <c r="A34" s="193" t="s">
        <v>196</v>
      </c>
      <c r="B34" s="183">
        <v>48817</v>
      </c>
    </row>
    <row r="35" spans="1:13" x14ac:dyDescent="0.3">
      <c r="A35" s="193" t="s">
        <v>3</v>
      </c>
      <c r="B35" s="183">
        <v>47660</v>
      </c>
    </row>
    <row r="36" spans="1:13" x14ac:dyDescent="0.3">
      <c r="A36" s="193" t="s">
        <v>197</v>
      </c>
      <c r="B36" s="183">
        <v>46252</v>
      </c>
    </row>
    <row r="37" spans="1:13" x14ac:dyDescent="0.3">
      <c r="A37" s="193" t="s">
        <v>198</v>
      </c>
      <c r="B37" s="183">
        <v>43280</v>
      </c>
    </row>
    <row r="38" spans="1:13" x14ac:dyDescent="0.3">
      <c r="A38" s="193" t="s">
        <v>199</v>
      </c>
      <c r="B38" s="183">
        <v>41050</v>
      </c>
      <c r="G38" s="192" t="s">
        <v>3</v>
      </c>
      <c r="H38" s="183">
        <v>40051</v>
      </c>
      <c r="I38" s="183">
        <v>39139</v>
      </c>
      <c r="J38" s="183">
        <v>35606</v>
      </c>
      <c r="K38" s="183">
        <v>47660</v>
      </c>
      <c r="L38" s="183">
        <v>41191</v>
      </c>
      <c r="M38" s="183">
        <v>36941</v>
      </c>
    </row>
    <row r="39" spans="1:13" x14ac:dyDescent="0.3">
      <c r="A39" s="193" t="s">
        <v>200</v>
      </c>
      <c r="B39" s="183">
        <v>38632</v>
      </c>
      <c r="G39" s="192" t="s">
        <v>197</v>
      </c>
      <c r="H39" s="183">
        <v>45138</v>
      </c>
      <c r="I39" s="183">
        <v>39250</v>
      </c>
      <c r="J39" s="183">
        <v>40367</v>
      </c>
      <c r="K39" s="183">
        <v>46252</v>
      </c>
      <c r="L39" s="183">
        <v>42751</v>
      </c>
      <c r="M39" s="183">
        <v>34708</v>
      </c>
    </row>
    <row r="40" spans="1:13" x14ac:dyDescent="0.3">
      <c r="A40" s="193" t="s">
        <v>201</v>
      </c>
      <c r="B40" s="183">
        <v>37552</v>
      </c>
    </row>
    <row r="41" spans="1:13" x14ac:dyDescent="0.3">
      <c r="A41" s="193" t="s">
        <v>202</v>
      </c>
      <c r="B41" s="183">
        <v>37865</v>
      </c>
    </row>
    <row r="42" spans="1:13" x14ac:dyDescent="0.3">
      <c r="A42" s="193" t="s">
        <v>203</v>
      </c>
      <c r="B42" s="183">
        <v>34799</v>
      </c>
      <c r="H42">
        <f>H39/H38-1</f>
        <v>0.12701305835060306</v>
      </c>
      <c r="I42">
        <f t="shared" ref="I42:M42" si="0">I39/I38-1</f>
        <v>2.8360458877334516E-3</v>
      </c>
      <c r="J42">
        <f t="shared" si="0"/>
        <v>0.13371341908667089</v>
      </c>
      <c r="K42">
        <f t="shared" si="0"/>
        <v>-2.9542593369702108E-2</v>
      </c>
      <c r="L42">
        <f t="shared" si="0"/>
        <v>3.7872350756233075E-2</v>
      </c>
      <c r="M42">
        <f t="shared" si="0"/>
        <v>-6.0447740992393251E-2</v>
      </c>
    </row>
    <row r="43" spans="1:13" x14ac:dyDescent="0.3">
      <c r="A43" s="111" t="s">
        <v>242</v>
      </c>
      <c r="B43" s="183"/>
    </row>
    <row r="44" spans="1:13" x14ac:dyDescent="0.3">
      <c r="A44" s="193" t="s">
        <v>193</v>
      </c>
      <c r="B44" s="183">
        <v>34722</v>
      </c>
    </row>
    <row r="45" spans="1:13" x14ac:dyDescent="0.3">
      <c r="A45" s="193" t="s">
        <v>194</v>
      </c>
      <c r="B45" s="183">
        <v>38847</v>
      </c>
    </row>
    <row r="46" spans="1:13" x14ac:dyDescent="0.3">
      <c r="A46" s="193" t="s">
        <v>195</v>
      </c>
      <c r="B46" s="183">
        <v>40695</v>
      </c>
    </row>
    <row r="47" spans="1:13" x14ac:dyDescent="0.3">
      <c r="A47" s="193" t="s">
        <v>196</v>
      </c>
      <c r="B47" s="183">
        <v>41463</v>
      </c>
    </row>
    <row r="48" spans="1:13" x14ac:dyDescent="0.3">
      <c r="A48" s="193" t="s">
        <v>3</v>
      </c>
      <c r="B48" s="183">
        <v>41191</v>
      </c>
    </row>
    <row r="49" spans="1:8" x14ac:dyDescent="0.3">
      <c r="A49" s="193" t="s">
        <v>197</v>
      </c>
      <c r="B49" s="183">
        <v>42751</v>
      </c>
    </row>
    <row r="50" spans="1:8" x14ac:dyDescent="0.3">
      <c r="A50" s="193" t="s">
        <v>198</v>
      </c>
      <c r="B50" s="183">
        <v>43920</v>
      </c>
    </row>
    <row r="51" spans="1:8" x14ac:dyDescent="0.3">
      <c r="A51" s="193" t="s">
        <v>199</v>
      </c>
      <c r="B51" s="183">
        <v>44771</v>
      </c>
    </row>
    <row r="52" spans="1:8" x14ac:dyDescent="0.3">
      <c r="A52" s="193" t="s">
        <v>200</v>
      </c>
      <c r="B52" s="183">
        <v>45297</v>
      </c>
    </row>
    <row r="53" spans="1:8" x14ac:dyDescent="0.3">
      <c r="A53" s="193" t="s">
        <v>201</v>
      </c>
      <c r="B53" s="183">
        <v>46503.270000000004</v>
      </c>
      <c r="G53" s="183"/>
    </row>
    <row r="54" spans="1:8" x14ac:dyDescent="0.3">
      <c r="A54" s="193" t="s">
        <v>202</v>
      </c>
      <c r="B54" s="183">
        <v>45781</v>
      </c>
      <c r="G54" s="183"/>
      <c r="H54" s="13"/>
    </row>
    <row r="55" spans="1:8" x14ac:dyDescent="0.3">
      <c r="A55" s="193" t="s">
        <v>203</v>
      </c>
      <c r="B55" s="183">
        <v>40105</v>
      </c>
    </row>
    <row r="56" spans="1:8" x14ac:dyDescent="0.3">
      <c r="A56" s="111" t="s">
        <v>247</v>
      </c>
      <c r="B56" s="183"/>
    </row>
    <row r="57" spans="1:8" x14ac:dyDescent="0.3">
      <c r="A57" s="193" t="s">
        <v>193</v>
      </c>
      <c r="B57" s="183">
        <v>35988</v>
      </c>
    </row>
    <row r="58" spans="1:8" x14ac:dyDescent="0.3">
      <c r="A58" s="193" t="s">
        <v>194</v>
      </c>
      <c r="B58" s="183">
        <v>37022</v>
      </c>
    </row>
    <row r="59" spans="1:8" x14ac:dyDescent="0.3">
      <c r="A59" s="193" t="s">
        <v>195</v>
      </c>
      <c r="B59" s="183">
        <v>37437</v>
      </c>
    </row>
    <row r="60" spans="1:8" x14ac:dyDescent="0.3">
      <c r="A60" s="193" t="s">
        <v>196</v>
      </c>
      <c r="B60" s="183">
        <v>36697</v>
      </c>
    </row>
    <row r="61" spans="1:8" x14ac:dyDescent="0.3">
      <c r="A61" s="193" t="s">
        <v>3</v>
      </c>
      <c r="B61" s="183">
        <v>36941</v>
      </c>
      <c r="D61" s="13"/>
    </row>
    <row r="62" spans="1:8" x14ac:dyDescent="0.3">
      <c r="A62" s="193" t="s">
        <v>197</v>
      </c>
      <c r="B62" s="183">
        <v>34708</v>
      </c>
    </row>
    <row r="63" spans="1:8" x14ac:dyDescent="0.3">
      <c r="A63" s="193" t="s">
        <v>198</v>
      </c>
      <c r="B63" s="183">
        <v>35695</v>
      </c>
    </row>
    <row r="64" spans="1:8" x14ac:dyDescent="0.3">
      <c r="A64" s="193" t="s">
        <v>199</v>
      </c>
      <c r="B64" s="183">
        <v>35274</v>
      </c>
    </row>
  </sheetData>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B8FA-4D1A-4413-A2D3-EA3E567DFDD2}">
  <sheetPr codeName="Лист4"/>
  <dimension ref="A1:IF155"/>
  <sheetViews>
    <sheetView zoomScale="70" zoomScaleNormal="70" workbookViewId="0">
      <pane xSplit="1" ySplit="2" topLeftCell="HH3" activePane="bottomRight" state="frozen"/>
      <selection pane="topRight" activeCell="B1" sqref="B1"/>
      <selection pane="bottomLeft" activeCell="A5" sqref="A5"/>
      <selection pane="bottomRight" activeCell="IE143" sqref="IE143"/>
    </sheetView>
  </sheetViews>
  <sheetFormatPr defaultRowHeight="14.4" customHeight="1" outlineLevelCol="1" x14ac:dyDescent="0.3"/>
  <cols>
    <col min="1" max="1" width="24.44140625" customWidth="1"/>
    <col min="2" max="2" width="11.21875" hidden="1" customWidth="1"/>
    <col min="3" max="3" width="8.77734375" hidden="1" customWidth="1"/>
    <col min="4" max="4" width="11.21875" hidden="1" customWidth="1"/>
    <col min="5" max="5" width="8.77734375" hidden="1" customWidth="1"/>
    <col min="6" max="6" width="11.21875" hidden="1" customWidth="1"/>
    <col min="7" max="7" width="8.77734375" hidden="1" customWidth="1"/>
    <col min="8" max="8" width="11.21875" hidden="1" customWidth="1"/>
    <col min="9" max="9" width="8.77734375" hidden="1" customWidth="1"/>
    <col min="10" max="10" width="11.21875" hidden="1" customWidth="1"/>
    <col min="11" max="11" width="8.77734375" hidden="1" customWidth="1"/>
    <col min="12" max="12" width="11.21875" hidden="1" customWidth="1"/>
    <col min="13" max="13" width="8.77734375" hidden="1" customWidth="1"/>
    <col min="14" max="14" width="11.21875" hidden="1" customWidth="1"/>
    <col min="15" max="17" width="8.77734375" hidden="1" customWidth="1"/>
    <col min="18" max="18" width="12.77734375" hidden="1" customWidth="1"/>
    <col min="19" max="20" width="8.77734375" hidden="1" customWidth="1"/>
    <col min="21" max="22" width="12" hidden="1" customWidth="1"/>
    <col min="23" max="23" width="11.88671875" hidden="1" customWidth="1"/>
    <col min="24" max="24" width="11.5546875" hidden="1" customWidth="1"/>
    <col min="25" max="25" width="13.77734375" hidden="1" customWidth="1"/>
    <col min="26" max="26" width="13.33203125" hidden="1" customWidth="1"/>
    <col min="27" max="27" width="11.21875" hidden="1" customWidth="1"/>
    <col min="28" max="28" width="8.77734375" hidden="1" customWidth="1"/>
    <col min="29" max="29" width="11" hidden="1" customWidth="1"/>
    <col min="30" max="37" width="8.77734375" hidden="1" customWidth="1"/>
    <col min="38" max="38" width="11.5546875" hidden="1" customWidth="1"/>
    <col min="39" max="39" width="8.77734375" hidden="1" customWidth="1"/>
    <col min="40" max="40" width="15.109375" hidden="1" customWidth="1"/>
    <col min="41" max="46" width="8.77734375" hidden="1" customWidth="1"/>
    <col min="47" max="47" width="8.88671875" hidden="1" customWidth="1"/>
    <col min="48" max="48" width="8.77734375" hidden="1" customWidth="1"/>
    <col min="49" max="50" width="11.21875" hidden="1" customWidth="1"/>
    <col min="51" max="52" width="8.77734375" hidden="1" customWidth="1"/>
    <col min="53" max="53" width="12.77734375" hidden="1" customWidth="1"/>
    <col min="54" max="54" width="8.77734375" hidden="1" customWidth="1"/>
    <col min="55" max="55" width="11.6640625" hidden="1" customWidth="1"/>
    <col min="56" max="60" width="8.77734375" hidden="1" customWidth="1"/>
    <col min="61" max="61" width="3.88671875" hidden="1" customWidth="1"/>
    <col min="62" max="63" width="8.77734375" hidden="1" customWidth="1"/>
    <col min="64" max="64" width="3.88671875" hidden="1" customWidth="1"/>
    <col min="65" max="65" width="8.5546875" hidden="1" customWidth="1" outlineLevel="1"/>
    <col min="66" max="66" width="5.33203125" hidden="1" customWidth="1" outlineLevel="1"/>
    <col min="67" max="67" width="6.5546875" hidden="1" customWidth="1" outlineLevel="1"/>
    <col min="68" max="68" width="6.44140625" hidden="1" customWidth="1" outlineLevel="1"/>
    <col min="69" max="69" width="8.5546875" hidden="1" customWidth="1" outlineLevel="1"/>
    <col min="70" max="70" width="5.33203125" hidden="1" customWidth="1" outlineLevel="1"/>
    <col min="71" max="71" width="6.5546875" hidden="1" customWidth="1" outlineLevel="1"/>
    <col min="72" max="72" width="6.44140625" hidden="1" customWidth="1" outlineLevel="1"/>
    <col min="73" max="73" width="8.5546875" hidden="1" customWidth="1" outlineLevel="1"/>
    <col min="74" max="74" width="5.33203125" hidden="1" customWidth="1" outlineLevel="1"/>
    <col min="75" max="75" width="6.5546875" hidden="1" customWidth="1" outlineLevel="1"/>
    <col min="76" max="76" width="6.44140625" hidden="1" customWidth="1" outlineLevel="1"/>
    <col min="77" max="77" width="8.5546875" hidden="1" customWidth="1" outlineLevel="1"/>
    <col min="78" max="78" width="5.33203125" hidden="1" customWidth="1" outlineLevel="1"/>
    <col min="79" max="79" width="6.5546875" hidden="1" customWidth="1" outlineLevel="1"/>
    <col min="80" max="80" width="6.44140625" hidden="1" customWidth="1" outlineLevel="1"/>
    <col min="81" max="81" width="8.5546875" hidden="1" customWidth="1" outlineLevel="1"/>
    <col min="82" max="82" width="5.33203125" hidden="1" customWidth="1" outlineLevel="1"/>
    <col min="83" max="83" width="6.5546875" hidden="1" customWidth="1" outlineLevel="1"/>
    <col min="84" max="84" width="6.44140625" hidden="1" customWidth="1" outlineLevel="1"/>
    <col min="85" max="85" width="8.5546875" hidden="1" customWidth="1" outlineLevel="1"/>
    <col min="86" max="86" width="5.33203125" hidden="1" customWidth="1" outlineLevel="1"/>
    <col min="87" max="87" width="6.5546875" hidden="1" customWidth="1" outlineLevel="1"/>
    <col min="88" max="88" width="6.44140625" hidden="1" customWidth="1" outlineLevel="1"/>
    <col min="89" max="89" width="8.5546875" hidden="1" customWidth="1" outlineLevel="1"/>
    <col min="90" max="90" width="5.33203125" hidden="1" customWidth="1" outlineLevel="1"/>
    <col min="91" max="91" width="6.5546875" hidden="1" customWidth="1" outlineLevel="1"/>
    <col min="92" max="92" width="6.44140625" hidden="1" customWidth="1" outlineLevel="1"/>
    <col min="93" max="93" width="8.5546875" hidden="1" customWidth="1" outlineLevel="1"/>
    <col min="94" max="94" width="5.33203125" hidden="1" customWidth="1" outlineLevel="1"/>
    <col min="95" max="95" width="6.5546875" hidden="1" customWidth="1" outlineLevel="1"/>
    <col min="96" max="96" width="6.44140625" hidden="1" customWidth="1" outlineLevel="1"/>
    <col min="97" max="97" width="0" hidden="1" customWidth="1" outlineLevel="1"/>
    <col min="98" max="98" width="5.33203125" hidden="1" customWidth="1" outlineLevel="1"/>
    <col min="99" max="99" width="6.5546875" hidden="1" customWidth="1" outlineLevel="1"/>
    <col min="100" max="100" width="6.33203125" hidden="1" customWidth="1" outlineLevel="1"/>
    <col min="101" max="101" width="8.5546875" hidden="1" customWidth="1" outlineLevel="1"/>
    <col min="102" max="102" width="5.33203125" hidden="1" customWidth="1" outlineLevel="1"/>
    <col min="103" max="103" width="6.5546875" hidden="1" customWidth="1" outlineLevel="1"/>
    <col min="104" max="104" width="6.77734375" hidden="1" customWidth="1" outlineLevel="1"/>
    <col min="105" max="105" width="8.5546875" hidden="1" customWidth="1" outlineLevel="1"/>
    <col min="106" max="106" width="5.33203125" hidden="1" customWidth="1" outlineLevel="1"/>
    <col min="107" max="107" width="0" hidden="1" customWidth="1" outlineLevel="1"/>
    <col min="108" max="108" width="7" hidden="1" customWidth="1" outlineLevel="1"/>
    <col min="109" max="109" width="8.5546875" hidden="1" customWidth="1" outlineLevel="1"/>
    <col min="110" max="111" width="0" hidden="1" customWidth="1" outlineLevel="1"/>
    <col min="112" max="112" width="6.77734375" hidden="1" customWidth="1" outlineLevel="1"/>
    <col min="113" max="113" width="9.44140625" bestFit="1" customWidth="1" collapsed="1"/>
    <col min="114" max="114" width="5.6640625" bestFit="1" customWidth="1"/>
    <col min="115" max="115" width="7.21875" bestFit="1" customWidth="1"/>
    <col min="116" max="116" width="6.6640625" bestFit="1" customWidth="1"/>
    <col min="117" max="117" width="9.44140625" bestFit="1" customWidth="1"/>
    <col min="118" max="118" width="4.6640625" bestFit="1" customWidth="1"/>
    <col min="119" max="119" width="7.21875" bestFit="1" customWidth="1"/>
    <col min="120" max="120" width="6.88671875" bestFit="1" customWidth="1"/>
    <col min="121" max="121" width="9.44140625" bestFit="1" customWidth="1"/>
    <col min="122" max="122" width="5.33203125" bestFit="1" customWidth="1"/>
    <col min="123" max="124" width="6.88671875" bestFit="1" customWidth="1"/>
    <col min="125" max="125" width="9.44140625" bestFit="1" customWidth="1"/>
    <col min="126" max="126" width="5.6640625" bestFit="1" customWidth="1"/>
    <col min="127" max="128" width="6.88671875" bestFit="1" customWidth="1"/>
    <col min="129" max="129" width="9.44140625" bestFit="1" customWidth="1"/>
    <col min="130" max="130" width="4.5546875" bestFit="1" customWidth="1"/>
    <col min="131" max="131" width="7.21875" bestFit="1" customWidth="1"/>
    <col min="132" max="132" width="5.33203125" bestFit="1" customWidth="1"/>
    <col min="133" max="133" width="9.44140625" bestFit="1" customWidth="1"/>
    <col min="134" max="134" width="5.6640625" bestFit="1" customWidth="1"/>
    <col min="135" max="135" width="7.21875" bestFit="1" customWidth="1"/>
    <col min="136" max="136" width="6.88671875" bestFit="1" customWidth="1"/>
    <col min="137" max="137" width="9.44140625" bestFit="1" customWidth="1"/>
    <col min="138" max="138" width="5.6640625" bestFit="1" customWidth="1"/>
    <col min="139" max="139" width="7.21875" bestFit="1" customWidth="1"/>
    <col min="140" max="140" width="6.88671875" bestFit="1" customWidth="1"/>
    <col min="141" max="141" width="9.44140625" bestFit="1" customWidth="1"/>
    <col min="142" max="142" width="5.6640625" bestFit="1" customWidth="1"/>
    <col min="143" max="143" width="6.88671875" bestFit="1" customWidth="1"/>
    <col min="144" max="144" width="5.33203125" bestFit="1" customWidth="1"/>
    <col min="145" max="145" width="9.44140625" bestFit="1" customWidth="1"/>
    <col min="146" max="146" width="4.6640625" bestFit="1" customWidth="1"/>
    <col min="147" max="147" width="6.88671875" bestFit="1" customWidth="1"/>
    <col min="148" max="148" width="5.33203125" bestFit="1" customWidth="1"/>
    <col min="149" max="149" width="8.21875" bestFit="1" customWidth="1"/>
    <col min="150" max="150" width="5.33203125" bestFit="1" customWidth="1"/>
    <col min="151" max="151" width="6.88671875" bestFit="1" customWidth="1"/>
    <col min="152" max="152" width="5.33203125" bestFit="1" customWidth="1"/>
    <col min="153" max="153" width="8.21875" bestFit="1" customWidth="1"/>
    <col min="154" max="154" width="4.5546875" bestFit="1" customWidth="1"/>
    <col min="155" max="156" width="6.88671875" bestFit="1" customWidth="1"/>
    <col min="157" max="157" width="9.44140625" bestFit="1" customWidth="1"/>
    <col min="158" max="158" width="5.5546875" customWidth="1"/>
    <col min="159" max="159" width="8.21875" bestFit="1" customWidth="1"/>
    <col min="160" max="160" width="5.33203125" bestFit="1" customWidth="1"/>
    <col min="161" max="161" width="9.44140625" bestFit="1" customWidth="1"/>
    <col min="162" max="162" width="5.6640625" bestFit="1" customWidth="1"/>
    <col min="163" max="163" width="8.21875" bestFit="1" customWidth="1"/>
    <col min="164" max="164" width="5.33203125" bestFit="1" customWidth="1"/>
    <col min="165" max="165" width="9.44140625" bestFit="1" customWidth="1"/>
    <col min="166" max="166" width="5.6640625" bestFit="1" customWidth="1"/>
    <col min="167" max="167" width="8.21875" bestFit="1" customWidth="1"/>
    <col min="168" max="168" width="5.33203125" bestFit="1" customWidth="1"/>
    <col min="169" max="169" width="9.44140625" bestFit="1" customWidth="1"/>
    <col min="170" max="170" width="5.6640625" bestFit="1" customWidth="1"/>
    <col min="171" max="171" width="8.21875" bestFit="1" customWidth="1"/>
    <col min="172" max="172" width="5.33203125" bestFit="1" customWidth="1"/>
    <col min="173" max="173" width="9.44140625" bestFit="1" customWidth="1"/>
    <col min="174" max="174" width="5.33203125" bestFit="1" customWidth="1"/>
    <col min="175" max="175" width="8.21875" bestFit="1" customWidth="1"/>
    <col min="176" max="176" width="5.33203125" bestFit="1" customWidth="1"/>
    <col min="177" max="177" width="9.44140625" bestFit="1" customWidth="1"/>
    <col min="178" max="178" width="8.109375" customWidth="1"/>
    <col min="179" max="179" width="8.21875" bestFit="1" customWidth="1"/>
    <col min="180" max="180" width="7.44140625" customWidth="1"/>
    <col min="181" max="181" width="9.44140625" bestFit="1" customWidth="1"/>
    <col min="182" max="182" width="5.6640625" bestFit="1" customWidth="1"/>
    <col min="183" max="183" width="8.21875" bestFit="1" customWidth="1"/>
    <col min="184" max="184" width="7.33203125" customWidth="1"/>
    <col min="185" max="185" width="9.44140625" bestFit="1" customWidth="1"/>
    <col min="188" max="188" width="6.77734375" customWidth="1"/>
    <col min="189" max="189" width="9.44140625" customWidth="1"/>
    <col min="190" max="190" width="5.6640625" bestFit="1" customWidth="1"/>
    <col min="191" max="191" width="8.21875" bestFit="1" customWidth="1"/>
    <col min="192" max="192" width="6.88671875" bestFit="1" customWidth="1"/>
    <col min="193" max="193" width="9.44140625" bestFit="1" customWidth="1"/>
    <col min="196" max="196" width="7.6640625" customWidth="1"/>
    <col min="197" max="197" width="9.44140625" customWidth="1"/>
    <col min="198" max="198" width="5.6640625" bestFit="1" customWidth="1"/>
    <col min="199" max="199" width="10" bestFit="1" customWidth="1"/>
    <col min="200" max="200" width="6.88671875" bestFit="1" customWidth="1"/>
    <col min="201" max="201" width="12.21875" style="1" bestFit="1" customWidth="1"/>
    <col min="221" max="221" width="12.21875" bestFit="1" customWidth="1"/>
    <col min="225" max="225" width="12.21875" bestFit="1" customWidth="1"/>
    <col min="229" max="229" width="15.21875" customWidth="1"/>
    <col min="237" max="237" width="14" customWidth="1"/>
    <col min="239" max="239" width="13.33203125" bestFit="1" customWidth="1"/>
  </cols>
  <sheetData>
    <row r="1" spans="1:240" ht="28.95" customHeight="1" thickBot="1" x14ac:dyDescent="0.35">
      <c r="A1" s="163"/>
      <c r="B1" s="233"/>
      <c r="C1" s="227"/>
      <c r="D1" s="226"/>
      <c r="E1" s="227"/>
      <c r="F1" s="226"/>
      <c r="G1" s="227"/>
      <c r="H1" s="226"/>
      <c r="I1" s="227"/>
      <c r="J1" s="226"/>
      <c r="K1" s="227"/>
      <c r="L1" s="226"/>
      <c r="M1" s="227"/>
      <c r="N1" s="226"/>
      <c r="O1" s="227"/>
      <c r="P1" s="226"/>
      <c r="Q1" s="227"/>
      <c r="R1" s="226"/>
      <c r="S1" s="227"/>
      <c r="T1" s="226"/>
      <c r="U1" s="227"/>
      <c r="V1" s="226"/>
      <c r="W1" s="227"/>
      <c r="X1" s="226"/>
      <c r="Y1" s="227"/>
      <c r="Z1" s="226"/>
      <c r="AA1" s="227"/>
      <c r="AB1" s="226"/>
      <c r="AC1" s="227"/>
      <c r="AD1" s="223"/>
      <c r="AE1" s="224"/>
      <c r="AF1" s="224"/>
      <c r="AG1" s="224"/>
      <c r="AH1" s="224"/>
      <c r="AI1" s="225"/>
      <c r="AJ1" s="133">
        <f>SUM(AE4:AE19)</f>
        <v>3617</v>
      </c>
      <c r="AK1" s="134">
        <v>3717</v>
      </c>
      <c r="AL1" s="221"/>
      <c r="AM1" s="222"/>
      <c r="AN1" s="222"/>
      <c r="AO1" s="222"/>
      <c r="AP1" s="222"/>
      <c r="AQ1" s="222"/>
      <c r="AR1" s="222"/>
      <c r="AS1" s="221"/>
      <c r="AT1" s="222"/>
      <c r="AU1" s="133"/>
      <c r="AV1" s="221"/>
      <c r="AW1" s="222"/>
      <c r="AX1" s="222"/>
      <c r="AY1" s="221"/>
      <c r="AZ1" s="222"/>
      <c r="BA1" s="221"/>
      <c r="BB1" s="222"/>
      <c r="BC1" s="133"/>
      <c r="BD1" s="222"/>
      <c r="BE1" s="222"/>
      <c r="BF1" s="133"/>
      <c r="BG1" s="220"/>
      <c r="BH1" s="220"/>
      <c r="BI1" s="133"/>
      <c r="BJ1" s="135">
        <v>44531</v>
      </c>
      <c r="BK1" s="133"/>
      <c r="BL1" s="133"/>
      <c r="BM1" s="145">
        <v>44562</v>
      </c>
      <c r="BN1" s="133"/>
      <c r="BO1" s="133"/>
      <c r="BP1" s="133"/>
      <c r="BQ1" s="135">
        <v>44593</v>
      </c>
      <c r="BR1" s="133"/>
      <c r="BS1" s="133"/>
      <c r="BT1" s="133"/>
      <c r="BU1" s="135">
        <v>44621</v>
      </c>
      <c r="BV1" s="133"/>
      <c r="BW1" s="133"/>
      <c r="BX1" s="133"/>
      <c r="BY1" s="135">
        <v>44652</v>
      </c>
      <c r="BZ1" s="133"/>
      <c r="CA1" s="133"/>
      <c r="CB1" s="133"/>
      <c r="CC1" s="135">
        <v>44682</v>
      </c>
      <c r="CD1" s="133"/>
      <c r="CE1" s="133"/>
      <c r="CF1" s="133"/>
      <c r="CG1" s="135">
        <v>44713</v>
      </c>
      <c r="CH1" s="133"/>
      <c r="CI1" s="133"/>
      <c r="CJ1" s="133"/>
      <c r="CK1" s="135">
        <v>44743</v>
      </c>
      <c r="CL1" s="133"/>
      <c r="CM1" s="133"/>
      <c r="CN1" s="133"/>
      <c r="CO1" s="135">
        <v>44774</v>
      </c>
      <c r="CP1" s="133"/>
      <c r="CQ1" s="133"/>
      <c r="CR1" s="133"/>
      <c r="CS1" s="135">
        <v>44805</v>
      </c>
      <c r="CT1" s="133"/>
      <c r="CU1" s="133"/>
      <c r="CV1" s="133"/>
      <c r="CW1" s="135">
        <v>44835</v>
      </c>
      <c r="CX1" s="133"/>
      <c r="CY1" s="133"/>
      <c r="CZ1" s="133"/>
      <c r="DA1" s="135">
        <v>44866</v>
      </c>
      <c r="DB1" s="133"/>
      <c r="DC1" s="133"/>
      <c r="DD1" s="133"/>
      <c r="DE1" s="135">
        <v>44896</v>
      </c>
      <c r="DF1" s="133"/>
      <c r="DG1" s="133"/>
      <c r="DH1" s="133"/>
      <c r="DI1" s="135">
        <v>44927</v>
      </c>
      <c r="DJ1" s="133"/>
      <c r="DK1" s="133"/>
      <c r="DL1" s="133"/>
      <c r="DM1" s="135">
        <v>44958</v>
      </c>
      <c r="DN1" s="133"/>
      <c r="DO1" s="133"/>
      <c r="DP1" s="133"/>
      <c r="DQ1" s="135">
        <v>44986</v>
      </c>
      <c r="DR1" s="133"/>
      <c r="DS1" s="133"/>
      <c r="DT1" s="133"/>
      <c r="DU1" s="135">
        <v>45017</v>
      </c>
      <c r="DV1" s="133"/>
      <c r="DW1" s="133"/>
      <c r="DX1" s="133"/>
      <c r="DY1" s="135">
        <v>45047</v>
      </c>
      <c r="DZ1" s="133"/>
      <c r="EA1" s="133"/>
      <c r="EB1" s="133"/>
      <c r="EC1" s="135">
        <v>45078</v>
      </c>
      <c r="ED1" s="133"/>
      <c r="EE1" s="133"/>
      <c r="EF1" s="191"/>
      <c r="EG1" s="135">
        <v>45108</v>
      </c>
      <c r="EH1" s="133"/>
      <c r="EI1" s="133"/>
      <c r="EJ1" s="133"/>
      <c r="EK1" s="135">
        <v>45139</v>
      </c>
      <c r="EL1" s="133"/>
      <c r="EM1" s="133"/>
      <c r="EN1" s="133"/>
      <c r="EO1" s="135">
        <v>45170</v>
      </c>
      <c r="EP1" s="133"/>
      <c r="EQ1" s="133"/>
      <c r="ER1" s="133"/>
      <c r="ES1" s="135">
        <v>45200</v>
      </c>
      <c r="ET1" s="133"/>
      <c r="EU1" s="133"/>
      <c r="EV1" s="133"/>
      <c r="EW1" s="135">
        <v>45231</v>
      </c>
      <c r="EX1" s="133"/>
      <c r="EY1" s="133"/>
      <c r="EZ1" s="133"/>
      <c r="FA1" s="135">
        <v>45261</v>
      </c>
      <c r="FB1" s="133"/>
      <c r="FC1" s="134"/>
      <c r="FD1" s="133"/>
      <c r="FE1" s="135">
        <v>45292</v>
      </c>
      <c r="FF1" s="133"/>
      <c r="FG1" s="134"/>
      <c r="FH1" s="133"/>
      <c r="FI1" s="135">
        <v>45323</v>
      </c>
      <c r="FJ1" s="133"/>
      <c r="FK1" s="133"/>
      <c r="FL1" s="133"/>
      <c r="FM1" s="135">
        <v>45352</v>
      </c>
      <c r="FN1" s="133"/>
      <c r="FO1" s="133"/>
      <c r="FP1" s="133"/>
      <c r="FQ1" s="135">
        <v>45383</v>
      </c>
      <c r="FR1" s="133"/>
      <c r="FS1" s="133"/>
      <c r="FT1" s="133"/>
      <c r="FU1" s="135">
        <v>45413</v>
      </c>
      <c r="FV1" s="133"/>
      <c r="FW1" s="133"/>
      <c r="FX1" s="133"/>
      <c r="FY1" s="135">
        <v>45444</v>
      </c>
      <c r="GA1" s="133"/>
      <c r="GB1" s="133"/>
      <c r="GC1" s="135">
        <v>45474</v>
      </c>
      <c r="GG1" s="135">
        <v>45505</v>
      </c>
      <c r="GI1" s="135"/>
      <c r="GK1" s="135">
        <v>45536</v>
      </c>
      <c r="GO1" s="135">
        <v>45566</v>
      </c>
      <c r="GS1" s="135">
        <v>45597</v>
      </c>
      <c r="GW1" s="60">
        <v>45627</v>
      </c>
      <c r="HA1" s="60">
        <v>45658</v>
      </c>
      <c r="HE1" s="60">
        <v>45689</v>
      </c>
      <c r="HI1" s="60">
        <v>45717</v>
      </c>
      <c r="HM1" s="60">
        <v>45748</v>
      </c>
      <c r="HQ1" s="60">
        <v>45778</v>
      </c>
      <c r="HU1" s="60">
        <v>45809</v>
      </c>
      <c r="HY1" s="60">
        <v>45839</v>
      </c>
      <c r="IC1" s="60">
        <v>45870</v>
      </c>
    </row>
    <row r="2" spans="1:240" ht="43.8" thickTop="1" x14ac:dyDescent="0.3">
      <c r="A2" s="24"/>
      <c r="B2" s="25" t="s">
        <v>156</v>
      </c>
      <c r="C2" s="26" t="s">
        <v>157</v>
      </c>
      <c r="D2" s="25" t="s">
        <v>156</v>
      </c>
      <c r="E2" s="26" t="s">
        <v>157</v>
      </c>
      <c r="F2" s="25" t="s">
        <v>156</v>
      </c>
      <c r="G2" s="26" t="s">
        <v>157</v>
      </c>
      <c r="H2" s="25" t="s">
        <v>156</v>
      </c>
      <c r="I2" s="26" t="s">
        <v>157</v>
      </c>
      <c r="J2" s="25" t="s">
        <v>156</v>
      </c>
      <c r="K2" s="26" t="s">
        <v>157</v>
      </c>
      <c r="L2" s="25" t="s">
        <v>156</v>
      </c>
      <c r="M2" s="27" t="s">
        <v>157</v>
      </c>
      <c r="N2" s="33" t="s">
        <v>156</v>
      </c>
      <c r="O2" s="27" t="s">
        <v>157</v>
      </c>
      <c r="P2" s="33" t="s">
        <v>156</v>
      </c>
      <c r="Q2" s="27" t="s">
        <v>157</v>
      </c>
      <c r="R2" s="33" t="s">
        <v>156</v>
      </c>
      <c r="S2" s="26" t="s">
        <v>157</v>
      </c>
      <c r="T2" s="33" t="s">
        <v>156</v>
      </c>
      <c r="U2" s="26" t="s">
        <v>157</v>
      </c>
      <c r="V2" s="33" t="s">
        <v>156</v>
      </c>
      <c r="W2" s="26" t="s">
        <v>157</v>
      </c>
      <c r="X2" s="33" t="s">
        <v>156</v>
      </c>
      <c r="Y2" s="26" t="s">
        <v>157</v>
      </c>
      <c r="Z2" s="33" t="s">
        <v>156</v>
      </c>
      <c r="AA2" s="26" t="s">
        <v>157</v>
      </c>
      <c r="AB2" s="33" t="s">
        <v>156</v>
      </c>
      <c r="AC2" s="26" t="s">
        <v>157</v>
      </c>
      <c r="AD2" s="33" t="s">
        <v>156</v>
      </c>
      <c r="AE2" s="26" t="s">
        <v>157</v>
      </c>
      <c r="AF2" s="33" t="s">
        <v>156</v>
      </c>
      <c r="AG2" s="26" t="s">
        <v>157</v>
      </c>
      <c r="AH2" s="33" t="s">
        <v>156</v>
      </c>
      <c r="AI2" s="26" t="s">
        <v>157</v>
      </c>
      <c r="AL2" s="33" t="s">
        <v>156</v>
      </c>
      <c r="AM2" s="26" t="s">
        <v>157</v>
      </c>
      <c r="AN2" s="33" t="s">
        <v>156</v>
      </c>
      <c r="AO2" s="26" t="s">
        <v>157</v>
      </c>
      <c r="AP2" s="33" t="s">
        <v>156</v>
      </c>
      <c r="AQ2" s="26" t="s">
        <v>157</v>
      </c>
      <c r="AS2" s="33" t="s">
        <v>156</v>
      </c>
      <c r="AT2" s="26" t="s">
        <v>157</v>
      </c>
      <c r="AU2" s="33" t="s">
        <v>156</v>
      </c>
      <c r="AV2" s="26" t="s">
        <v>157</v>
      </c>
      <c r="AW2" s="33" t="s">
        <v>156</v>
      </c>
      <c r="AX2" s="26" t="s">
        <v>157</v>
      </c>
      <c r="AY2" s="33" t="s">
        <v>156</v>
      </c>
      <c r="AZ2" s="26" t="s">
        <v>157</v>
      </c>
      <c r="BA2" s="33" t="s">
        <v>156</v>
      </c>
      <c r="BB2" s="26" t="s">
        <v>157</v>
      </c>
      <c r="BD2" s="33" t="s">
        <v>156</v>
      </c>
      <c r="BE2" s="26" t="s">
        <v>157</v>
      </c>
      <c r="BF2" s="126" t="s">
        <v>180</v>
      </c>
      <c r="BG2" s="33" t="s">
        <v>156</v>
      </c>
      <c r="BH2" s="26" t="s">
        <v>157</v>
      </c>
      <c r="BJ2" s="33" t="s">
        <v>156</v>
      </c>
      <c r="BK2" s="26" t="s">
        <v>157</v>
      </c>
      <c r="BM2" s="34" t="s">
        <v>156</v>
      </c>
      <c r="BN2" s="133" t="s">
        <v>183</v>
      </c>
      <c r="BO2" t="s">
        <v>157</v>
      </c>
      <c r="BP2" s="136" t="s">
        <v>182</v>
      </c>
      <c r="BQ2" s="146" t="s">
        <v>156</v>
      </c>
      <c r="BR2" s="133" t="s">
        <v>183</v>
      </c>
      <c r="BS2" t="s">
        <v>157</v>
      </c>
      <c r="BT2" s="136" t="s">
        <v>182</v>
      </c>
      <c r="BU2" s="146" t="s">
        <v>156</v>
      </c>
      <c r="BV2" s="133" t="s">
        <v>183</v>
      </c>
      <c r="BW2" t="s">
        <v>157</v>
      </c>
      <c r="BX2" s="136" t="s">
        <v>182</v>
      </c>
      <c r="BY2" s="146" t="s">
        <v>156</v>
      </c>
      <c r="BZ2" s="133" t="s">
        <v>183</v>
      </c>
      <c r="CA2" t="s">
        <v>157</v>
      </c>
      <c r="CB2" s="136" t="s">
        <v>182</v>
      </c>
      <c r="CC2" s="146" t="s">
        <v>156</v>
      </c>
      <c r="CD2" s="133" t="s">
        <v>183</v>
      </c>
      <c r="CE2" t="s">
        <v>157</v>
      </c>
      <c r="CF2" s="136" t="s">
        <v>182</v>
      </c>
      <c r="CG2" s="146" t="s">
        <v>156</v>
      </c>
      <c r="CH2" s="133" t="s">
        <v>183</v>
      </c>
      <c r="CI2" t="s">
        <v>157</v>
      </c>
      <c r="CJ2" s="136" t="s">
        <v>182</v>
      </c>
      <c r="CK2" s="146" t="s">
        <v>156</v>
      </c>
      <c r="CL2" s="133" t="s">
        <v>183</v>
      </c>
      <c r="CM2" t="s">
        <v>157</v>
      </c>
      <c r="CN2" s="136" t="s">
        <v>182</v>
      </c>
      <c r="CO2" s="146" t="s">
        <v>156</v>
      </c>
      <c r="CP2" s="133" t="s">
        <v>183</v>
      </c>
      <c r="CQ2" t="s">
        <v>157</v>
      </c>
      <c r="CR2" s="136" t="s">
        <v>182</v>
      </c>
      <c r="CS2" s="146" t="s">
        <v>156</v>
      </c>
      <c r="CT2" s="133" t="s">
        <v>183</v>
      </c>
      <c r="CU2" t="s">
        <v>157</v>
      </c>
      <c r="CV2" s="136" t="s">
        <v>182</v>
      </c>
      <c r="CW2" s="146" t="s">
        <v>156</v>
      </c>
      <c r="CX2" s="133" t="s">
        <v>183</v>
      </c>
      <c r="CY2" t="s">
        <v>157</v>
      </c>
      <c r="CZ2" s="136" t="s">
        <v>182</v>
      </c>
      <c r="DA2" s="146" t="s">
        <v>156</v>
      </c>
      <c r="DB2" s="133" t="s">
        <v>183</v>
      </c>
      <c r="DC2" t="s">
        <v>157</v>
      </c>
      <c r="DD2" s="136" t="s">
        <v>182</v>
      </c>
      <c r="DE2" s="146" t="s">
        <v>156</v>
      </c>
      <c r="DF2" s="133" t="s">
        <v>183</v>
      </c>
      <c r="DG2" t="s">
        <v>157</v>
      </c>
      <c r="DH2" s="136" t="s">
        <v>182</v>
      </c>
      <c r="DI2" s="146" t="s">
        <v>156</v>
      </c>
      <c r="DJ2" s="133" t="s">
        <v>183</v>
      </c>
      <c r="DK2" t="s">
        <v>157</v>
      </c>
      <c r="DL2" s="136" t="s">
        <v>182</v>
      </c>
      <c r="DM2" s="146" t="s">
        <v>156</v>
      </c>
      <c r="DN2" s="133" t="s">
        <v>183</v>
      </c>
      <c r="DO2" t="s">
        <v>157</v>
      </c>
      <c r="DP2" s="136" t="s">
        <v>182</v>
      </c>
      <c r="DQ2" s="146" t="s">
        <v>156</v>
      </c>
      <c r="DR2" s="133" t="s">
        <v>183</v>
      </c>
      <c r="DS2" t="s">
        <v>157</v>
      </c>
      <c r="DT2" s="136" t="s">
        <v>182</v>
      </c>
      <c r="DU2" s="146" t="s">
        <v>156</v>
      </c>
      <c r="DV2" s="133" t="s">
        <v>183</v>
      </c>
      <c r="DW2" t="s">
        <v>157</v>
      </c>
      <c r="DX2" s="136" t="s">
        <v>182</v>
      </c>
      <c r="DY2" s="146" t="s">
        <v>156</v>
      </c>
      <c r="DZ2" s="133" t="s">
        <v>183</v>
      </c>
      <c r="EA2" t="s">
        <v>157</v>
      </c>
      <c r="EB2" s="136" t="s">
        <v>182</v>
      </c>
      <c r="EC2" s="146" t="s">
        <v>156</v>
      </c>
      <c r="ED2" s="133" t="s">
        <v>183</v>
      </c>
      <c r="EE2" t="s">
        <v>157</v>
      </c>
      <c r="EF2" s="136" t="s">
        <v>182</v>
      </c>
      <c r="EG2" s="121" t="s">
        <v>156</v>
      </c>
      <c r="EH2" s="133" t="s">
        <v>183</v>
      </c>
      <c r="EI2" t="s">
        <v>157</v>
      </c>
      <c r="EJ2" s="136" t="s">
        <v>182</v>
      </c>
      <c r="EK2" s="121" t="s">
        <v>156</v>
      </c>
      <c r="EL2" s="133" t="s">
        <v>183</v>
      </c>
      <c r="EM2" t="s">
        <v>157</v>
      </c>
      <c r="EN2" s="136" t="s">
        <v>182</v>
      </c>
      <c r="EO2" s="121" t="s">
        <v>156</v>
      </c>
      <c r="EP2" s="133" t="s">
        <v>183</v>
      </c>
      <c r="EQ2" t="s">
        <v>157</v>
      </c>
      <c r="ER2" s="136" t="s">
        <v>182</v>
      </c>
      <c r="ES2" s="121" t="s">
        <v>156</v>
      </c>
      <c r="ET2" s="133" t="s">
        <v>183</v>
      </c>
      <c r="EU2" t="s">
        <v>157</v>
      </c>
      <c r="EV2" s="136" t="s">
        <v>182</v>
      </c>
      <c r="EW2" s="121" t="s">
        <v>156</v>
      </c>
      <c r="EX2" s="133" t="s">
        <v>183</v>
      </c>
      <c r="EY2" t="s">
        <v>157</v>
      </c>
      <c r="EZ2" s="136" t="s">
        <v>182</v>
      </c>
      <c r="FA2" s="121" t="s">
        <v>156</v>
      </c>
      <c r="FB2" s="133" t="s">
        <v>183</v>
      </c>
      <c r="FC2" s="61" t="s">
        <v>157</v>
      </c>
      <c r="FD2" s="136" t="s">
        <v>182</v>
      </c>
      <c r="FE2" s="121" t="s">
        <v>156</v>
      </c>
      <c r="FF2" s="133" t="s">
        <v>183</v>
      </c>
      <c r="FG2" s="61" t="s">
        <v>157</v>
      </c>
      <c r="FH2" s="136" t="s">
        <v>182</v>
      </c>
      <c r="FI2" s="121" t="s">
        <v>156</v>
      </c>
      <c r="FJ2" s="133" t="s">
        <v>183</v>
      </c>
      <c r="FK2" s="61" t="s">
        <v>157</v>
      </c>
      <c r="FL2" s="136" t="s">
        <v>182</v>
      </c>
      <c r="FM2" s="121" t="s">
        <v>156</v>
      </c>
      <c r="FN2" s="133" t="s">
        <v>183</v>
      </c>
      <c r="FO2" s="61" t="s">
        <v>157</v>
      </c>
      <c r="FP2" s="136" t="s">
        <v>182</v>
      </c>
      <c r="FQ2" s="121" t="s">
        <v>156</v>
      </c>
      <c r="FR2" s="133" t="s">
        <v>183</v>
      </c>
      <c r="FS2" s="61" t="s">
        <v>157</v>
      </c>
      <c r="FT2" s="136" t="s">
        <v>182</v>
      </c>
      <c r="FU2" s="121" t="s">
        <v>156</v>
      </c>
      <c r="FV2" s="133" t="s">
        <v>183</v>
      </c>
      <c r="FW2" s="61" t="s">
        <v>157</v>
      </c>
      <c r="FX2" s="136" t="s">
        <v>182</v>
      </c>
      <c r="FY2" s="121" t="s">
        <v>156</v>
      </c>
      <c r="FZ2" s="133" t="s">
        <v>183</v>
      </c>
      <c r="GA2" s="61" t="s">
        <v>157</v>
      </c>
      <c r="GB2" s="136" t="s">
        <v>182</v>
      </c>
      <c r="GC2" s="121" t="s">
        <v>156</v>
      </c>
      <c r="GD2" s="133" t="s">
        <v>183</v>
      </c>
      <c r="GE2" s="61" t="s">
        <v>157</v>
      </c>
      <c r="GF2" s="136" t="s">
        <v>182</v>
      </c>
      <c r="GG2" s="121" t="s">
        <v>156</v>
      </c>
      <c r="GH2" s="133" t="s">
        <v>183</v>
      </c>
      <c r="GI2" s="61" t="s">
        <v>157</v>
      </c>
      <c r="GJ2" s="136" t="s">
        <v>182</v>
      </c>
      <c r="GK2" s="121" t="s">
        <v>156</v>
      </c>
      <c r="GL2" s="133" t="s">
        <v>183</v>
      </c>
      <c r="GM2" s="61" t="s">
        <v>157</v>
      </c>
      <c r="GN2" s="136" t="s">
        <v>182</v>
      </c>
      <c r="GO2" s="121" t="s">
        <v>156</v>
      </c>
      <c r="GP2" s="133" t="s">
        <v>183</v>
      </c>
      <c r="GQ2" s="61" t="s">
        <v>157</v>
      </c>
      <c r="GR2" s="136" t="s">
        <v>182</v>
      </c>
      <c r="GS2" s="121" t="s">
        <v>156</v>
      </c>
      <c r="GT2" s="133" t="s">
        <v>183</v>
      </c>
      <c r="GU2" s="61" t="s">
        <v>157</v>
      </c>
      <c r="GV2" s="136" t="s">
        <v>182</v>
      </c>
      <c r="GW2" s="121" t="s">
        <v>156</v>
      </c>
      <c r="GX2" s="133" t="s">
        <v>183</v>
      </c>
      <c r="GY2" s="61" t="s">
        <v>157</v>
      </c>
      <c r="GZ2" s="136" t="s">
        <v>182</v>
      </c>
      <c r="HA2" s="121" t="s">
        <v>156</v>
      </c>
      <c r="HB2" s="133" t="s">
        <v>183</v>
      </c>
      <c r="HC2" s="61" t="s">
        <v>157</v>
      </c>
      <c r="HD2" s="136" t="s">
        <v>182</v>
      </c>
      <c r="HE2" s="121" t="s">
        <v>156</v>
      </c>
      <c r="HF2" s="133" t="s">
        <v>183</v>
      </c>
      <c r="HG2" s="61" t="s">
        <v>157</v>
      </c>
      <c r="HH2" s="136" t="s">
        <v>182</v>
      </c>
      <c r="HI2" s="121" t="s">
        <v>156</v>
      </c>
      <c r="HJ2" s="133" t="s">
        <v>183</v>
      </c>
      <c r="HK2" s="61" t="s">
        <v>157</v>
      </c>
      <c r="HL2" s="136" t="s">
        <v>182</v>
      </c>
      <c r="HM2" s="121" t="s">
        <v>156</v>
      </c>
      <c r="HN2" s="133" t="s">
        <v>183</v>
      </c>
      <c r="HO2" s="61" t="s">
        <v>157</v>
      </c>
      <c r="HP2" s="136" t="s">
        <v>182</v>
      </c>
      <c r="HQ2" s="121" t="s">
        <v>156</v>
      </c>
      <c r="HR2" s="133" t="s">
        <v>183</v>
      </c>
      <c r="HS2" s="61" t="s">
        <v>157</v>
      </c>
      <c r="HT2" s="136" t="s">
        <v>182</v>
      </c>
      <c r="HU2" s="121" t="s">
        <v>156</v>
      </c>
      <c r="HV2" s="133" t="s">
        <v>183</v>
      </c>
      <c r="HW2" s="61" t="s">
        <v>157</v>
      </c>
      <c r="HX2" s="136" t="s">
        <v>182</v>
      </c>
      <c r="HY2" s="121" t="s">
        <v>156</v>
      </c>
      <c r="HZ2" s="133" t="s">
        <v>183</v>
      </c>
      <c r="IA2" s="61" t="s">
        <v>157</v>
      </c>
      <c r="IB2" s="136" t="s">
        <v>182</v>
      </c>
      <c r="IC2" s="121" t="s">
        <v>156</v>
      </c>
      <c r="ID2" s="133" t="s">
        <v>183</v>
      </c>
      <c r="IE2" s="61" t="s">
        <v>157</v>
      </c>
      <c r="IF2" s="136" t="s">
        <v>182</v>
      </c>
    </row>
    <row r="3" spans="1:240" ht="15" thickBot="1" x14ac:dyDescent="0.35">
      <c r="A3" s="231" t="s">
        <v>158</v>
      </c>
      <c r="B3" s="232"/>
      <c r="C3" s="232"/>
      <c r="D3" s="232"/>
      <c r="E3" s="232"/>
      <c r="F3" s="232"/>
      <c r="G3" s="232"/>
      <c r="H3" s="232"/>
      <c r="I3" s="232"/>
      <c r="J3" s="232"/>
      <c r="K3" s="232"/>
      <c r="L3" s="232"/>
      <c r="M3" s="232"/>
      <c r="N3" s="232"/>
      <c r="O3" s="232"/>
      <c r="P3" s="232"/>
      <c r="Q3" s="232"/>
      <c r="R3" s="61"/>
      <c r="T3" s="61"/>
      <c r="V3" s="61"/>
      <c r="X3" s="61"/>
      <c r="Z3" s="61"/>
      <c r="AB3" s="61"/>
      <c r="AD3" s="61"/>
      <c r="AF3" s="61"/>
      <c r="AH3" s="61"/>
      <c r="AL3" s="61"/>
      <c r="AN3" s="61"/>
      <c r="AP3" s="61"/>
      <c r="AS3" s="61"/>
      <c r="AU3" s="61"/>
      <c r="AW3" s="61"/>
      <c r="AY3" s="61"/>
      <c r="BA3" s="61"/>
      <c r="BD3" s="61"/>
      <c r="BG3" s="61"/>
      <c r="BJ3" s="61"/>
      <c r="BM3" s="34"/>
      <c r="BN3" s="133"/>
      <c r="BP3" s="136"/>
      <c r="BQ3" s="65"/>
      <c r="BR3" s="133"/>
      <c r="BT3" s="136"/>
      <c r="BU3" s="65"/>
      <c r="BV3" s="133"/>
      <c r="BX3" s="136"/>
      <c r="BY3" s="65"/>
      <c r="BZ3" s="133"/>
      <c r="CB3" s="136"/>
      <c r="CC3" s="65"/>
      <c r="CD3" s="133"/>
      <c r="CF3" s="136"/>
      <c r="CG3" s="65"/>
      <c r="CH3" s="133"/>
      <c r="CJ3" s="136"/>
      <c r="CK3" s="65"/>
      <c r="CL3" s="133"/>
      <c r="CN3" s="136"/>
      <c r="CO3" s="65"/>
      <c r="CP3" s="133"/>
      <c r="CR3" s="136"/>
      <c r="CS3" s="65"/>
      <c r="CT3" s="133"/>
      <c r="CV3" s="136"/>
      <c r="CW3" s="65"/>
      <c r="CX3" s="133"/>
      <c r="CZ3" s="136"/>
      <c r="DA3" s="65"/>
      <c r="DB3" s="133"/>
      <c r="DD3" s="136"/>
      <c r="DE3" s="65"/>
      <c r="DF3" s="133"/>
      <c r="DH3" s="136"/>
      <c r="DI3" s="65"/>
      <c r="DJ3" s="133"/>
      <c r="DL3" s="136"/>
      <c r="DM3" s="65"/>
      <c r="DN3" s="133"/>
      <c r="DP3" s="136"/>
      <c r="DQ3" s="65"/>
      <c r="DR3" s="133"/>
      <c r="DT3" s="136"/>
      <c r="DU3" s="65"/>
      <c r="DV3" s="133"/>
      <c r="DX3" s="136"/>
      <c r="DY3" s="65"/>
      <c r="DZ3" s="133"/>
      <c r="EB3" s="136"/>
      <c r="EC3" s="65"/>
      <c r="ED3" s="133"/>
      <c r="EF3" s="136"/>
      <c r="EG3" s="61"/>
      <c r="EH3" s="133"/>
      <c r="EJ3" s="136"/>
      <c r="EK3" s="61"/>
      <c r="EL3" s="133"/>
      <c r="EN3" s="136"/>
      <c r="EO3" s="61"/>
      <c r="EP3" s="133"/>
      <c r="ER3" s="136"/>
      <c r="ES3" s="61"/>
      <c r="ET3" s="133"/>
      <c r="EV3" s="136"/>
      <c r="EW3" s="61"/>
      <c r="EX3" s="133"/>
      <c r="EZ3" s="136"/>
      <c r="FA3" s="61"/>
      <c r="FB3" s="133"/>
      <c r="FC3" s="61"/>
      <c r="FD3" s="136"/>
      <c r="FE3" s="61"/>
      <c r="FF3" s="133"/>
      <c r="FG3" s="61"/>
      <c r="FH3" s="136"/>
      <c r="FQ3" s="1"/>
    </row>
    <row r="4" spans="1:240" ht="15" thickTop="1" x14ac:dyDescent="0.3">
      <c r="A4" s="23" t="s">
        <v>20</v>
      </c>
      <c r="B4" s="22">
        <v>193654.03371136085</v>
      </c>
      <c r="C4">
        <v>338</v>
      </c>
      <c r="D4" s="22">
        <v>193367.9968597393</v>
      </c>
      <c r="E4">
        <v>307</v>
      </c>
      <c r="F4" s="22">
        <v>195861.46313320744</v>
      </c>
      <c r="G4">
        <v>212</v>
      </c>
      <c r="H4" s="22">
        <v>198562.28668298398</v>
      </c>
      <c r="I4">
        <v>246</v>
      </c>
      <c r="J4" s="22">
        <v>198421.95233393941</v>
      </c>
      <c r="K4">
        <v>308</v>
      </c>
      <c r="L4" s="22">
        <v>200192.66009511313</v>
      </c>
      <c r="M4">
        <v>312</v>
      </c>
      <c r="N4" s="22">
        <v>204473.74822080875</v>
      </c>
      <c r="O4" s="28">
        <v>312</v>
      </c>
      <c r="P4" s="35">
        <v>209607.10796462744</v>
      </c>
      <c r="Q4" s="28">
        <v>336</v>
      </c>
      <c r="R4" s="35">
        <v>216606.13132625518</v>
      </c>
      <c r="S4">
        <v>322</v>
      </c>
      <c r="T4" s="46">
        <v>220789.47843528228</v>
      </c>
      <c r="U4" s="47">
        <v>279</v>
      </c>
      <c r="V4" s="56">
        <v>226564.08448734219</v>
      </c>
      <c r="W4" s="47">
        <v>251</v>
      </c>
      <c r="X4" s="56">
        <v>227366.7721667205</v>
      </c>
      <c r="Y4" s="47">
        <v>232</v>
      </c>
      <c r="Z4" s="34">
        <v>232993.46663747216</v>
      </c>
      <c r="AA4" s="81">
        <v>257</v>
      </c>
      <c r="AB4" s="1">
        <v>238277.99015292971</v>
      </c>
      <c r="AC4">
        <v>277</v>
      </c>
      <c r="AD4" s="1">
        <v>241630.3273319024</v>
      </c>
      <c r="AE4">
        <v>264</v>
      </c>
      <c r="AF4" s="13">
        <f>AD4/X4-1</f>
        <v>6.2733683683220409E-2</v>
      </c>
      <c r="AG4" s="85">
        <f t="shared" ref="AG4:AG19" si="0">AE4/$AJ$1</f>
        <v>7.2988664639203754E-2</v>
      </c>
      <c r="AH4" s="35" t="e">
        <f>#REF!*AG4</f>
        <v>#REF!</v>
      </c>
      <c r="AI4" s="86" t="e">
        <f>AE4+AH4</f>
        <v>#REF!</v>
      </c>
      <c r="AL4" s="1">
        <v>245185.08576557829</v>
      </c>
      <c r="AR4" s="89">
        <v>296</v>
      </c>
      <c r="AS4">
        <v>307</v>
      </c>
      <c r="AT4" s="1">
        <v>246029.09808684001</v>
      </c>
      <c r="AU4" s="13">
        <f>AT4/AL4-1</f>
        <v>3.4423477212177644E-3</v>
      </c>
      <c r="AV4">
        <v>305</v>
      </c>
      <c r="AW4" s="1">
        <v>252747.41748975549</v>
      </c>
      <c r="AX4" s="61">
        <v>323</v>
      </c>
      <c r="AY4" s="119">
        <v>259871.19886203259</v>
      </c>
      <c r="AZ4" s="120">
        <v>300</v>
      </c>
      <c r="BA4" s="119">
        <v>261060.00060807369</v>
      </c>
      <c r="BB4" s="35">
        <v>305</v>
      </c>
      <c r="BC4" s="125">
        <f>BA4/AY4-1</f>
        <v>4.5745806047259308E-3</v>
      </c>
      <c r="BD4">
        <v>318</v>
      </c>
      <c r="BE4" s="1">
        <v>265629.33668413159</v>
      </c>
      <c r="BF4" s="13">
        <f t="shared" ref="BF4:BF19" si="1">BE4/BA4-1</f>
        <v>1.7503011052688144E-2</v>
      </c>
      <c r="BG4">
        <v>346</v>
      </c>
      <c r="BH4" s="1">
        <v>265147.71297419281</v>
      </c>
      <c r="BI4" s="13">
        <f>BH4/BE4-1</f>
        <v>-1.8131420119137376E-3</v>
      </c>
      <c r="BJ4">
        <v>313</v>
      </c>
      <c r="BK4" s="1">
        <v>271658.0987951571</v>
      </c>
      <c r="BL4" s="13">
        <f t="shared" ref="BL4:BL19" si="2">BK4/BH4-1</f>
        <v>2.4553807188968602E-2</v>
      </c>
      <c r="BM4" s="1">
        <v>273954.92984960199</v>
      </c>
      <c r="BN4" s="109">
        <f t="shared" ref="BN4:BN19" si="3">BM4/BK4-1</f>
        <v>8.4548594893054663E-3</v>
      </c>
      <c r="BO4">
        <v>309</v>
      </c>
      <c r="BP4" s="13">
        <f t="shared" ref="BP4:BP19" si="4">BO4/BJ4-1</f>
        <v>-1.2779552715655007E-2</v>
      </c>
      <c r="BQ4" s="1">
        <v>275810.38938171993</v>
      </c>
      <c r="BR4" s="13">
        <f t="shared" ref="BR4:BR35" si="5">IFERROR(BQ4/BM4-1,"")</f>
        <v>6.7728641829389868E-3</v>
      </c>
      <c r="BS4">
        <v>347</v>
      </c>
      <c r="BT4" s="13">
        <f t="shared" ref="BT4:BT35" si="6">IFERROR(BS4/BO4-1,"")</f>
        <v>0.12297734627831725</v>
      </c>
      <c r="BU4" s="1">
        <v>281202.6267485217</v>
      </c>
      <c r="BV4" s="13">
        <f t="shared" ref="BV4:BV19" si="7">BU4/BQ4-1</f>
        <v>1.9550523020142485E-2</v>
      </c>
      <c r="BW4">
        <v>276</v>
      </c>
      <c r="BX4" s="13">
        <f t="shared" ref="BX4:BX19" si="8">BW4/BS4-1</f>
        <v>-0.20461095100864557</v>
      </c>
      <c r="BY4" s="1">
        <v>284856.87601785228</v>
      </c>
      <c r="BZ4" s="13">
        <f t="shared" ref="BZ4:BZ19" si="9">BY4/BU4-1</f>
        <v>1.2995075158378722E-2</v>
      </c>
      <c r="CA4">
        <v>252</v>
      </c>
      <c r="CB4" s="13">
        <f t="shared" ref="CB4:CB19" si="10">CA4/BW4-1</f>
        <v>-8.6956521739130488E-2</v>
      </c>
      <c r="CC4" s="1">
        <v>283364.27931953419</v>
      </c>
      <c r="CD4" s="13">
        <f t="shared" ref="CD4:CD19" si="11">CC4/BY4-1</f>
        <v>-5.2398127760993063E-3</v>
      </c>
      <c r="CE4">
        <v>306</v>
      </c>
      <c r="CF4" s="13">
        <f t="shared" ref="CF4:CF19" si="12">CE4/CA4-1</f>
        <v>0.21428571428571419</v>
      </c>
      <c r="CG4" s="1">
        <v>286916.25346691528</v>
      </c>
      <c r="CH4" s="13">
        <f t="shared" ref="CH4:CH19" si="13">CG4/CC4-1</f>
        <v>1.253501025574133E-2</v>
      </c>
      <c r="CI4">
        <v>372</v>
      </c>
      <c r="CJ4" s="13">
        <f t="shared" ref="CJ4:CJ19" si="14">CI4/CE4-1</f>
        <v>0.21568627450980382</v>
      </c>
      <c r="CK4" s="1">
        <v>288430.83644877939</v>
      </c>
      <c r="CL4" s="13">
        <f t="shared" ref="CL4:CL19" si="15">CK4/CG4-1</f>
        <v>5.2788329819688506E-3</v>
      </c>
      <c r="CM4">
        <v>395</v>
      </c>
      <c r="CN4" s="13">
        <f t="shared" ref="CN4:CN19" si="16">CM4/CI4-1</f>
        <v>6.1827956989247257E-2</v>
      </c>
      <c r="CO4" s="1">
        <v>286254.07064599759</v>
      </c>
      <c r="CP4" s="13">
        <v>-7.5469246963417724E-3</v>
      </c>
      <c r="CQ4">
        <v>394</v>
      </c>
      <c r="CR4" s="13">
        <v>-2.5316455696202667E-3</v>
      </c>
      <c r="CS4" s="1">
        <v>286071.29063226673</v>
      </c>
      <c r="CT4" s="13">
        <f>IFERROR(CS4/CO4-1,"")</f>
        <v>-6.3852371887107573E-4</v>
      </c>
      <c r="CU4">
        <v>443</v>
      </c>
      <c r="CV4" s="13">
        <f>IFERROR(CU4/CQ4-1,"")</f>
        <v>0.12436548223350252</v>
      </c>
      <c r="CW4" s="1">
        <v>280845.54921183753</v>
      </c>
      <c r="CX4" s="13">
        <f>IFERROR(CW4/CS4-1,"")</f>
        <v>-1.8267269703574285E-2</v>
      </c>
      <c r="CY4">
        <v>443</v>
      </c>
      <c r="CZ4" s="13">
        <f>IFERROR(CY4/CU4-1,"")</f>
        <v>0</v>
      </c>
      <c r="DA4" s="1">
        <v>276280.59506877122</v>
      </c>
      <c r="DB4" s="13">
        <f>IFERROR(DA4/CW4-1,"")</f>
        <v>-1.6254322548024502E-2</v>
      </c>
      <c r="DC4">
        <v>426</v>
      </c>
      <c r="DD4" s="13">
        <f>IFERROR(DC4/CY4-1,"")</f>
        <v>-3.8374717832957095E-2</v>
      </c>
      <c r="DE4" s="1">
        <v>281000.636851146</v>
      </c>
      <c r="DF4" s="13">
        <f>IFERROR(DE4/DA4-1,"")</f>
        <v>1.7084231996821408E-2</v>
      </c>
      <c r="DG4" s="1">
        <v>419</v>
      </c>
      <c r="DH4" s="13">
        <f>IFERROR(DG4/DC4-1,"")</f>
        <v>-1.6431924882629123E-2</v>
      </c>
      <c r="DI4" s="1">
        <v>283648.27381745388</v>
      </c>
      <c r="DJ4" s="13">
        <f>IFERROR(DI4/DE4-1,"")</f>
        <v>9.4221742554640997E-3</v>
      </c>
      <c r="DK4" s="1">
        <v>400</v>
      </c>
      <c r="DL4" s="13">
        <f>IFERROR(DK4/DG4-1,"")</f>
        <v>-4.534606205250602E-2</v>
      </c>
      <c r="DM4" s="1">
        <v>278261.89832599909</v>
      </c>
      <c r="DN4" s="13">
        <f>IFERROR(DM4/DI4-1,"")</f>
        <v>-1.8989629018230092E-2</v>
      </c>
      <c r="DO4" s="1">
        <v>408</v>
      </c>
      <c r="DP4" s="13">
        <f>IFERROR(DO4/DK4-1,"")</f>
        <v>2.0000000000000018E-2</v>
      </c>
      <c r="DQ4" s="1">
        <v>278082.11594397872</v>
      </c>
      <c r="DR4" s="13">
        <f>IFERROR(DQ4/DM4-1,"")</f>
        <v>-6.4609054671849186E-4</v>
      </c>
      <c r="DS4">
        <v>407</v>
      </c>
      <c r="DT4" s="13">
        <f>IFERROR(DS4/DO4-1,"")</f>
        <v>-2.450980392156854E-3</v>
      </c>
      <c r="DU4" s="1">
        <v>280822.91867098759</v>
      </c>
      <c r="DV4" s="13">
        <f>IFERROR(DU4/DQ4-1,"")</f>
        <v>9.8560913121108484E-3</v>
      </c>
      <c r="DW4">
        <v>403</v>
      </c>
      <c r="DX4" s="13">
        <f>IFERROR(DW4/DS4-1,"")</f>
        <v>-9.8280098280097983E-3</v>
      </c>
      <c r="DY4" s="1">
        <v>284586.17344878451</v>
      </c>
      <c r="DZ4" s="13">
        <f>IFERROR(DY4/DU4-1,"")</f>
        <v>1.3400810715901601E-2</v>
      </c>
      <c r="EA4" s="1">
        <v>410</v>
      </c>
      <c r="EB4" s="13">
        <f>IFERROR(EA4/DW4-1,"")</f>
        <v>1.7369727047146455E-2</v>
      </c>
      <c r="EC4" s="1">
        <v>288576.21964653942</v>
      </c>
      <c r="ED4" s="13">
        <f>IFERROR(EC4/DY4-1,"")</f>
        <v>1.4020520215023646E-2</v>
      </c>
      <c r="EE4" s="1">
        <f>IFERROR(VLOOKUP($A4,[1]Москва_продажа_районы!$C$2:$F$148,2,0),"")</f>
        <v>376</v>
      </c>
      <c r="EF4" s="13">
        <v>-8.2926829268292646E-2</v>
      </c>
      <c r="EG4" s="1">
        <v>286885.61323335167</v>
      </c>
      <c r="EH4" s="13">
        <f>IFERROR(EG4/EC4-1,"")</f>
        <v>-5.8584398092763612E-3</v>
      </c>
      <c r="EI4" s="1">
        <f>IFERROR(VLOOKUP($A4,[2]Москва_продажа_районы!$C$2:$F$150,2,0),"")</f>
        <v>337</v>
      </c>
      <c r="EJ4" s="13">
        <v>-0.10372340425531912</v>
      </c>
      <c r="EK4" s="1">
        <v>294840.69161134108</v>
      </c>
      <c r="EL4" s="13">
        <f>IFERROR(EK4/EG4-1,"")</f>
        <v>2.7729094841429935E-2</v>
      </c>
      <c r="EM4">
        <v>299</v>
      </c>
      <c r="EN4" s="13">
        <f>IFERROR(EM4/EI4-1,"")</f>
        <v>-0.11275964391691395</v>
      </c>
      <c r="EO4" s="1">
        <v>299166.79949910432</v>
      </c>
      <c r="EP4" s="13">
        <f>IFERROR(EO4/EK4-1,"")</f>
        <v>1.4672696174061084E-2</v>
      </c>
      <c r="EQ4">
        <v>296</v>
      </c>
      <c r="ER4" s="13">
        <f>IFERROR(EQ4/EM4-1,"")</f>
        <v>-1.0033444816053505E-2</v>
      </c>
      <c r="ES4" s="183">
        <v>307237.28121474612</v>
      </c>
      <c r="ET4" s="13">
        <f>IFERROR(ES4/EO4-1,"")</f>
        <v>2.6976528575878733E-2</v>
      </c>
      <c r="EU4">
        <v>318</v>
      </c>
      <c r="EV4" s="13">
        <f>IFERROR(EU4/EQ4-1,"")</f>
        <v>7.4324324324324342E-2</v>
      </c>
      <c r="EW4" s="183">
        <v>306933.38832094427</v>
      </c>
      <c r="EX4" s="13">
        <f>IFERROR(EW4/ES4-1,"")</f>
        <v>-9.8911464325013299E-4</v>
      </c>
      <c r="EY4">
        <v>323</v>
      </c>
      <c r="EZ4" s="13">
        <f>IFERROR(EY4/EU4-1,"")</f>
        <v>1.572327044025168E-2</v>
      </c>
      <c r="FA4" s="1">
        <v>304914.37273144082</v>
      </c>
      <c r="FB4" s="13">
        <f>IFERROR(FA4/EW4-1,"")</f>
        <v>-6.5780252860345723E-3</v>
      </c>
      <c r="FC4" s="1">
        <v>268</v>
      </c>
      <c r="FD4" s="13">
        <f>IFERROR(FC4/EY4-1,"")</f>
        <v>-0.1702786377708978</v>
      </c>
      <c r="FE4" s="1">
        <v>303536.42712516268</v>
      </c>
      <c r="FF4" s="13">
        <f>IFERROR(FE4/FA4-1,"")</f>
        <v>-4.5191231686929623E-3</v>
      </c>
      <c r="FG4" s="1">
        <v>276</v>
      </c>
      <c r="FH4" s="13">
        <f>IFERROR(FG4/FC4-1,"")</f>
        <v>2.9850746268656803E-2</v>
      </c>
      <c r="FI4" s="1">
        <v>306816.89609537181</v>
      </c>
      <c r="FJ4" s="13">
        <f>IFERROR(FI4/FE4-1,"")</f>
        <v>1.0807496817692996E-2</v>
      </c>
      <c r="FK4" s="1">
        <v>318</v>
      </c>
      <c r="FL4" s="13">
        <f>IFERROR(FK4/FG4-1,"")</f>
        <v>0.15217391304347827</v>
      </c>
      <c r="FM4" s="1">
        <v>308204.11966990691</v>
      </c>
      <c r="FN4" s="13">
        <f>IFERROR(FM4/FI4-1,"")</f>
        <v>4.5213402266603975E-3</v>
      </c>
      <c r="FO4" s="1">
        <v>350</v>
      </c>
      <c r="FP4" s="13">
        <f>IFERROR(FO4/FK4-1,"")</f>
        <v>0.10062893081761004</v>
      </c>
      <c r="FQ4" s="1">
        <v>306289.87491938652</v>
      </c>
      <c r="FR4" s="13">
        <f>IFERROR(FQ4/FM4-1,"")</f>
        <v>-6.2109641901302304E-3</v>
      </c>
      <c r="FS4">
        <v>365</v>
      </c>
      <c r="FT4" s="13">
        <f>IFERROR(FS4/FO4-1,"")</f>
        <v>4.2857142857142927E-2</v>
      </c>
      <c r="FU4" s="1">
        <v>308001.86305910727</v>
      </c>
      <c r="FV4" s="13">
        <f>IFERROR(FU4/FQ4-1,"")</f>
        <v>5.5894375880733982E-3</v>
      </c>
      <c r="FW4" s="1">
        <v>349</v>
      </c>
      <c r="FX4" s="13">
        <f>IFERROR(FW4/FS4-1,"")</f>
        <v>-4.3835616438356206E-2</v>
      </c>
      <c r="FY4" s="1">
        <v>310821.81901551218</v>
      </c>
      <c r="FZ4" s="13">
        <f>IFERROR(FY4/FU4-1,"")</f>
        <v>9.1556457756352128E-3</v>
      </c>
      <c r="GA4" s="1">
        <v>397</v>
      </c>
      <c r="GB4" s="13">
        <f>IFERROR(GA4/FW4-1,"")</f>
        <v>0.13753581661891112</v>
      </c>
      <c r="GC4" s="1">
        <v>313427.06907606462</v>
      </c>
      <c r="GD4" s="13">
        <f>IFERROR(GC4/FY4-1,"")</f>
        <v>8.3818120259517848E-3</v>
      </c>
      <c r="GE4" s="1">
        <v>397</v>
      </c>
      <c r="GF4" s="13">
        <f>IFERROR(GE4/GA4-1,"")</f>
        <v>0</v>
      </c>
      <c r="GG4" s="1">
        <f>IFERROR(VLOOKUP(A4,[3]Москва_продажа_районы!$C$2:$F$149,3,0),"")</f>
        <v>312025.57047002518</v>
      </c>
      <c r="GH4" s="13">
        <v>-4.4715302037275917E-3</v>
      </c>
      <c r="GI4" s="1">
        <v>422</v>
      </c>
      <c r="GJ4" s="13">
        <f>IFERROR(GI4/GE4-1,"")</f>
        <v>6.2972292191435741E-2</v>
      </c>
      <c r="GK4" s="1">
        <v>311170.56926486571</v>
      </c>
      <c r="GL4" s="13">
        <f>IFERROR(GK4/GG4-1,"")</f>
        <v>-2.7401639034632108E-3</v>
      </c>
      <c r="GM4" s="1">
        <v>400</v>
      </c>
      <c r="GN4" s="13">
        <f>IFERROR(GM4/GI4-1,"")</f>
        <v>-5.2132701421800931E-2</v>
      </c>
      <c r="GO4" s="1">
        <v>310479.02083150222</v>
      </c>
      <c r="GP4" s="13">
        <f>IFERROR(GO4/GK4-1,"")</f>
        <v>-2.2224095132045152E-3</v>
      </c>
      <c r="GQ4" s="1">
        <v>405.53000000000009</v>
      </c>
      <c r="GR4" s="13">
        <f>IFERROR(GQ4/GM4-1,"")</f>
        <v>1.3825000000000198E-2</v>
      </c>
      <c r="GS4" s="1">
        <v>322543.06690339389</v>
      </c>
      <c r="GT4" s="13">
        <f t="shared" ref="GT4:GT19" si="17">GS4/GO4-1</f>
        <v>3.8856235888603985E-2</v>
      </c>
      <c r="GU4">
        <v>415</v>
      </c>
      <c r="GV4" s="13">
        <f t="shared" ref="GV4:GV19" si="18">GU4/GQ4-1</f>
        <v>2.3352156437254745E-2</v>
      </c>
      <c r="GW4">
        <v>317590.5670520087</v>
      </c>
      <c r="GX4" s="13">
        <f>GW4/GS4-1</f>
        <v>-1.5354538229366277E-2</v>
      </c>
      <c r="GY4">
        <v>309</v>
      </c>
      <c r="GZ4" s="13">
        <f>GY4/GU4-1</f>
        <v>-0.25542168674698795</v>
      </c>
      <c r="HA4">
        <v>316027.8633802823</v>
      </c>
      <c r="HB4" s="13">
        <v>-4.9204977535447503E-3</v>
      </c>
      <c r="HC4">
        <v>286</v>
      </c>
      <c r="HD4" s="13">
        <v>-7.4433656957928807E-2</v>
      </c>
      <c r="HE4">
        <v>317591.45111551281</v>
      </c>
      <c r="HF4" s="13">
        <v>4.9476261950642808E-3</v>
      </c>
      <c r="HG4">
        <v>315</v>
      </c>
      <c r="HH4" s="13">
        <v>0.10139860139860146</v>
      </c>
      <c r="HI4">
        <f>VLOOKUP(A4,[4]Москва_продажа_районы!$C$4:$F$151,3,0)</f>
        <v>316318.139729099</v>
      </c>
      <c r="HJ4" s="13">
        <f>HI4/HE4-1</f>
        <v>-4.0092747520168448E-3</v>
      </c>
      <c r="HK4">
        <f>VLOOKUP(A4,[4]Москва_продажа_районы!$C$4:$F$151,2,0)</f>
        <v>334</v>
      </c>
      <c r="HL4" s="13">
        <f>HK4/HG4-1</f>
        <v>6.0317460317460325E-2</v>
      </c>
      <c r="HM4" s="1">
        <f>VLOOKUP(A4,Лист3!$C$4:$F$149,3,0)</f>
        <v>317031.91585241031</v>
      </c>
      <c r="HN4" s="13">
        <f>HM4/HI4-1</f>
        <v>2.2565134074277182E-3</v>
      </c>
      <c r="HO4">
        <f>VLOOKUP(A4,Лист3!$C$4:$F$149,2,0)</f>
        <v>330</v>
      </c>
      <c r="HP4" s="13">
        <f>HO4/HK4-1</f>
        <v>-1.19760479041916E-2</v>
      </c>
      <c r="HQ4" s="1">
        <v>313985.81715044391</v>
      </c>
      <c r="HR4" s="13">
        <v>-9.6081768101369258E-3</v>
      </c>
      <c r="HS4">
        <v>330</v>
      </c>
      <c r="HT4" s="13">
        <v>0</v>
      </c>
      <c r="HU4" s="34">
        <v>313704.01590850792</v>
      </c>
      <c r="HV4" s="13">
        <v>-8.9749672292038785E-4</v>
      </c>
      <c r="HW4">
        <v>326</v>
      </c>
      <c r="HX4" s="13">
        <v>-1.2121212121212088E-2</v>
      </c>
      <c r="HY4">
        <v>316850.11769827898</v>
      </c>
      <c r="HZ4" s="13">
        <v>1.0028885925032593E-2</v>
      </c>
      <c r="IA4">
        <v>315</v>
      </c>
      <c r="IB4" s="13">
        <v>-3.3742331288343586E-2</v>
      </c>
      <c r="IC4" s="34">
        <v>319429.56378949131</v>
      </c>
      <c r="ID4" s="13">
        <v>8.1409030552062056E-3</v>
      </c>
      <c r="IE4">
        <v>305</v>
      </c>
      <c r="IF4" s="13">
        <v>-3.1746031746031744E-2</v>
      </c>
    </row>
    <row r="5" spans="1:240" x14ac:dyDescent="0.3">
      <c r="A5" s="23" t="s">
        <v>21</v>
      </c>
      <c r="B5" s="22">
        <v>164593.3020264059</v>
      </c>
      <c r="C5">
        <v>409</v>
      </c>
      <c r="D5" s="22">
        <v>168051.26586853655</v>
      </c>
      <c r="E5">
        <v>410</v>
      </c>
      <c r="F5" s="22">
        <v>172302.07162992694</v>
      </c>
      <c r="G5">
        <v>274</v>
      </c>
      <c r="H5" s="22">
        <v>172168.54377029423</v>
      </c>
      <c r="I5">
        <v>284</v>
      </c>
      <c r="J5" s="22">
        <v>170552.57938171321</v>
      </c>
      <c r="K5">
        <v>325</v>
      </c>
      <c r="L5" s="22">
        <v>169011.28483379408</v>
      </c>
      <c r="M5">
        <v>331</v>
      </c>
      <c r="N5" s="22">
        <v>173771.91299661741</v>
      </c>
      <c r="O5" s="28">
        <v>345</v>
      </c>
      <c r="P5" s="35">
        <v>177784.02544315928</v>
      </c>
      <c r="Q5" s="28">
        <v>314</v>
      </c>
      <c r="R5" s="35">
        <v>178934.75657079543</v>
      </c>
      <c r="S5">
        <v>283</v>
      </c>
      <c r="T5" s="46">
        <v>182415.5057996549</v>
      </c>
      <c r="U5" s="47">
        <v>238</v>
      </c>
      <c r="V5" s="56">
        <v>188582.17914090381</v>
      </c>
      <c r="W5" s="47">
        <v>216</v>
      </c>
      <c r="X5" s="56">
        <v>197308.3331864358</v>
      </c>
      <c r="Y5" s="47">
        <v>230</v>
      </c>
      <c r="Z5" s="34">
        <v>201517.17192067771</v>
      </c>
      <c r="AA5" s="81">
        <v>275</v>
      </c>
      <c r="AB5" s="1">
        <v>203328.26970377241</v>
      </c>
      <c r="AC5">
        <v>295</v>
      </c>
      <c r="AD5" s="1">
        <v>204957.54085680761</v>
      </c>
      <c r="AE5">
        <v>245</v>
      </c>
      <c r="AF5" s="13">
        <f t="shared" ref="AF5:AF68" si="19">AD5/X5-1</f>
        <v>3.8767788196477859E-2</v>
      </c>
      <c r="AG5" s="85">
        <f t="shared" si="0"/>
        <v>6.7735692562897423E-2</v>
      </c>
      <c r="AH5" s="35" t="e">
        <f>#REF!*AG5</f>
        <v>#REF!</v>
      </c>
      <c r="AI5" s="87" t="e">
        <f t="shared" ref="AI5:AI19" si="20">AE5+AH5</f>
        <v>#REF!</v>
      </c>
      <c r="AL5" s="1">
        <v>207410.22840459389</v>
      </c>
      <c r="AR5" s="90">
        <v>263</v>
      </c>
      <c r="AS5">
        <v>266</v>
      </c>
      <c r="AT5" s="1">
        <v>208959.3877481372</v>
      </c>
      <c r="AU5" s="13">
        <f t="shared" ref="AU5:AU19" si="21">AT5/AL5-1</f>
        <v>7.4690595322106645E-3</v>
      </c>
      <c r="AV5" s="35">
        <v>241</v>
      </c>
      <c r="AW5" s="1">
        <v>213258.60608047951</v>
      </c>
      <c r="AX5" s="61">
        <v>256</v>
      </c>
      <c r="AY5" s="121">
        <v>210400.14316483701</v>
      </c>
      <c r="AZ5" s="122">
        <v>254</v>
      </c>
      <c r="BA5" s="119">
        <v>212538.79779851399</v>
      </c>
      <c r="BB5" s="35">
        <v>281</v>
      </c>
      <c r="BC5" s="125">
        <f t="shared" ref="BC5:BC19" si="22">BA5/AY5-1</f>
        <v>1.016470141848469E-2</v>
      </c>
      <c r="BD5">
        <v>305</v>
      </c>
      <c r="BE5" s="1">
        <v>228122.56312938931</v>
      </c>
      <c r="BF5" s="13">
        <f t="shared" si="1"/>
        <v>7.3321979291746331E-2</v>
      </c>
      <c r="BG5">
        <v>299</v>
      </c>
      <c r="BH5" s="1">
        <v>231233.99560857579</v>
      </c>
      <c r="BI5" s="13">
        <f t="shared" ref="BI5:BI33" si="23">BH5/BE5-1</f>
        <v>1.3639301770520973E-2</v>
      </c>
      <c r="BJ5">
        <v>303</v>
      </c>
      <c r="BK5" s="1">
        <v>236768.12548854839</v>
      </c>
      <c r="BL5" s="13">
        <f t="shared" si="2"/>
        <v>2.3933028815281032E-2</v>
      </c>
      <c r="BM5" s="1">
        <v>241874.70045517871</v>
      </c>
      <c r="BN5" s="109">
        <f t="shared" si="3"/>
        <v>2.1567831210782318E-2</v>
      </c>
      <c r="BO5">
        <v>262</v>
      </c>
      <c r="BP5" s="13">
        <f t="shared" si="4"/>
        <v>-0.13531353135313529</v>
      </c>
      <c r="BQ5" s="1">
        <v>243604.79929749621</v>
      </c>
      <c r="BR5" s="13">
        <f t="shared" si="5"/>
        <v>7.1528722890887853E-3</v>
      </c>
      <c r="BS5">
        <v>300</v>
      </c>
      <c r="BT5" s="13">
        <f t="shared" si="6"/>
        <v>0.14503816793893121</v>
      </c>
      <c r="BU5" s="1">
        <v>250280.55647729061</v>
      </c>
      <c r="BV5" s="13">
        <f t="shared" si="7"/>
        <v>2.7404046221773282E-2</v>
      </c>
      <c r="BW5">
        <v>309</v>
      </c>
      <c r="BX5" s="13">
        <f t="shared" si="8"/>
        <v>3.0000000000000027E-2</v>
      </c>
      <c r="BY5" s="1">
        <v>254119.915753598</v>
      </c>
      <c r="BZ5" s="13">
        <f t="shared" si="9"/>
        <v>1.5340221910749019E-2</v>
      </c>
      <c r="CA5">
        <v>269</v>
      </c>
      <c r="CB5" s="13">
        <f t="shared" si="10"/>
        <v>-0.12944983818770228</v>
      </c>
      <c r="CC5" s="1">
        <v>250228.3670758573</v>
      </c>
      <c r="CD5" s="13">
        <f t="shared" si="11"/>
        <v>-1.5313827986288442E-2</v>
      </c>
      <c r="CE5">
        <v>295</v>
      </c>
      <c r="CF5" s="13">
        <f t="shared" si="12"/>
        <v>9.6654275092936892E-2</v>
      </c>
      <c r="CG5" s="1">
        <v>249173.93084938001</v>
      </c>
      <c r="CH5" s="13">
        <f t="shared" si="13"/>
        <v>-4.2138956458027677E-3</v>
      </c>
      <c r="CI5">
        <v>350</v>
      </c>
      <c r="CJ5" s="13">
        <f t="shared" si="14"/>
        <v>0.18644067796610164</v>
      </c>
      <c r="CK5" s="1">
        <v>247508.267151904</v>
      </c>
      <c r="CL5" s="13">
        <f t="shared" si="15"/>
        <v>-6.6847430298913046E-3</v>
      </c>
      <c r="CM5">
        <v>396</v>
      </c>
      <c r="CN5" s="13">
        <f t="shared" si="16"/>
        <v>0.13142857142857145</v>
      </c>
      <c r="CO5" s="1">
        <v>251350.54101542581</v>
      </c>
      <c r="CP5" s="13">
        <v>1.552382030602506E-2</v>
      </c>
      <c r="CQ5">
        <v>436</v>
      </c>
      <c r="CR5" s="13">
        <v>0.10101010101010099</v>
      </c>
      <c r="CS5" s="1">
        <v>248493.2046504379</v>
      </c>
      <c r="CT5" s="13">
        <f t="shared" ref="CT5:CT68" si="24">IFERROR(CS5/CO5-1,"")</f>
        <v>-1.1367934015358072E-2</v>
      </c>
      <c r="CU5">
        <v>490</v>
      </c>
      <c r="CV5" s="13">
        <f t="shared" ref="CV5:CV68" si="25">IFERROR(CU5/CQ5-1,"")</f>
        <v>0.12385321100917435</v>
      </c>
      <c r="CW5" s="1">
        <v>246434.83488881649</v>
      </c>
      <c r="CX5" s="13">
        <f t="shared" ref="CX5:CX68" si="26">IFERROR(CW5/CS5-1,"")</f>
        <v>-8.2834046287784124E-3</v>
      </c>
      <c r="CY5">
        <v>477</v>
      </c>
      <c r="CZ5" s="13">
        <f t="shared" ref="CZ5:CZ68" si="27">IFERROR(CY5/CU5-1,"")</f>
        <v>-2.6530612244897944E-2</v>
      </c>
      <c r="DA5" s="1">
        <v>245386.52501053191</v>
      </c>
      <c r="DB5" s="13">
        <f t="shared" ref="DB5:DB68" si="28">IFERROR(DA5/CW5-1,"")</f>
        <v>-4.2539029790878979E-3</v>
      </c>
      <c r="DC5">
        <v>475</v>
      </c>
      <c r="DD5" s="13">
        <f t="shared" ref="DD5:DD68" si="29">IFERROR(DC5/CY5-1,"")</f>
        <v>-4.1928721174003813E-3</v>
      </c>
      <c r="DE5" s="1">
        <v>238582.31640625949</v>
      </c>
      <c r="DF5" s="13">
        <f t="shared" ref="DF5:DF68" si="30">IFERROR(DE5/DA5-1,"")</f>
        <v>-2.7728534009682893E-2</v>
      </c>
      <c r="DG5" s="1">
        <v>434</v>
      </c>
      <c r="DH5" s="13">
        <f t="shared" ref="DH5:DH68" si="31">IFERROR(DG5/DC5-1,"")</f>
        <v>-8.6315789473684235E-2</v>
      </c>
      <c r="DI5" s="1">
        <v>236767.57078105051</v>
      </c>
      <c r="DJ5" s="13">
        <f t="shared" ref="DJ5:DJ68" si="32">IFERROR(DI5/DE5-1,"")</f>
        <v>-7.6063710527430883E-3</v>
      </c>
      <c r="DK5" s="1">
        <v>411</v>
      </c>
      <c r="DL5" s="13">
        <f t="shared" ref="DL5:DL68" si="33">IFERROR(DK5/DG5-1,"")</f>
        <v>-5.2995391705069173E-2</v>
      </c>
      <c r="DM5" s="1">
        <v>238857.19639605359</v>
      </c>
      <c r="DN5" s="13">
        <f t="shared" ref="DN5:DN68" si="34">IFERROR(DM5/DI5-1,"")</f>
        <v>8.8256411471798746E-3</v>
      </c>
      <c r="DO5" s="1">
        <v>494</v>
      </c>
      <c r="DP5" s="13">
        <f t="shared" ref="DP5:DP68" si="35">IFERROR(DO5/DK5-1,"")</f>
        <v>0.20194647201946481</v>
      </c>
      <c r="DQ5" s="1">
        <v>236329.238148331</v>
      </c>
      <c r="DR5" s="13">
        <f t="shared" ref="DR5:DR68" si="36">IFERROR(DQ5/DM5-1,"")</f>
        <v>-1.0583554884948665E-2</v>
      </c>
      <c r="DS5">
        <v>508</v>
      </c>
      <c r="DT5" s="13">
        <f t="shared" ref="DT5:DT68" si="37">IFERROR(DS5/DO5-1,"")</f>
        <v>2.8340080971659853E-2</v>
      </c>
      <c r="DU5" s="1">
        <v>235376.09785853149</v>
      </c>
      <c r="DV5" s="13">
        <f t="shared" ref="DV5:DV68" si="38">IFERROR(DU5/DQ5-1,"")</f>
        <v>-4.0331035519239888E-3</v>
      </c>
      <c r="DW5">
        <v>521</v>
      </c>
      <c r="DX5" s="13">
        <f t="shared" ref="DX5:DX68" si="39">IFERROR(DW5/DS5-1,"")</f>
        <v>2.5590551181102317E-2</v>
      </c>
      <c r="DY5" s="1">
        <v>232963.66281718909</v>
      </c>
      <c r="DZ5" s="13">
        <f t="shared" ref="DZ5:DZ68" si="40">IFERROR(DY5/DU5-1,"")</f>
        <v>-1.0249277914329058E-2</v>
      </c>
      <c r="EA5" s="1">
        <v>462</v>
      </c>
      <c r="EB5" s="13">
        <f t="shared" ref="EB5:EB68" si="41">IFERROR(EA5/DW5-1,"")</f>
        <v>-0.11324376199616126</v>
      </c>
      <c r="EC5" s="1">
        <v>233592.65835849731</v>
      </c>
      <c r="ED5" s="13">
        <f t="shared" ref="ED5:ED68" si="42">IFERROR(EC5/DY5-1,"")</f>
        <v>2.6999727498353554E-3</v>
      </c>
      <c r="EE5" s="1">
        <f>IFERROR(VLOOKUP($A5,[1]Москва_продажа_районы!$C$2:$F$148,2,0),"")</f>
        <v>407</v>
      </c>
      <c r="EF5" s="13">
        <v>-0.11904761904761907</v>
      </c>
      <c r="EG5" s="1">
        <v>233060.2152286582</v>
      </c>
      <c r="EH5" s="13">
        <f t="shared" ref="EH5:EH68" si="43">IFERROR(EG5/EC5-1,"")</f>
        <v>-2.2793658567041852E-3</v>
      </c>
      <c r="EI5" s="1">
        <f>IFERROR(VLOOKUP($A5,[2]Москва_продажа_районы!$C$2:$F$150,2,0),"")</f>
        <v>365</v>
      </c>
      <c r="EJ5" s="13">
        <v>-0.10319410319410316</v>
      </c>
      <c r="EK5" s="1">
        <v>240786.36447676879</v>
      </c>
      <c r="EL5" s="13">
        <f t="shared" ref="EL5:EL68" si="44">IFERROR(EK5/EG5-1,"")</f>
        <v>3.3150871505590818E-2</v>
      </c>
      <c r="EM5">
        <v>350</v>
      </c>
      <c r="EN5" s="13">
        <f t="shared" ref="EN5:EN68" si="45">IFERROR(EM5/EI5-1,"")</f>
        <v>-4.1095890410958957E-2</v>
      </c>
      <c r="EO5" s="1">
        <v>245588.52761580091</v>
      </c>
      <c r="EP5" s="13">
        <f t="shared" ref="EP5:EP68" si="46">IFERROR(EO5/EK5-1,"")</f>
        <v>1.9943667281439481E-2</v>
      </c>
      <c r="EQ5">
        <v>320</v>
      </c>
      <c r="ER5" s="13">
        <f t="shared" ref="ER5:ER68" si="47">IFERROR(EQ5/EM5-1,"")</f>
        <v>-8.5714285714285743E-2</v>
      </c>
      <c r="ES5" s="183">
        <v>248087.75522296989</v>
      </c>
      <c r="ET5" s="13">
        <f t="shared" ref="ET5:ET68" si="48">IFERROR(ES5/EO5-1,"")</f>
        <v>1.0176483532971847E-2</v>
      </c>
      <c r="EU5">
        <v>311</v>
      </c>
      <c r="EV5" s="13">
        <f t="shared" ref="EV5:EV68" si="49">IFERROR(EU5/EQ5-1,"")</f>
        <v>-2.8124999999999956E-2</v>
      </c>
      <c r="EW5" s="183">
        <v>249550.1395581502</v>
      </c>
      <c r="EX5" s="13">
        <f t="shared" ref="EX5:EX68" si="50">IFERROR(EW5/ES5-1,"")</f>
        <v>5.8946252057703319E-3</v>
      </c>
      <c r="EY5">
        <v>315</v>
      </c>
      <c r="EZ5" s="13">
        <f t="shared" ref="EZ5:EZ68" si="51">IFERROR(EY5/EU5-1,"")</f>
        <v>1.2861736334405238E-2</v>
      </c>
      <c r="FA5" s="1">
        <v>252952.64796658739</v>
      </c>
      <c r="FB5" s="13">
        <f t="shared" ref="FB5:FB68" si="52">IFERROR(FA5/EW5-1,"")</f>
        <v>1.3634568245329826E-2</v>
      </c>
      <c r="FC5" s="1">
        <v>257</v>
      </c>
      <c r="FD5" s="13">
        <f t="shared" ref="FD5:FD68" si="53">IFERROR(FC5/EY5-1,"")</f>
        <v>-0.18412698412698414</v>
      </c>
      <c r="FE5" s="1">
        <v>253951.60933329671</v>
      </c>
      <c r="FF5" s="13">
        <f t="shared" ref="FF5:FF68" si="54">IFERROR(FE5/FA5-1,"")</f>
        <v>3.9492030415166912E-3</v>
      </c>
      <c r="FG5" s="1">
        <v>265</v>
      </c>
      <c r="FH5" s="13">
        <f t="shared" ref="FH5:FH68" si="55">IFERROR(FG5/FC5-1,"")</f>
        <v>3.112840466926059E-2</v>
      </c>
      <c r="FI5" s="1">
        <v>252822.3343631913</v>
      </c>
      <c r="FJ5" s="13">
        <f t="shared" ref="FJ5:FJ68" si="56">IFERROR(FI5/FE5-1,"")</f>
        <v>-4.4468116310431016E-3</v>
      </c>
      <c r="FK5" s="1">
        <v>317</v>
      </c>
      <c r="FL5" s="13">
        <f t="shared" ref="FL5:FL68" si="57">IFERROR(FK5/FG5-1,"")</f>
        <v>0.19622641509433958</v>
      </c>
      <c r="FM5" s="1">
        <v>254749.84525939741</v>
      </c>
      <c r="FN5" s="13">
        <f t="shared" ref="FN5:FN68" si="58">IFERROR(FM5/FI5-1,"")</f>
        <v>7.6239739699466291E-3</v>
      </c>
      <c r="FO5" s="1">
        <v>350</v>
      </c>
      <c r="FP5" s="13">
        <f t="shared" ref="FP5:FP68" si="59">IFERROR(FO5/FK5-1,"")</f>
        <v>0.10410094637223977</v>
      </c>
      <c r="FQ5" s="1">
        <v>254697.96243312181</v>
      </c>
      <c r="FR5" s="13">
        <f t="shared" ref="FR5:FR68" si="60">IFERROR(FQ5/FM5-1,"")</f>
        <v>-2.0366185589937302E-4</v>
      </c>
      <c r="FS5">
        <v>351</v>
      </c>
      <c r="FT5" s="13">
        <f t="shared" ref="FT5:FT68" si="61">IFERROR(FS5/FO5-1,"")</f>
        <v>2.8571428571428914E-3</v>
      </c>
      <c r="FU5" s="1">
        <v>254345.23077857189</v>
      </c>
      <c r="FV5" s="13">
        <f t="shared" ref="FV5:FV68" si="62">IFERROR(FU5/FQ5-1,"")</f>
        <v>-1.3849017525711105E-3</v>
      </c>
      <c r="FW5" s="1">
        <v>387</v>
      </c>
      <c r="FX5" s="13">
        <f t="shared" ref="FX5:FX68" si="63">IFERROR(FW5/FS5-1,"")</f>
        <v>0.10256410256410264</v>
      </c>
      <c r="FY5" s="1">
        <v>253199.27894929031</v>
      </c>
      <c r="FZ5" s="13">
        <f t="shared" ref="FZ5:FZ68" si="64">IFERROR(FY5/FU5-1,"")</f>
        <v>-4.5054976095825205E-3</v>
      </c>
      <c r="GA5" s="1">
        <v>381</v>
      </c>
      <c r="GB5" s="13">
        <f t="shared" ref="GB5:GB68" si="65">IFERROR(GA5/FW5-1,"")</f>
        <v>-1.5503875968992276E-2</v>
      </c>
      <c r="GC5" s="1">
        <v>252929.1741614182</v>
      </c>
      <c r="GD5" s="13">
        <f t="shared" ref="GD5:GD68" si="66">IFERROR(GC5/FY5-1,"")</f>
        <v>-1.0667676029448847E-3</v>
      </c>
      <c r="GE5" s="1">
        <v>367</v>
      </c>
      <c r="GF5" s="13">
        <f t="shared" ref="GF5:GF68" si="67">IFERROR(GE5/GA5-1,"")</f>
        <v>-3.6745406824146953E-2</v>
      </c>
      <c r="GG5" s="1">
        <f>IFERROR(VLOOKUP(A5,[3]Москва_продажа_районы!$C$2:$F$149,3,0),"")</f>
        <v>249897.6863177997</v>
      </c>
      <c r="GH5" s="13">
        <v>-1.1985520664705152E-2</v>
      </c>
      <c r="GI5" s="1">
        <v>395</v>
      </c>
      <c r="GJ5" s="13">
        <f t="shared" ref="GJ5:GJ68" si="68">IFERROR(GI5/GE5-1,"")</f>
        <v>7.629427792915533E-2</v>
      </c>
      <c r="GK5" s="1">
        <v>251366.3467576681</v>
      </c>
      <c r="GL5" s="13">
        <f t="shared" ref="GL5:GL68" si="69">IFERROR(GK5/GG5-1,"")</f>
        <v>5.8770469687370319E-3</v>
      </c>
      <c r="GM5" s="1">
        <v>376</v>
      </c>
      <c r="GN5" s="13">
        <f t="shared" ref="GN5:GN68" si="70">IFERROR(GM5/GI5-1,"")</f>
        <v>-4.8101265822784844E-2</v>
      </c>
      <c r="GO5" s="1">
        <v>251225.21460670119</v>
      </c>
      <c r="GP5" s="13">
        <f t="shared" ref="GP5:GP68" si="71">IFERROR(GO5/GK5-1,"")</f>
        <v>-5.6146000762369308E-4</v>
      </c>
      <c r="GQ5" s="1">
        <v>387.34000000000003</v>
      </c>
      <c r="GR5" s="13">
        <f t="shared" ref="GR5:GR68" si="72">IFERROR(GQ5/GM5-1,"")</f>
        <v>3.0159574468085149E-2</v>
      </c>
      <c r="GS5" s="1">
        <v>253367.7298362437</v>
      </c>
      <c r="GT5" s="13">
        <f t="shared" si="17"/>
        <v>8.528265098296961E-3</v>
      </c>
      <c r="GU5">
        <v>389</v>
      </c>
      <c r="GV5" s="13">
        <f t="shared" si="18"/>
        <v>4.2856405225382144E-3</v>
      </c>
      <c r="GW5">
        <v>255743.7888877939</v>
      </c>
      <c r="GX5" s="13">
        <f t="shared" ref="GX5:GX68" si="73">GW5/GS5-1</f>
        <v>9.3779071750215159E-3</v>
      </c>
      <c r="GY5">
        <v>341</v>
      </c>
      <c r="GZ5" s="13">
        <f t="shared" ref="GZ5:GZ68" si="74">GY5/GU5-1</f>
        <v>-0.12339331619537275</v>
      </c>
      <c r="HA5">
        <v>260988.16703371439</v>
      </c>
      <c r="HB5" s="13">
        <v>2.0506375418647638E-2</v>
      </c>
      <c r="HC5">
        <v>303</v>
      </c>
      <c r="HD5" s="13">
        <v>-0.11143695014662758</v>
      </c>
      <c r="HE5">
        <v>261763.79661456801</v>
      </c>
      <c r="HF5" s="13">
        <v>2.971895583118167E-3</v>
      </c>
      <c r="HG5">
        <v>328</v>
      </c>
      <c r="HH5" s="13">
        <v>8.2508250825082508E-2</v>
      </c>
      <c r="HI5">
        <f>VLOOKUP(A5,[4]Москва_продажа_районы!$C$4:$F$151,3,0)</f>
        <v>261063.12588656289</v>
      </c>
      <c r="HJ5" s="13">
        <f t="shared" ref="HJ5:HJ68" si="75">HI5/HE5-1</f>
        <v>-2.6767289329807653E-3</v>
      </c>
      <c r="HK5">
        <f>VLOOKUP(A5,[4]Москва_продажа_районы!$C$4:$F$151,2,0)</f>
        <v>320</v>
      </c>
      <c r="HL5" s="13">
        <f t="shared" ref="HL5:HL68" si="76">HK5/HG5-1</f>
        <v>-2.4390243902439046E-2</v>
      </c>
      <c r="HM5" s="1">
        <f>VLOOKUP(A5,Лист3!$C$4:$F$149,3,0)</f>
        <v>262590.70549426117</v>
      </c>
      <c r="HN5" s="13">
        <f t="shared" ref="HN5:HN68" si="77">HM5/HI5-1</f>
        <v>5.8513802074140475E-3</v>
      </c>
      <c r="HO5">
        <f>VLOOKUP(A5,Лист3!$C$4:$F$149,2,0)</f>
        <v>295</v>
      </c>
      <c r="HP5" s="13">
        <f t="shared" ref="HP5:HP68" si="78">HO5/HK5-1</f>
        <v>-7.8125E-2</v>
      </c>
      <c r="HQ5" s="1">
        <v>262974.08619281289</v>
      </c>
      <c r="HR5" s="13">
        <v>1.4599934062025088E-3</v>
      </c>
      <c r="HS5">
        <v>313</v>
      </c>
      <c r="HT5" s="13">
        <v>6.1016949152542299E-2</v>
      </c>
      <c r="HU5" s="34">
        <v>261696.28187308661</v>
      </c>
      <c r="HV5" s="13">
        <v>-4.8590503278310715E-3</v>
      </c>
      <c r="HW5">
        <v>295</v>
      </c>
      <c r="HX5" s="13">
        <v>-5.7507987220447254E-2</v>
      </c>
      <c r="HY5">
        <v>261167.24052592181</v>
      </c>
      <c r="HZ5" s="13">
        <v>-2.0215852643308274E-3</v>
      </c>
      <c r="IA5">
        <v>303</v>
      </c>
      <c r="IB5" s="13">
        <v>2.7118644067796627E-2</v>
      </c>
      <c r="IC5" s="34">
        <v>261688.35499418</v>
      </c>
      <c r="ID5" s="13">
        <v>1.9953286147558202E-3</v>
      </c>
      <c r="IE5">
        <v>285</v>
      </c>
      <c r="IF5" s="13">
        <v>-5.9405940594059459E-2</v>
      </c>
    </row>
    <row r="6" spans="1:240" x14ac:dyDescent="0.3">
      <c r="A6" s="23" t="s">
        <v>22</v>
      </c>
      <c r="B6" s="22">
        <v>200541.95619916319</v>
      </c>
      <c r="C6">
        <v>239</v>
      </c>
      <c r="D6" s="22">
        <v>203466.74366805798</v>
      </c>
      <c r="E6">
        <v>242</v>
      </c>
      <c r="F6" s="22">
        <v>204543.46332721514</v>
      </c>
      <c r="G6">
        <v>158</v>
      </c>
      <c r="H6" s="22">
        <v>205885.93492731114</v>
      </c>
      <c r="I6">
        <v>150</v>
      </c>
      <c r="J6" s="22">
        <v>201864.10066927713</v>
      </c>
      <c r="K6">
        <v>203</v>
      </c>
      <c r="L6" s="22">
        <v>202149.55626610035</v>
      </c>
      <c r="M6">
        <v>189</v>
      </c>
      <c r="N6" s="22">
        <v>205228.63622334725</v>
      </c>
      <c r="O6" s="28">
        <v>197</v>
      </c>
      <c r="P6" s="35">
        <v>210708.06572469391</v>
      </c>
      <c r="Q6" s="28">
        <v>204</v>
      </c>
      <c r="R6" s="35">
        <v>216658.99991754108</v>
      </c>
      <c r="S6">
        <v>205</v>
      </c>
      <c r="T6" s="46">
        <v>222740.41855787727</v>
      </c>
      <c r="U6" s="47">
        <v>179</v>
      </c>
      <c r="V6" s="56">
        <v>226263.18253118641</v>
      </c>
      <c r="W6" s="47">
        <v>156</v>
      </c>
      <c r="X6" s="56">
        <v>225647.59843476379</v>
      </c>
      <c r="Y6" s="47">
        <v>150</v>
      </c>
      <c r="Z6" s="34">
        <v>233517.85213265655</v>
      </c>
      <c r="AA6" s="81">
        <v>169</v>
      </c>
      <c r="AB6" s="1">
        <v>236135.2628658725</v>
      </c>
      <c r="AC6">
        <v>189</v>
      </c>
      <c r="AD6" s="1">
        <v>239433.3192011021</v>
      </c>
      <c r="AE6">
        <v>148</v>
      </c>
      <c r="AF6" s="13">
        <f t="shared" si="19"/>
        <v>6.1094028307701498E-2</v>
      </c>
      <c r="AG6" s="85">
        <f t="shared" si="0"/>
        <v>4.0917887752280897E-2</v>
      </c>
      <c r="AH6" s="35" t="e">
        <f>#REF!*AG6</f>
        <v>#REF!</v>
      </c>
      <c r="AI6" s="87" t="e">
        <f t="shared" si="20"/>
        <v>#REF!</v>
      </c>
      <c r="AL6" s="1">
        <v>239335.05162922261</v>
      </c>
      <c r="AR6" s="90">
        <v>162</v>
      </c>
      <c r="AS6">
        <v>176</v>
      </c>
      <c r="AT6" s="1">
        <v>242717.9142821423</v>
      </c>
      <c r="AU6" s="13">
        <f t="shared" si="21"/>
        <v>1.413442214122651E-2</v>
      </c>
      <c r="AV6" s="35">
        <v>172</v>
      </c>
      <c r="AW6" s="1">
        <v>246581.5019277432</v>
      </c>
      <c r="AX6" s="61">
        <v>189</v>
      </c>
      <c r="AY6" s="121">
        <v>246248.256925013</v>
      </c>
      <c r="AZ6" s="122">
        <v>157</v>
      </c>
      <c r="BA6" s="119">
        <v>245153.03753862</v>
      </c>
      <c r="BB6" s="35">
        <v>168</v>
      </c>
      <c r="BC6" s="125">
        <f t="shared" si="22"/>
        <v>-4.4476228992211819E-3</v>
      </c>
      <c r="BD6">
        <v>187</v>
      </c>
      <c r="BE6" s="1">
        <v>258487.26286446239</v>
      </c>
      <c r="BF6" s="13">
        <f t="shared" si="1"/>
        <v>5.4391434263757699E-2</v>
      </c>
      <c r="BG6">
        <v>181</v>
      </c>
      <c r="BH6" s="1">
        <v>261925.59243447339</v>
      </c>
      <c r="BI6" s="13">
        <f t="shared" si="23"/>
        <v>1.3301736928577057E-2</v>
      </c>
      <c r="BJ6">
        <v>163</v>
      </c>
      <c r="BK6" s="1">
        <v>263681.80874035577</v>
      </c>
      <c r="BL6" s="13">
        <f t="shared" si="2"/>
        <v>6.7050198858353838E-3</v>
      </c>
      <c r="BM6" s="1">
        <v>269467.98687836679</v>
      </c>
      <c r="BN6" s="109">
        <f t="shared" si="3"/>
        <v>2.1943789621485132E-2</v>
      </c>
      <c r="BO6">
        <v>159</v>
      </c>
      <c r="BP6" s="13">
        <f t="shared" si="4"/>
        <v>-2.4539877300613466E-2</v>
      </c>
      <c r="BQ6" s="1">
        <v>279451.00147323642</v>
      </c>
      <c r="BR6" s="13">
        <f t="shared" si="5"/>
        <v>3.7047126489929916E-2</v>
      </c>
      <c r="BS6">
        <v>176</v>
      </c>
      <c r="BT6" s="13">
        <f t="shared" si="6"/>
        <v>0.10691823899371067</v>
      </c>
      <c r="BU6" s="1">
        <v>288837.55533770018</v>
      </c>
      <c r="BV6" s="13">
        <f t="shared" si="7"/>
        <v>3.3589265434651683E-2</v>
      </c>
      <c r="BW6">
        <v>168</v>
      </c>
      <c r="BX6" s="13">
        <f t="shared" si="8"/>
        <v>-4.5454545454545414E-2</v>
      </c>
      <c r="BY6" s="1">
        <v>286546.19392898289</v>
      </c>
      <c r="BZ6" s="13">
        <f t="shared" si="9"/>
        <v>-7.9330452926673622E-3</v>
      </c>
      <c r="CA6">
        <v>147</v>
      </c>
      <c r="CB6" s="13">
        <f t="shared" si="10"/>
        <v>-0.125</v>
      </c>
      <c r="CC6" s="1">
        <v>281641.57197227201</v>
      </c>
      <c r="CD6" s="13">
        <f t="shared" si="11"/>
        <v>-1.7116339566270566E-2</v>
      </c>
      <c r="CE6">
        <v>158</v>
      </c>
      <c r="CF6" s="13">
        <f t="shared" si="12"/>
        <v>7.4829931972789199E-2</v>
      </c>
      <c r="CG6" s="1">
        <v>276168.48669739201</v>
      </c>
      <c r="CH6" s="13">
        <f t="shared" si="13"/>
        <v>-1.9432803320025616E-2</v>
      </c>
      <c r="CI6">
        <v>188</v>
      </c>
      <c r="CJ6" s="13">
        <f t="shared" si="14"/>
        <v>0.18987341772151889</v>
      </c>
      <c r="CK6" s="1">
        <v>276429.85079461947</v>
      </c>
      <c r="CL6" s="13">
        <f t="shared" si="15"/>
        <v>9.4639363220982986E-4</v>
      </c>
      <c r="CM6">
        <v>207</v>
      </c>
      <c r="CN6" s="13">
        <f t="shared" si="16"/>
        <v>0.10106382978723394</v>
      </c>
      <c r="CO6" s="1">
        <v>274780.0369302191</v>
      </c>
      <c r="CP6" s="13">
        <v>-5.968291266872483E-3</v>
      </c>
      <c r="CQ6">
        <v>222</v>
      </c>
      <c r="CR6" s="13">
        <v>7.2463768115942129E-2</v>
      </c>
      <c r="CS6" s="1">
        <v>270216.96822805598</v>
      </c>
      <c r="CT6" s="13">
        <f t="shared" si="24"/>
        <v>-1.6606259876593255E-2</v>
      </c>
      <c r="CU6">
        <v>269</v>
      </c>
      <c r="CV6" s="13">
        <f t="shared" si="25"/>
        <v>0.21171171171171177</v>
      </c>
      <c r="CW6" s="1">
        <v>264650.755419761</v>
      </c>
      <c r="CX6" s="13">
        <f t="shared" si="26"/>
        <v>-2.0599049884969634E-2</v>
      </c>
      <c r="CY6">
        <v>272</v>
      </c>
      <c r="CZ6" s="13">
        <f t="shared" si="27"/>
        <v>1.1152416356877248E-2</v>
      </c>
      <c r="DA6" s="1">
        <v>264361.67237975693</v>
      </c>
      <c r="DB6" s="13">
        <f t="shared" si="28"/>
        <v>-1.0923189678622158E-3</v>
      </c>
      <c r="DC6">
        <v>257</v>
      </c>
      <c r="DD6" s="13">
        <f t="shared" si="29"/>
        <v>-5.5147058823529438E-2</v>
      </c>
      <c r="DE6" s="1">
        <v>262742.37706276681</v>
      </c>
      <c r="DF6" s="13">
        <f t="shared" si="30"/>
        <v>-6.1253028943771826E-3</v>
      </c>
      <c r="DG6" s="1">
        <v>249</v>
      </c>
      <c r="DH6" s="13">
        <f t="shared" si="31"/>
        <v>-3.1128404669260701E-2</v>
      </c>
      <c r="DI6" s="1">
        <v>260318.88900098379</v>
      </c>
      <c r="DJ6" s="13">
        <f t="shared" si="32"/>
        <v>-9.2238187416721074E-3</v>
      </c>
      <c r="DK6" s="1">
        <v>223</v>
      </c>
      <c r="DL6" s="13">
        <f t="shared" si="33"/>
        <v>-0.10441767068273089</v>
      </c>
      <c r="DM6" s="1">
        <v>263145.44407584053</v>
      </c>
      <c r="DN6" s="13">
        <f t="shared" si="34"/>
        <v>1.0858048317984537E-2</v>
      </c>
      <c r="DO6" s="1">
        <v>247</v>
      </c>
      <c r="DP6" s="13">
        <f t="shared" si="35"/>
        <v>0.10762331838565031</v>
      </c>
      <c r="DQ6" s="1">
        <v>259772.52576094901</v>
      </c>
      <c r="DR6" s="13">
        <f t="shared" si="36"/>
        <v>-1.2817696033982751E-2</v>
      </c>
      <c r="DS6">
        <v>234</v>
      </c>
      <c r="DT6" s="13">
        <f t="shared" si="37"/>
        <v>-5.2631578947368474E-2</v>
      </c>
      <c r="DU6" s="1">
        <v>263900.74177917722</v>
      </c>
      <c r="DV6" s="13">
        <f t="shared" si="38"/>
        <v>1.5891657542057125E-2</v>
      </c>
      <c r="DW6">
        <v>232</v>
      </c>
      <c r="DX6" s="13">
        <f t="shared" si="39"/>
        <v>-8.5470085470085166E-3</v>
      </c>
      <c r="DY6" s="1">
        <v>266018.60049169941</v>
      </c>
      <c r="DZ6" s="13">
        <f t="shared" si="40"/>
        <v>8.025209395941646E-3</v>
      </c>
      <c r="EA6" s="1">
        <v>239</v>
      </c>
      <c r="EB6" s="13">
        <f t="shared" si="41"/>
        <v>3.0172413793103425E-2</v>
      </c>
      <c r="EC6" s="1">
        <v>271309.21750392602</v>
      </c>
      <c r="ED6" s="13">
        <f t="shared" si="42"/>
        <v>1.9888146928251027E-2</v>
      </c>
      <c r="EE6" s="1">
        <f>IFERROR(VLOOKUP($A6,[1]Москва_продажа_районы!$C$2:$F$148,2,0),"")</f>
        <v>243</v>
      </c>
      <c r="EF6" s="13">
        <v>1.6736401673640211E-2</v>
      </c>
      <c r="EG6" s="1">
        <v>266910.18093687919</v>
      </c>
      <c r="EH6" s="13">
        <f t="shared" si="43"/>
        <v>-1.6214106573740672E-2</v>
      </c>
      <c r="EI6" s="1">
        <f>IFERROR(VLOOKUP($A6,[2]Москва_продажа_районы!$C$2:$F$150,2,0),"")</f>
        <v>219</v>
      </c>
      <c r="EJ6" s="13">
        <v>-9.8765432098765427E-2</v>
      </c>
      <c r="EK6" s="1">
        <v>264686.88233989908</v>
      </c>
      <c r="EL6" s="13">
        <f t="shared" si="44"/>
        <v>-8.3297631779204462E-3</v>
      </c>
      <c r="EM6">
        <v>199</v>
      </c>
      <c r="EN6" s="13">
        <f t="shared" si="45"/>
        <v>-9.1324200913242004E-2</v>
      </c>
      <c r="EO6" s="1">
        <v>272735.08602573111</v>
      </c>
      <c r="EP6" s="13">
        <f t="shared" si="46"/>
        <v>3.0406507548405459E-2</v>
      </c>
      <c r="EQ6">
        <v>187</v>
      </c>
      <c r="ER6" s="13">
        <f t="shared" si="47"/>
        <v>-6.0301507537688481E-2</v>
      </c>
      <c r="ES6" s="183">
        <v>278587.97039432579</v>
      </c>
      <c r="ET6" s="13">
        <f t="shared" si="48"/>
        <v>2.1459961216880208E-2</v>
      </c>
      <c r="EU6">
        <v>211</v>
      </c>
      <c r="EV6" s="13">
        <f t="shared" si="49"/>
        <v>0.12834224598930488</v>
      </c>
      <c r="EW6" s="183">
        <v>284772.79631023749</v>
      </c>
      <c r="EX6" s="13">
        <f t="shared" si="50"/>
        <v>2.2200620892414813E-2</v>
      </c>
      <c r="EY6">
        <v>189</v>
      </c>
      <c r="EZ6" s="13">
        <f t="shared" si="51"/>
        <v>-0.10426540284360186</v>
      </c>
      <c r="FA6" s="1">
        <v>289552.66735373979</v>
      </c>
      <c r="FB6" s="13">
        <f t="shared" si="52"/>
        <v>1.6784858334203401E-2</v>
      </c>
      <c r="FC6" s="1">
        <v>181</v>
      </c>
      <c r="FD6" s="13">
        <f t="shared" si="53"/>
        <v>-4.2328042328042326E-2</v>
      </c>
      <c r="FE6" s="1">
        <v>289933.023516891</v>
      </c>
      <c r="FF6" s="13">
        <f t="shared" si="54"/>
        <v>1.3135992378427996E-3</v>
      </c>
      <c r="FG6" s="1">
        <v>176</v>
      </c>
      <c r="FH6" s="13">
        <f t="shared" si="55"/>
        <v>-2.7624309392265234E-2</v>
      </c>
      <c r="FI6" s="1">
        <v>291523.86669622362</v>
      </c>
      <c r="FJ6" s="13">
        <f t="shared" si="56"/>
        <v>5.4869333614904203E-3</v>
      </c>
      <c r="FK6" s="1">
        <v>187</v>
      </c>
      <c r="FL6" s="13">
        <f t="shared" si="57"/>
        <v>6.25E-2</v>
      </c>
      <c r="FM6" s="1">
        <v>287772.52960207732</v>
      </c>
      <c r="FN6" s="13">
        <f t="shared" si="58"/>
        <v>-1.2868027364823953E-2</v>
      </c>
      <c r="FO6" s="1">
        <v>214</v>
      </c>
      <c r="FP6" s="13">
        <f t="shared" si="59"/>
        <v>0.14438502673796783</v>
      </c>
      <c r="FQ6" s="1">
        <v>288787.22766445961</v>
      </c>
      <c r="FR6" s="13">
        <f t="shared" si="60"/>
        <v>3.526042127041773E-3</v>
      </c>
      <c r="FS6">
        <v>222</v>
      </c>
      <c r="FT6" s="13">
        <f t="shared" si="61"/>
        <v>3.7383177570093462E-2</v>
      </c>
      <c r="FU6" s="1">
        <v>289655.71219301713</v>
      </c>
      <c r="FV6" s="13">
        <f t="shared" si="62"/>
        <v>3.0073508983805564E-3</v>
      </c>
      <c r="FW6" s="1">
        <v>228</v>
      </c>
      <c r="FX6" s="13">
        <f t="shared" si="63"/>
        <v>2.7027027027026973E-2</v>
      </c>
      <c r="FY6" s="1">
        <v>293074.20473166421</v>
      </c>
      <c r="FZ6" s="13">
        <f t="shared" si="64"/>
        <v>1.1801916533132673E-2</v>
      </c>
      <c r="GA6" s="1">
        <v>246</v>
      </c>
      <c r="GB6" s="13">
        <f t="shared" si="65"/>
        <v>7.8947368421052655E-2</v>
      </c>
      <c r="GC6" s="1">
        <v>290140.80682072713</v>
      </c>
      <c r="GD6" s="13">
        <f t="shared" si="66"/>
        <v>-1.0009062085907128E-2</v>
      </c>
      <c r="GE6" s="1">
        <v>241</v>
      </c>
      <c r="GF6" s="13">
        <f t="shared" si="67"/>
        <v>-2.0325203252032575E-2</v>
      </c>
      <c r="GG6" s="1">
        <f>IFERROR(VLOOKUP(A6,[3]Москва_продажа_районы!$C$2:$F$149,3,0),"")</f>
        <v>284412.52929667331</v>
      </c>
      <c r="GH6" s="13">
        <v>-1.9743095040034242E-2</v>
      </c>
      <c r="GI6" s="1">
        <v>243</v>
      </c>
      <c r="GJ6" s="13">
        <f t="shared" si="68"/>
        <v>8.2987551867219622E-3</v>
      </c>
      <c r="GK6" s="1">
        <v>289221.10446697351</v>
      </c>
      <c r="GL6" s="13">
        <f t="shared" si="69"/>
        <v>1.6907044082028921E-2</v>
      </c>
      <c r="GM6" s="1">
        <v>247</v>
      </c>
      <c r="GN6" s="13">
        <f t="shared" si="70"/>
        <v>1.6460905349794164E-2</v>
      </c>
      <c r="GO6" s="1">
        <v>289157.09767765063</v>
      </c>
      <c r="GP6" s="13">
        <f t="shared" si="71"/>
        <v>-2.2130746454640526E-4</v>
      </c>
      <c r="GQ6" s="1">
        <v>264.29000000000002</v>
      </c>
      <c r="GR6" s="13">
        <f t="shared" si="72"/>
        <v>7.0000000000000062E-2</v>
      </c>
      <c r="GS6" s="1">
        <v>286099.46709153662</v>
      </c>
      <c r="GT6" s="13">
        <f t="shared" si="17"/>
        <v>-1.0574288546507105E-2</v>
      </c>
      <c r="GU6">
        <v>258</v>
      </c>
      <c r="GV6" s="13">
        <f t="shared" si="18"/>
        <v>-2.3799614060312613E-2</v>
      </c>
      <c r="GW6">
        <v>285932.93980979902</v>
      </c>
      <c r="GX6" s="13">
        <f t="shared" si="73"/>
        <v>-5.8206078966349661E-4</v>
      </c>
      <c r="GY6">
        <v>234</v>
      </c>
      <c r="GZ6" s="13">
        <f t="shared" si="74"/>
        <v>-9.3023255813953543E-2</v>
      </c>
      <c r="HA6">
        <v>288881.19441343512</v>
      </c>
      <c r="HB6" s="13">
        <v>1.0311000214236365E-2</v>
      </c>
      <c r="HC6">
        <v>211</v>
      </c>
      <c r="HD6" s="13">
        <v>-9.8290598290598274E-2</v>
      </c>
      <c r="HE6">
        <v>295716.42036130099</v>
      </c>
      <c r="HF6" s="13">
        <v>2.3661027716755934E-2</v>
      </c>
      <c r="HG6">
        <v>216</v>
      </c>
      <c r="HH6" s="13">
        <v>2.3696682464454888E-2</v>
      </c>
      <c r="HI6">
        <f>VLOOKUP(A6,[4]Москва_продажа_районы!$C$4:$F$151,3,0)</f>
        <v>294801.3783448044</v>
      </c>
      <c r="HJ6" s="13">
        <f t="shared" si="75"/>
        <v>-3.0943226466038087E-3</v>
      </c>
      <c r="HK6">
        <f>VLOOKUP(A6,[4]Москва_продажа_районы!$C$4:$F$151,2,0)</f>
        <v>216</v>
      </c>
      <c r="HL6" s="13">
        <f t="shared" si="76"/>
        <v>0</v>
      </c>
      <c r="HM6" s="1">
        <f>VLOOKUP(A6,Лист3!$C$4:$F$149,3,0)</f>
        <v>300016.31813922332</v>
      </c>
      <c r="HN6" s="13">
        <f t="shared" si="77"/>
        <v>1.7689672360756248E-2</v>
      </c>
      <c r="HO6">
        <f>VLOOKUP(A6,Лист3!$C$4:$F$149,2,0)</f>
        <v>223</v>
      </c>
      <c r="HP6" s="13">
        <f t="shared" si="78"/>
        <v>3.240740740740744E-2</v>
      </c>
      <c r="HQ6" s="1">
        <v>301658.16514922841</v>
      </c>
      <c r="HR6" s="13">
        <v>5.472525695229713E-3</v>
      </c>
      <c r="HS6">
        <v>218</v>
      </c>
      <c r="HT6" s="13">
        <v>-2.2421524663677084E-2</v>
      </c>
      <c r="HU6" s="34">
        <v>305031.51600851718</v>
      </c>
      <c r="HV6" s="13">
        <v>1.1182693687803891E-2</v>
      </c>
      <c r="HW6">
        <v>207</v>
      </c>
      <c r="HX6" s="13">
        <v>-5.0458715596330306E-2</v>
      </c>
      <c r="HY6">
        <v>302776.23719038873</v>
      </c>
      <c r="HZ6" s="13">
        <v>-7.3935927921149336E-3</v>
      </c>
      <c r="IA6">
        <v>208</v>
      </c>
      <c r="IB6" s="13">
        <v>4.8309178743961567E-3</v>
      </c>
      <c r="IC6" s="34">
        <v>297849.18075276958</v>
      </c>
      <c r="ID6" s="13">
        <v>-1.6272929749506559E-2</v>
      </c>
      <c r="IE6">
        <v>208</v>
      </c>
      <c r="IF6" s="13">
        <v>0</v>
      </c>
    </row>
    <row r="7" spans="1:240" x14ac:dyDescent="0.3">
      <c r="A7" s="23" t="s">
        <v>23</v>
      </c>
      <c r="B7" s="22">
        <v>136636.92378965515</v>
      </c>
      <c r="C7">
        <v>29</v>
      </c>
      <c r="D7" s="22">
        <v>140792.01611333335</v>
      </c>
      <c r="E7">
        <v>30</v>
      </c>
      <c r="F7" s="22">
        <v>142793.60507727278</v>
      </c>
      <c r="G7">
        <v>22</v>
      </c>
      <c r="H7" s="22">
        <v>147040.06148157502</v>
      </c>
      <c r="I7">
        <v>16</v>
      </c>
      <c r="J7" s="22">
        <v>142823.6912987628</v>
      </c>
      <c r="K7">
        <v>23</v>
      </c>
      <c r="L7" s="22">
        <v>154896.98509113927</v>
      </c>
      <c r="M7">
        <v>19</v>
      </c>
      <c r="N7" s="22">
        <v>152014.64900437903</v>
      </c>
      <c r="O7" s="28">
        <v>20</v>
      </c>
      <c r="P7" s="35">
        <v>158921</v>
      </c>
      <c r="Q7" s="28">
        <v>19</v>
      </c>
      <c r="R7" s="35">
        <v>161752.93269123466</v>
      </c>
      <c r="S7">
        <v>27</v>
      </c>
      <c r="T7" s="46">
        <v>166821.56374242125</v>
      </c>
      <c r="U7" s="47">
        <v>24</v>
      </c>
      <c r="V7" s="56">
        <v>160480.71725947261</v>
      </c>
      <c r="W7" s="47">
        <v>18</v>
      </c>
      <c r="X7" s="56">
        <v>168984.2700070313</v>
      </c>
      <c r="Y7" s="47">
        <v>17</v>
      </c>
      <c r="Z7" s="34">
        <v>165000</v>
      </c>
      <c r="AA7" s="81">
        <v>22</v>
      </c>
      <c r="AB7" s="1">
        <v>168142.97955280601</v>
      </c>
      <c r="AC7">
        <v>42</v>
      </c>
      <c r="AD7" s="1">
        <v>184860.58644512179</v>
      </c>
      <c r="AE7">
        <v>29</v>
      </c>
      <c r="AF7" s="13">
        <f t="shared" si="19"/>
        <v>9.3951445524662613E-2</v>
      </c>
      <c r="AG7" s="85">
        <f t="shared" si="0"/>
        <v>8.0176942217307159E-3</v>
      </c>
      <c r="AH7" s="35" t="e">
        <f>#REF!*AG7</f>
        <v>#REF!</v>
      </c>
      <c r="AI7" s="87" t="e">
        <f t="shared" si="20"/>
        <v>#REF!</v>
      </c>
      <c r="AL7" s="1">
        <v>185961.40958173291</v>
      </c>
      <c r="AR7" s="90">
        <v>25</v>
      </c>
      <c r="AS7">
        <v>22</v>
      </c>
      <c r="AT7" s="1">
        <v>184056.0469295551</v>
      </c>
      <c r="AU7" s="13">
        <f t="shared" si="21"/>
        <v>-1.0246011021659673E-2</v>
      </c>
      <c r="AV7">
        <v>28</v>
      </c>
      <c r="AW7" s="1">
        <v>183293.94840756719</v>
      </c>
      <c r="AX7" s="61">
        <v>41</v>
      </c>
      <c r="AY7" s="121">
        <v>180585.77358901771</v>
      </c>
      <c r="AZ7" s="122">
        <v>18</v>
      </c>
      <c r="BA7" s="119">
        <v>182493.44586517001</v>
      </c>
      <c r="BB7" s="35">
        <v>24</v>
      </c>
      <c r="BC7" s="125">
        <f t="shared" si="22"/>
        <v>1.0563801556670915E-2</v>
      </c>
      <c r="BD7">
        <v>21</v>
      </c>
      <c r="BE7" s="1">
        <v>198203.93728094301</v>
      </c>
      <c r="BF7" s="13">
        <f t="shared" si="1"/>
        <v>8.6087976153292889E-2</v>
      </c>
      <c r="BG7">
        <v>18</v>
      </c>
      <c r="BH7" s="1">
        <v>195194.5799296895</v>
      </c>
      <c r="BI7" s="13">
        <f t="shared" si="23"/>
        <v>-1.5183136079622406E-2</v>
      </c>
      <c r="BJ7">
        <v>20</v>
      </c>
      <c r="BK7" s="1">
        <v>202524.2641586274</v>
      </c>
      <c r="BL7" s="13">
        <f t="shared" si="2"/>
        <v>3.755065448834749E-2</v>
      </c>
      <c r="BM7" s="1">
        <v>208364.88697658619</v>
      </c>
      <c r="BN7" s="109">
        <f t="shared" si="3"/>
        <v>2.883912622629814E-2</v>
      </c>
      <c r="BO7">
        <v>15</v>
      </c>
      <c r="BP7" s="13">
        <f t="shared" si="4"/>
        <v>-0.25</v>
      </c>
      <c r="BQ7" s="1">
        <v>202865.7960595834</v>
      </c>
      <c r="BR7" s="13">
        <f t="shared" si="5"/>
        <v>-2.6391639190247673E-2</v>
      </c>
      <c r="BS7">
        <v>19</v>
      </c>
      <c r="BT7" s="13">
        <f t="shared" si="6"/>
        <v>0.26666666666666661</v>
      </c>
      <c r="BU7" s="1">
        <v>208173.60042556329</v>
      </c>
      <c r="BV7" s="13">
        <f t="shared" si="7"/>
        <v>2.6164116716949959E-2</v>
      </c>
      <c r="BW7">
        <v>16</v>
      </c>
      <c r="BX7" s="13">
        <f t="shared" si="8"/>
        <v>-0.15789473684210531</v>
      </c>
      <c r="BY7" s="1">
        <v>222442.5170338907</v>
      </c>
      <c r="BZ7" s="13">
        <f t="shared" si="9"/>
        <v>6.8543353139677077E-2</v>
      </c>
      <c r="CA7">
        <v>15</v>
      </c>
      <c r="CB7" s="13">
        <f t="shared" si="10"/>
        <v>-6.25E-2</v>
      </c>
      <c r="CC7" s="1">
        <v>225364.89299298779</v>
      </c>
      <c r="CD7" s="13">
        <f t="shared" si="11"/>
        <v>1.3137668095402066E-2</v>
      </c>
      <c r="CE7">
        <v>14</v>
      </c>
      <c r="CF7" s="13">
        <f t="shared" si="12"/>
        <v>-6.6666666666666652E-2</v>
      </c>
      <c r="CG7" s="1">
        <v>218294.65933906951</v>
      </c>
      <c r="CH7" s="13">
        <f t="shared" si="13"/>
        <v>-3.1372382628106488E-2</v>
      </c>
      <c r="CI7">
        <v>12</v>
      </c>
      <c r="CJ7" s="13">
        <f t="shared" si="14"/>
        <v>-0.1428571428571429</v>
      </c>
      <c r="CK7" s="1">
        <v>215394.64499585461</v>
      </c>
      <c r="CL7" s="13">
        <f t="shared" si="15"/>
        <v>-1.3284861626918665E-2</v>
      </c>
      <c r="CM7">
        <v>23</v>
      </c>
      <c r="CN7" s="13">
        <f t="shared" si="16"/>
        <v>0.91666666666666674</v>
      </c>
      <c r="CO7" s="1">
        <v>217866.41798855879</v>
      </c>
      <c r="CP7" s="13">
        <v>1.14755545234273E-2</v>
      </c>
      <c r="CQ7">
        <v>22</v>
      </c>
      <c r="CR7" s="13">
        <v>-4.3478260869565188E-2</v>
      </c>
      <c r="CS7" s="1">
        <v>210200.923394585</v>
      </c>
      <c r="CT7" s="13">
        <f t="shared" si="24"/>
        <v>-3.5184378871902844E-2</v>
      </c>
      <c r="CU7">
        <v>30</v>
      </c>
      <c r="CV7" s="13">
        <f t="shared" si="25"/>
        <v>0.36363636363636354</v>
      </c>
      <c r="CW7" s="1">
        <v>208269.48228007459</v>
      </c>
      <c r="CX7" s="13">
        <f t="shared" si="26"/>
        <v>-9.188547240036371E-3</v>
      </c>
      <c r="CY7">
        <v>35</v>
      </c>
      <c r="CZ7" s="13">
        <f t="shared" si="27"/>
        <v>0.16666666666666674</v>
      </c>
      <c r="DA7" s="1">
        <v>198957.7134263262</v>
      </c>
      <c r="DB7" s="13">
        <f t="shared" si="28"/>
        <v>-4.4710193504136186E-2</v>
      </c>
      <c r="DC7">
        <v>45</v>
      </c>
      <c r="DD7" s="13">
        <f t="shared" si="29"/>
        <v>0.28571428571428581</v>
      </c>
      <c r="DE7" s="1">
        <v>202499.1105622864</v>
      </c>
      <c r="DF7" s="13">
        <f t="shared" si="30"/>
        <v>1.7799747870904215E-2</v>
      </c>
      <c r="DG7" s="1">
        <v>45</v>
      </c>
      <c r="DH7" s="13">
        <f t="shared" si="31"/>
        <v>0</v>
      </c>
      <c r="DI7" s="1">
        <v>212450.7412944799</v>
      </c>
      <c r="DJ7" s="13">
        <f t="shared" si="32"/>
        <v>4.9144071322389848E-2</v>
      </c>
      <c r="DK7" s="1">
        <v>48</v>
      </c>
      <c r="DL7" s="13">
        <f t="shared" si="33"/>
        <v>6.6666666666666652E-2</v>
      </c>
      <c r="DM7" s="1">
        <v>203151.9488791512</v>
      </c>
      <c r="DN7" s="13">
        <f t="shared" si="34"/>
        <v>-4.3769169072653713E-2</v>
      </c>
      <c r="DO7" s="1">
        <v>41</v>
      </c>
      <c r="DP7" s="13">
        <f t="shared" si="35"/>
        <v>-0.14583333333333337</v>
      </c>
      <c r="DQ7" s="1">
        <v>204471.31132583381</v>
      </c>
      <c r="DR7" s="13">
        <f t="shared" si="36"/>
        <v>6.4944611851469602E-3</v>
      </c>
      <c r="DS7">
        <v>43</v>
      </c>
      <c r="DT7" s="13">
        <f t="shared" si="37"/>
        <v>4.8780487804878092E-2</v>
      </c>
      <c r="DU7" s="1">
        <v>206669.32118934131</v>
      </c>
      <c r="DV7" s="13">
        <f t="shared" si="38"/>
        <v>1.0749722536893547E-2</v>
      </c>
      <c r="DW7">
        <v>42</v>
      </c>
      <c r="DX7" s="13">
        <f t="shared" si="39"/>
        <v>-2.3255813953488413E-2</v>
      </c>
      <c r="DY7" s="1">
        <v>210766.52395962109</v>
      </c>
      <c r="DZ7" s="13">
        <f t="shared" si="40"/>
        <v>1.9824920054419159E-2</v>
      </c>
      <c r="EA7" s="1">
        <v>37</v>
      </c>
      <c r="EB7" s="13">
        <f t="shared" si="41"/>
        <v>-0.11904761904761907</v>
      </c>
      <c r="EC7" s="1">
        <v>209434.10244116871</v>
      </c>
      <c r="ED7" s="13">
        <f t="shared" si="42"/>
        <v>-6.3217891220127553E-3</v>
      </c>
      <c r="EE7" s="1">
        <f>IFERROR(VLOOKUP($A7,[1]Москва_продажа_районы!$C$2:$F$148,2,0),"")</f>
        <v>39</v>
      </c>
      <c r="EF7" s="13">
        <v>5.4054054054053946E-2</v>
      </c>
      <c r="EG7" s="1">
        <v>210426.29252343011</v>
      </c>
      <c r="EH7" s="13">
        <f t="shared" si="43"/>
        <v>4.7374810057025929E-3</v>
      </c>
      <c r="EI7" s="1">
        <f>IFERROR(VLOOKUP($A7,[2]Москва_продажа_районы!$C$2:$F$150,2,0),"")</f>
        <v>45</v>
      </c>
      <c r="EJ7" s="13">
        <v>0.15384615384615374</v>
      </c>
      <c r="EK7" s="1">
        <v>209983.82081501599</v>
      </c>
      <c r="EL7" s="13">
        <f t="shared" si="44"/>
        <v>-2.1027396486816841E-3</v>
      </c>
      <c r="EM7">
        <v>47</v>
      </c>
      <c r="EN7" s="13">
        <f t="shared" si="45"/>
        <v>4.4444444444444509E-2</v>
      </c>
      <c r="EO7" s="1">
        <v>209850.04572844281</v>
      </c>
      <c r="EP7" s="13">
        <f t="shared" si="46"/>
        <v>-6.3707330428575126E-4</v>
      </c>
      <c r="EQ7">
        <v>40</v>
      </c>
      <c r="ER7" s="13">
        <f t="shared" si="47"/>
        <v>-0.14893617021276595</v>
      </c>
      <c r="ES7" s="183">
        <v>216588.71035116879</v>
      </c>
      <c r="ET7" s="13">
        <f t="shared" si="48"/>
        <v>3.211180916989731E-2</v>
      </c>
      <c r="EU7">
        <v>25</v>
      </c>
      <c r="EV7" s="13">
        <f t="shared" si="49"/>
        <v>-0.375</v>
      </c>
      <c r="EW7" s="183">
        <v>214338.24731880019</v>
      </c>
      <c r="EX7" s="13">
        <f t="shared" si="50"/>
        <v>-1.0390490938885E-2</v>
      </c>
      <c r="EY7">
        <v>29</v>
      </c>
      <c r="EZ7" s="13">
        <f t="shared" si="51"/>
        <v>0.15999999999999992</v>
      </c>
      <c r="FA7" s="1">
        <v>209781.92614197361</v>
      </c>
      <c r="FB7" s="13">
        <f t="shared" si="52"/>
        <v>-2.12576207644809E-2</v>
      </c>
      <c r="FC7" s="1">
        <v>29</v>
      </c>
      <c r="FD7" s="13">
        <f t="shared" si="53"/>
        <v>0</v>
      </c>
      <c r="FE7" s="1">
        <v>214695.98773342819</v>
      </c>
      <c r="FF7" s="13">
        <f t="shared" si="54"/>
        <v>2.3424618516129536E-2</v>
      </c>
      <c r="FG7" s="1">
        <v>23</v>
      </c>
      <c r="FH7" s="13">
        <f t="shared" si="55"/>
        <v>-0.2068965517241379</v>
      </c>
      <c r="FI7" s="1">
        <v>214313.57326430999</v>
      </c>
      <c r="FJ7" s="13">
        <f t="shared" si="56"/>
        <v>-1.7811905716329512E-3</v>
      </c>
      <c r="FK7" s="1">
        <v>27</v>
      </c>
      <c r="FL7" s="13">
        <f t="shared" si="57"/>
        <v>0.17391304347826098</v>
      </c>
      <c r="FM7" s="1">
        <v>210749.08963099201</v>
      </c>
      <c r="FN7" s="13">
        <f t="shared" si="58"/>
        <v>-1.6632094640697148E-2</v>
      </c>
      <c r="FO7" s="1">
        <v>31</v>
      </c>
      <c r="FP7" s="13">
        <f t="shared" si="59"/>
        <v>0.14814814814814814</v>
      </c>
      <c r="FQ7" s="1">
        <v>215547.58552196619</v>
      </c>
      <c r="FR7" s="13">
        <f t="shared" si="60"/>
        <v>2.2768762130247033E-2</v>
      </c>
      <c r="FS7">
        <v>31</v>
      </c>
      <c r="FT7" s="13">
        <f t="shared" si="61"/>
        <v>0</v>
      </c>
      <c r="FU7" s="1">
        <v>215375.6972830263</v>
      </c>
      <c r="FV7" s="13">
        <f t="shared" si="62"/>
        <v>-7.9744915037505137E-4</v>
      </c>
      <c r="FW7" s="1">
        <v>25</v>
      </c>
      <c r="FX7" s="13">
        <f t="shared" si="63"/>
        <v>-0.19354838709677424</v>
      </c>
      <c r="FY7" s="1">
        <v>218832.28727526139</v>
      </c>
      <c r="FZ7" s="13">
        <f t="shared" si="64"/>
        <v>1.6049118056680189E-2</v>
      </c>
      <c r="GA7" s="1">
        <v>33</v>
      </c>
      <c r="GB7" s="13">
        <f t="shared" si="65"/>
        <v>0.32000000000000006</v>
      </c>
      <c r="GC7" s="1">
        <v>237587.25903763689</v>
      </c>
      <c r="GD7" s="13">
        <f t="shared" si="66"/>
        <v>8.5704774171575071E-2</v>
      </c>
      <c r="GE7" s="1">
        <v>56</v>
      </c>
      <c r="GF7" s="13">
        <f t="shared" si="67"/>
        <v>0.69696969696969702</v>
      </c>
      <c r="GG7" s="1">
        <f>IFERROR(VLOOKUP(A7,[3]Москва_продажа_районы!$C$2:$F$149,3,0),"")</f>
        <v>237491.56918397921</v>
      </c>
      <c r="GH7" s="13">
        <v>-4.0275667157096962E-4</v>
      </c>
      <c r="GI7" s="1">
        <v>54</v>
      </c>
      <c r="GJ7" s="13">
        <f t="shared" si="68"/>
        <v>-3.5714285714285698E-2</v>
      </c>
      <c r="GK7" s="1">
        <v>225875.13201079011</v>
      </c>
      <c r="GL7" s="13">
        <f t="shared" si="69"/>
        <v>-4.8913050737351083E-2</v>
      </c>
      <c r="GM7" s="1">
        <v>37</v>
      </c>
      <c r="GN7" s="13">
        <f t="shared" si="70"/>
        <v>-0.31481481481481477</v>
      </c>
      <c r="GO7" s="1">
        <v>227863.2503540699</v>
      </c>
      <c r="GP7" s="13">
        <f t="shared" si="71"/>
        <v>8.8018469566839563E-3</v>
      </c>
      <c r="GQ7" s="1">
        <v>35.31</v>
      </c>
      <c r="GR7" s="13">
        <f t="shared" si="72"/>
        <v>-4.5675675675675653E-2</v>
      </c>
      <c r="GS7" s="1">
        <v>226293.9470241158</v>
      </c>
      <c r="GT7" s="13">
        <f t="shared" si="17"/>
        <v>-6.8870400449199121E-3</v>
      </c>
      <c r="GU7">
        <v>33</v>
      </c>
      <c r="GV7" s="13">
        <f t="shared" si="18"/>
        <v>-6.5420560747663559E-2</v>
      </c>
      <c r="GW7">
        <v>221573.15795205699</v>
      </c>
      <c r="GX7" s="13">
        <f t="shared" si="73"/>
        <v>-2.0861313942063697E-2</v>
      </c>
      <c r="GY7">
        <v>26</v>
      </c>
      <c r="GZ7" s="13">
        <f t="shared" si="74"/>
        <v>-0.21212121212121215</v>
      </c>
      <c r="HA7">
        <v>233672.80741971699</v>
      </c>
      <c r="HB7" s="13">
        <v>5.4607920830726631E-2</v>
      </c>
      <c r="HC7">
        <v>30</v>
      </c>
      <c r="HD7" s="13">
        <v>0.15384615384615374</v>
      </c>
      <c r="HE7">
        <v>234453.63280597981</v>
      </c>
      <c r="HF7" s="13">
        <v>3.3415329532131555E-3</v>
      </c>
      <c r="HG7">
        <v>30</v>
      </c>
      <c r="HH7" s="13">
        <v>0</v>
      </c>
      <c r="HI7">
        <f>VLOOKUP(A7,[4]Москва_продажа_районы!$C$4:$F$151,3,0)</f>
        <v>234307.2768114155</v>
      </c>
      <c r="HJ7" s="13">
        <f t="shared" si="75"/>
        <v>-6.242428100289299E-4</v>
      </c>
      <c r="HK7">
        <f>VLOOKUP(A7,[4]Москва_продажа_районы!$C$4:$F$151,2,0)</f>
        <v>30</v>
      </c>
      <c r="HL7" s="13">
        <f t="shared" si="76"/>
        <v>0</v>
      </c>
      <c r="HM7" s="1">
        <f>VLOOKUP(A7,Лист3!$C$4:$F$149,3,0)</f>
        <v>222229.42139901451</v>
      </c>
      <c r="HN7" s="13">
        <f t="shared" si="77"/>
        <v>-5.1547077738101854E-2</v>
      </c>
      <c r="HO7">
        <f>VLOOKUP(A7,Лист3!$C$4:$F$149,2,0)</f>
        <v>26</v>
      </c>
      <c r="HP7" s="13">
        <f t="shared" si="78"/>
        <v>-0.1333333333333333</v>
      </c>
      <c r="HQ7" s="1">
        <v>218672.39922799039</v>
      </c>
      <c r="HR7" s="13">
        <v>-1.6006081231870084E-2</v>
      </c>
      <c r="HS7">
        <v>29</v>
      </c>
      <c r="HT7" s="13">
        <v>0.11538461538461542</v>
      </c>
      <c r="HU7" s="34">
        <v>221275.91387347781</v>
      </c>
      <c r="HV7" s="13">
        <v>1.1906004848709628E-2</v>
      </c>
      <c r="HW7">
        <v>28</v>
      </c>
      <c r="HX7" s="13">
        <v>-3.4482758620689613E-2</v>
      </c>
      <c r="HY7">
        <v>220340.9433940227</v>
      </c>
      <c r="HZ7" s="13">
        <v>-4.2253603796648109E-3</v>
      </c>
      <c r="IA7">
        <v>30</v>
      </c>
      <c r="IB7" s="13">
        <v>7.1428571428571397E-2</v>
      </c>
      <c r="IC7" s="34">
        <v>221404.198834259</v>
      </c>
      <c r="ID7" s="13">
        <v>4.8255009888695799E-3</v>
      </c>
      <c r="IE7">
        <v>26</v>
      </c>
      <c r="IF7" s="13">
        <v>-0.1333333333333333</v>
      </c>
    </row>
    <row r="8" spans="1:240" x14ac:dyDescent="0.3">
      <c r="A8" s="23" t="s">
        <v>24</v>
      </c>
      <c r="B8" s="22">
        <v>171668.7164689381</v>
      </c>
      <c r="C8">
        <v>499</v>
      </c>
      <c r="D8" s="22">
        <v>173778.70603736746</v>
      </c>
      <c r="E8">
        <v>471</v>
      </c>
      <c r="F8" s="22">
        <v>174252.88004373095</v>
      </c>
      <c r="G8">
        <v>327</v>
      </c>
      <c r="H8" s="22">
        <v>179175.98450882392</v>
      </c>
      <c r="I8">
        <v>386</v>
      </c>
      <c r="J8" s="22">
        <v>176425.7533587667</v>
      </c>
      <c r="K8">
        <v>509</v>
      </c>
      <c r="L8" s="22">
        <v>177424.78804761145</v>
      </c>
      <c r="M8">
        <v>531</v>
      </c>
      <c r="N8" s="22">
        <v>176812.16437499196</v>
      </c>
      <c r="O8" s="28">
        <v>539</v>
      </c>
      <c r="P8" s="35">
        <v>181207.13767653555</v>
      </c>
      <c r="Q8" s="28">
        <v>482</v>
      </c>
      <c r="R8" s="35">
        <v>187211.59492540848</v>
      </c>
      <c r="S8">
        <v>437</v>
      </c>
      <c r="T8" s="46">
        <v>195283.57344587872</v>
      </c>
      <c r="U8" s="47">
        <v>381</v>
      </c>
      <c r="V8" s="56">
        <v>197810.02768840609</v>
      </c>
      <c r="W8" s="47">
        <v>325</v>
      </c>
      <c r="X8" s="56">
        <v>206050.1055686452</v>
      </c>
      <c r="Y8" s="47">
        <v>341</v>
      </c>
      <c r="Z8" s="34">
        <v>210494.98841156566</v>
      </c>
      <c r="AA8" s="81">
        <v>382</v>
      </c>
      <c r="AB8" s="1">
        <v>213423.22864167459</v>
      </c>
      <c r="AC8">
        <v>402</v>
      </c>
      <c r="AD8" s="1">
        <v>217845.68384844231</v>
      </c>
      <c r="AE8">
        <v>379</v>
      </c>
      <c r="AF8" s="13">
        <f t="shared" si="19"/>
        <v>5.7246164699815916E-2</v>
      </c>
      <c r="AG8" s="85">
        <f t="shared" si="0"/>
        <v>0.10478296931158419</v>
      </c>
      <c r="AH8" s="35" t="e">
        <f>#REF!*AG8</f>
        <v>#REF!</v>
      </c>
      <c r="AI8" s="87" t="e">
        <f t="shared" si="20"/>
        <v>#REF!</v>
      </c>
      <c r="AL8" s="1">
        <v>218298.80149300341</v>
      </c>
      <c r="AR8" s="90">
        <v>376</v>
      </c>
      <c r="AS8">
        <v>382</v>
      </c>
      <c r="AT8" s="1">
        <v>216059</v>
      </c>
      <c r="AU8" s="13">
        <f>AT8/AL8-1</f>
        <v>-1.0260255565696208E-2</v>
      </c>
      <c r="AV8">
        <v>417</v>
      </c>
      <c r="AW8" s="1">
        <v>226303.79985781779</v>
      </c>
      <c r="AX8" s="61">
        <v>433</v>
      </c>
      <c r="AY8" s="121">
        <v>230625.68116487761</v>
      </c>
      <c r="AZ8" s="122">
        <v>444</v>
      </c>
      <c r="BA8" s="119">
        <v>233148.02764596001</v>
      </c>
      <c r="BB8" s="35">
        <v>457</v>
      </c>
      <c r="BC8" s="125">
        <f t="shared" si="22"/>
        <v>1.0936971409004403E-2</v>
      </c>
      <c r="BD8">
        <v>451</v>
      </c>
      <c r="BE8" s="1">
        <v>238702.83251557761</v>
      </c>
      <c r="BF8" s="13">
        <f t="shared" si="1"/>
        <v>2.3825227799278981E-2</v>
      </c>
      <c r="BG8">
        <v>458</v>
      </c>
      <c r="BH8" s="1">
        <v>242526.0699037319</v>
      </c>
      <c r="BI8" s="13">
        <f t="shared" si="23"/>
        <v>1.6016724007264393E-2</v>
      </c>
      <c r="BJ8">
        <v>374</v>
      </c>
      <c r="BK8" s="1">
        <v>244574.37631318229</v>
      </c>
      <c r="BL8" s="13">
        <f t="shared" si="2"/>
        <v>8.4457164141713559E-3</v>
      </c>
      <c r="BM8" s="1">
        <v>247695.76009053321</v>
      </c>
      <c r="BN8" s="109">
        <f t="shared" si="3"/>
        <v>1.2762513491413108E-2</v>
      </c>
      <c r="BO8">
        <v>361</v>
      </c>
      <c r="BP8" s="13">
        <f t="shared" si="4"/>
        <v>-3.4759358288770081E-2</v>
      </c>
      <c r="BQ8" s="1">
        <v>253305.78137866021</v>
      </c>
      <c r="BR8" s="13">
        <f t="shared" si="5"/>
        <v>2.2648838583577469E-2</v>
      </c>
      <c r="BS8">
        <v>414</v>
      </c>
      <c r="BT8" s="13">
        <f t="shared" si="6"/>
        <v>0.14681440443213289</v>
      </c>
      <c r="BU8" s="1">
        <v>260647.34620176861</v>
      </c>
      <c r="BV8" s="13">
        <f t="shared" si="7"/>
        <v>2.8983013270169611E-2</v>
      </c>
      <c r="BW8">
        <v>338</v>
      </c>
      <c r="BX8" s="13">
        <f t="shared" si="8"/>
        <v>-0.18357487922705318</v>
      </c>
      <c r="BY8" s="1">
        <v>263619.47309215018</v>
      </c>
      <c r="BZ8" s="13">
        <f t="shared" si="9"/>
        <v>1.1402866492570496E-2</v>
      </c>
      <c r="CA8">
        <v>315</v>
      </c>
      <c r="CB8" s="13">
        <f t="shared" si="10"/>
        <v>-6.8047337278106523E-2</v>
      </c>
      <c r="CC8" s="1">
        <v>259015.34985081889</v>
      </c>
      <c r="CD8" s="13">
        <f t="shared" si="11"/>
        <v>-1.7465034685513858E-2</v>
      </c>
      <c r="CE8">
        <v>331</v>
      </c>
      <c r="CF8" s="13">
        <f t="shared" si="12"/>
        <v>5.0793650793650835E-2</v>
      </c>
      <c r="CG8" s="1">
        <v>253378.62943041199</v>
      </c>
      <c r="CH8" s="13">
        <f t="shared" si="13"/>
        <v>-2.1762109557033615E-2</v>
      </c>
      <c r="CI8">
        <v>394</v>
      </c>
      <c r="CJ8" s="13">
        <f t="shared" si="14"/>
        <v>0.190332326283988</v>
      </c>
      <c r="CK8" s="1">
        <v>250872.41217210871</v>
      </c>
      <c r="CL8" s="13">
        <f t="shared" si="15"/>
        <v>-9.8911943123900503E-3</v>
      </c>
      <c r="CM8">
        <v>445</v>
      </c>
      <c r="CN8" s="13">
        <f t="shared" si="16"/>
        <v>0.12944162436548234</v>
      </c>
      <c r="CO8" s="1">
        <v>248264.16264378399</v>
      </c>
      <c r="CP8" s="13">
        <v>-1.0396717222678764E-2</v>
      </c>
      <c r="CQ8">
        <v>466</v>
      </c>
      <c r="CR8" s="13">
        <v>4.7191011235955038E-2</v>
      </c>
      <c r="CS8" s="1">
        <v>244381.59561115329</v>
      </c>
      <c r="CT8" s="13">
        <f t="shared" si="24"/>
        <v>-1.5638854159557125E-2</v>
      </c>
      <c r="CU8">
        <v>523</v>
      </c>
      <c r="CV8" s="13">
        <f t="shared" si="25"/>
        <v>0.12231759656652352</v>
      </c>
      <c r="CW8" s="1">
        <v>242448.3374976255</v>
      </c>
      <c r="CX8" s="13">
        <f t="shared" si="26"/>
        <v>-7.9108171329066446E-3</v>
      </c>
      <c r="CY8">
        <v>558</v>
      </c>
      <c r="CZ8" s="13">
        <f t="shared" si="27"/>
        <v>6.6921606118546917E-2</v>
      </c>
      <c r="DA8" s="1">
        <v>239537.34067583011</v>
      </c>
      <c r="DB8" s="13">
        <f t="shared" si="28"/>
        <v>-1.200666852097465E-2</v>
      </c>
      <c r="DC8">
        <v>560</v>
      </c>
      <c r="DD8" s="13">
        <f t="shared" si="29"/>
        <v>3.5842293906809264E-3</v>
      </c>
      <c r="DE8" s="1">
        <v>238290.47792677811</v>
      </c>
      <c r="DF8" s="13">
        <f t="shared" si="30"/>
        <v>-5.2052959489911066E-3</v>
      </c>
      <c r="DG8" s="1">
        <v>548</v>
      </c>
      <c r="DH8" s="13">
        <f t="shared" si="31"/>
        <v>-2.1428571428571463E-2</v>
      </c>
      <c r="DI8" s="1">
        <v>240173.18825941929</v>
      </c>
      <c r="DJ8" s="13">
        <f t="shared" si="32"/>
        <v>7.9009045977056491E-3</v>
      </c>
      <c r="DK8" s="1">
        <v>518</v>
      </c>
      <c r="DL8" s="13">
        <f t="shared" si="33"/>
        <v>-5.4744525547445244E-2</v>
      </c>
      <c r="DM8" s="1">
        <v>240906.93760887289</v>
      </c>
      <c r="DN8" s="13">
        <f t="shared" si="34"/>
        <v>3.0550843529673077E-3</v>
      </c>
      <c r="DO8" s="1">
        <v>540</v>
      </c>
      <c r="DP8" s="13">
        <f t="shared" si="35"/>
        <v>4.2471042471042386E-2</v>
      </c>
      <c r="DQ8" s="1">
        <v>242455.88763175369</v>
      </c>
      <c r="DR8" s="13">
        <f t="shared" si="36"/>
        <v>6.4296613383365564E-3</v>
      </c>
      <c r="DS8">
        <v>569</v>
      </c>
      <c r="DT8" s="13">
        <f t="shared" si="37"/>
        <v>5.3703703703703809E-2</v>
      </c>
      <c r="DU8" s="1">
        <v>242343.23153024659</v>
      </c>
      <c r="DV8" s="13">
        <f t="shared" si="38"/>
        <v>-4.6464576549365422E-4</v>
      </c>
      <c r="DW8">
        <v>548</v>
      </c>
      <c r="DX8" s="13">
        <f t="shared" si="39"/>
        <v>-3.690685413005268E-2</v>
      </c>
      <c r="DY8" s="1">
        <v>243982.5128272218</v>
      </c>
      <c r="DZ8" s="13">
        <f t="shared" si="40"/>
        <v>6.7642957743203613E-3</v>
      </c>
      <c r="EA8" s="1">
        <v>515</v>
      </c>
      <c r="EB8" s="13">
        <f t="shared" si="41"/>
        <v>-6.0218978102189791E-2</v>
      </c>
      <c r="EC8" s="1">
        <v>247906.01097135519</v>
      </c>
      <c r="ED8" s="13">
        <f t="shared" si="42"/>
        <v>1.6081062936309065E-2</v>
      </c>
      <c r="EE8" s="1">
        <f>IFERROR(VLOOKUP($A8,[1]Москва_продажа_районы!$C$2:$F$148,2,0),"")</f>
        <v>514</v>
      </c>
      <c r="EF8" s="13">
        <v>-1.9417475728155109E-3</v>
      </c>
      <c r="EG8" s="1">
        <v>249475.60996357919</v>
      </c>
      <c r="EH8" s="13">
        <f t="shared" si="43"/>
        <v>6.3314277297026322E-3</v>
      </c>
      <c r="EI8" s="1">
        <f>IFERROR(VLOOKUP($A8,[2]Москва_продажа_районы!$C$2:$F$150,2,0),"")</f>
        <v>478</v>
      </c>
      <c r="EJ8" s="13">
        <v>-7.0038910505836549E-2</v>
      </c>
      <c r="EK8" s="1">
        <v>251996.33958765841</v>
      </c>
      <c r="EL8" s="13">
        <f t="shared" si="44"/>
        <v>1.0104112479962346E-2</v>
      </c>
      <c r="EM8">
        <v>441</v>
      </c>
      <c r="EN8" s="13">
        <f t="shared" si="45"/>
        <v>-7.7405857740585726E-2</v>
      </c>
      <c r="EO8" s="1">
        <v>258934.44483374889</v>
      </c>
      <c r="EP8" s="13">
        <f t="shared" si="46"/>
        <v>2.7532563597722381E-2</v>
      </c>
      <c r="EQ8">
        <v>438</v>
      </c>
      <c r="ER8" s="13">
        <f t="shared" si="47"/>
        <v>-6.8027210884353817E-3</v>
      </c>
      <c r="ES8" s="183">
        <v>258655.09166153189</v>
      </c>
      <c r="ET8" s="13">
        <f t="shared" si="48"/>
        <v>-1.0788567445956243E-3</v>
      </c>
      <c r="EU8">
        <v>397</v>
      </c>
      <c r="EV8" s="13">
        <f t="shared" si="49"/>
        <v>-9.3607305936073026E-2</v>
      </c>
      <c r="EW8" s="183">
        <v>263853.9344482962</v>
      </c>
      <c r="EX8" s="13">
        <f t="shared" si="50"/>
        <v>2.0099518448944309E-2</v>
      </c>
      <c r="EY8">
        <v>409</v>
      </c>
      <c r="EZ8" s="13">
        <f t="shared" si="51"/>
        <v>3.0226700251889227E-2</v>
      </c>
      <c r="FA8" s="1">
        <v>259859.78274380931</v>
      </c>
      <c r="FB8" s="13">
        <f t="shared" si="52"/>
        <v>-1.5137737903505033E-2</v>
      </c>
      <c r="FC8" s="1">
        <v>373</v>
      </c>
      <c r="FD8" s="13">
        <f t="shared" si="53"/>
        <v>-8.801955990220045E-2</v>
      </c>
      <c r="FE8" s="1">
        <v>264348.08224004309</v>
      </c>
      <c r="FF8" s="13">
        <f t="shared" si="54"/>
        <v>1.7272005113075473E-2</v>
      </c>
      <c r="FG8" s="1">
        <v>390</v>
      </c>
      <c r="FH8" s="13">
        <f t="shared" si="55"/>
        <v>4.5576407506702443E-2</v>
      </c>
      <c r="FI8" s="1">
        <v>264770.89796598622</v>
      </c>
      <c r="FJ8" s="13">
        <f t="shared" si="56"/>
        <v>1.5994658344415935E-3</v>
      </c>
      <c r="FK8" s="1">
        <v>416</v>
      </c>
      <c r="FL8" s="13">
        <f t="shared" si="57"/>
        <v>6.6666666666666652E-2</v>
      </c>
      <c r="FM8" s="1">
        <v>262254.81060808559</v>
      </c>
      <c r="FN8" s="13">
        <f t="shared" si="58"/>
        <v>-9.5028848609481908E-3</v>
      </c>
      <c r="FO8" s="1">
        <v>455</v>
      </c>
      <c r="FP8" s="13">
        <f t="shared" si="59"/>
        <v>9.375E-2</v>
      </c>
      <c r="FQ8" s="1">
        <v>265004.59799332771</v>
      </c>
      <c r="FR8" s="13">
        <f t="shared" si="60"/>
        <v>1.0485174242814699E-2</v>
      </c>
      <c r="FS8">
        <v>501</v>
      </c>
      <c r="FT8" s="13">
        <f t="shared" si="61"/>
        <v>0.10109890109890118</v>
      </c>
      <c r="FU8" s="1">
        <v>266196.09052999102</v>
      </c>
      <c r="FV8" s="13">
        <f t="shared" si="62"/>
        <v>4.496120239745105E-3</v>
      </c>
      <c r="FW8" s="1">
        <v>510</v>
      </c>
      <c r="FX8" s="13">
        <f t="shared" si="63"/>
        <v>1.7964071856287456E-2</v>
      </c>
      <c r="FY8" s="1">
        <v>261554.01607526929</v>
      </c>
      <c r="FZ8" s="13">
        <f t="shared" si="64"/>
        <v>-1.7438552329898771E-2</v>
      </c>
      <c r="GA8" s="1">
        <v>515</v>
      </c>
      <c r="GB8" s="13">
        <f t="shared" si="65"/>
        <v>9.8039215686274161E-3</v>
      </c>
      <c r="GC8" s="1">
        <v>260932.20483389389</v>
      </c>
      <c r="GD8" s="13">
        <f t="shared" si="66"/>
        <v>-2.3773721799646985E-3</v>
      </c>
      <c r="GE8" s="1">
        <v>518</v>
      </c>
      <c r="GF8" s="13">
        <f t="shared" si="67"/>
        <v>5.8252427184466438E-3</v>
      </c>
      <c r="GG8" s="1">
        <f>IFERROR(VLOOKUP(A8,[3]Москва_продажа_районы!$C$2:$F$149,3,0),"")</f>
        <v>262165.30448389519</v>
      </c>
      <c r="GH8" s="13">
        <v>4.7257472521886612E-3</v>
      </c>
      <c r="GI8" s="1">
        <v>539</v>
      </c>
      <c r="GJ8" s="13">
        <f t="shared" si="68"/>
        <v>4.0540540540540571E-2</v>
      </c>
      <c r="GK8" s="1">
        <v>260739.0693815242</v>
      </c>
      <c r="GL8" s="13">
        <f t="shared" si="69"/>
        <v>-5.4402130181898656E-3</v>
      </c>
      <c r="GM8" s="1">
        <v>566</v>
      </c>
      <c r="GN8" s="13">
        <f t="shared" si="70"/>
        <v>5.009276437847876E-2</v>
      </c>
      <c r="GO8" s="1">
        <v>262195.85480827407</v>
      </c>
      <c r="GP8" s="13">
        <f t="shared" si="71"/>
        <v>5.5871390129809129E-3</v>
      </c>
      <c r="GQ8" s="1">
        <v>568.17000000000007</v>
      </c>
      <c r="GR8" s="13">
        <f t="shared" si="72"/>
        <v>3.8339222614842683E-3</v>
      </c>
      <c r="GS8" s="1">
        <v>259609.21210823921</v>
      </c>
      <c r="GT8" s="13">
        <f t="shared" si="17"/>
        <v>-9.8653073746199915E-3</v>
      </c>
      <c r="GU8">
        <v>525</v>
      </c>
      <c r="GV8" s="13">
        <f t="shared" si="18"/>
        <v>-7.5980780400232484E-2</v>
      </c>
      <c r="GW8">
        <v>261256.71260902641</v>
      </c>
      <c r="GX8" s="13">
        <f t="shared" si="73"/>
        <v>6.3460787366063087E-3</v>
      </c>
      <c r="GY8">
        <v>439</v>
      </c>
      <c r="GZ8" s="13">
        <f t="shared" si="74"/>
        <v>-0.16380952380952385</v>
      </c>
      <c r="HA8">
        <v>264631.78756819828</v>
      </c>
      <c r="HB8" s="13">
        <v>1.2918615278692203E-2</v>
      </c>
      <c r="HC8">
        <v>399</v>
      </c>
      <c r="HD8" s="13">
        <v>-9.1116173120728949E-2</v>
      </c>
      <c r="HE8">
        <v>265383.00106825522</v>
      </c>
      <c r="HF8" s="13">
        <v>2.8387122611388538E-3</v>
      </c>
      <c r="HG8">
        <v>390</v>
      </c>
      <c r="HH8" s="13">
        <v>-2.2556390977443663E-2</v>
      </c>
      <c r="HI8">
        <f>VLOOKUP(A8,[4]Москва_продажа_районы!$C$4:$F$151,3,0)</f>
        <v>267773.60790771613</v>
      </c>
      <c r="HJ8" s="13">
        <f t="shared" si="75"/>
        <v>9.0081385387832391E-3</v>
      </c>
      <c r="HK8">
        <f>VLOOKUP(A8,[4]Москва_продажа_районы!$C$4:$F$151,2,0)</f>
        <v>393</v>
      </c>
      <c r="HL8" s="13">
        <f t="shared" si="76"/>
        <v>7.692307692307665E-3</v>
      </c>
      <c r="HM8" s="1">
        <f>VLOOKUP(A8,Лист3!$C$4:$F$149,3,0)</f>
        <v>265264.07473364082</v>
      </c>
      <c r="HN8" s="13">
        <f t="shared" si="77"/>
        <v>-9.3718465896764913E-3</v>
      </c>
      <c r="HO8">
        <f>VLOOKUP(A8,Лист3!$C$4:$F$149,2,0)</f>
        <v>394</v>
      </c>
      <c r="HP8" s="13">
        <f t="shared" si="78"/>
        <v>2.5445292620864812E-3</v>
      </c>
      <c r="HQ8" s="1">
        <v>267483.13656650198</v>
      </c>
      <c r="HR8" s="13">
        <v>8.3654819639236155E-3</v>
      </c>
      <c r="HS8">
        <v>401</v>
      </c>
      <c r="HT8" s="13">
        <v>1.7766497461928932E-2</v>
      </c>
      <c r="HU8" s="34">
        <v>267043.28432955791</v>
      </c>
      <c r="HV8" s="13">
        <v>-1.6444110929390021E-3</v>
      </c>
      <c r="HW8">
        <v>339</v>
      </c>
      <c r="HX8" s="13">
        <v>-0.15461346633416462</v>
      </c>
      <c r="HY8">
        <v>270366.66823916219</v>
      </c>
      <c r="HZ8" s="13">
        <v>1.2445113225550752E-2</v>
      </c>
      <c r="IA8">
        <v>374</v>
      </c>
      <c r="IB8" s="13">
        <v>0.10324483775811211</v>
      </c>
      <c r="IC8" s="34">
        <v>272230.5549209906</v>
      </c>
      <c r="ID8" s="13">
        <v>6.8939218505279509E-3</v>
      </c>
      <c r="IE8">
        <v>382</v>
      </c>
      <c r="IF8" s="13">
        <v>2.1390374331550888E-2</v>
      </c>
    </row>
    <row r="9" spans="1:240" x14ac:dyDescent="0.3">
      <c r="A9" s="23" t="s">
        <v>25</v>
      </c>
      <c r="B9" s="22">
        <v>165331.38972888284</v>
      </c>
      <c r="C9">
        <v>367</v>
      </c>
      <c r="D9" s="22">
        <v>167594.100008776</v>
      </c>
      <c r="E9">
        <v>335</v>
      </c>
      <c r="F9" s="22">
        <v>173435.23400576925</v>
      </c>
      <c r="G9">
        <v>208</v>
      </c>
      <c r="H9" s="22">
        <v>173386.37292931302</v>
      </c>
      <c r="I9">
        <v>228</v>
      </c>
      <c r="J9" s="22">
        <v>171847.17650525112</v>
      </c>
      <c r="K9">
        <v>303</v>
      </c>
      <c r="L9" s="22">
        <v>172957.68488941659</v>
      </c>
      <c r="M9">
        <v>311</v>
      </c>
      <c r="N9" s="22">
        <v>173451.16822311215</v>
      </c>
      <c r="O9" s="28">
        <v>292</v>
      </c>
      <c r="P9" s="35">
        <v>177544.89332153433</v>
      </c>
      <c r="Q9" s="28">
        <v>282</v>
      </c>
      <c r="R9" s="35">
        <v>184215.38458136612</v>
      </c>
      <c r="S9">
        <v>244</v>
      </c>
      <c r="T9" s="46">
        <v>190890.33660854024</v>
      </c>
      <c r="U9" s="47">
        <v>219</v>
      </c>
      <c r="V9" s="56">
        <v>197962.00781898029</v>
      </c>
      <c r="W9" s="47">
        <v>193</v>
      </c>
      <c r="X9" s="56">
        <v>205355.77468873511</v>
      </c>
      <c r="Y9" s="47">
        <v>193</v>
      </c>
      <c r="Z9" s="34">
        <v>205103.92503757763</v>
      </c>
      <c r="AA9" s="81">
        <v>235</v>
      </c>
      <c r="AB9" s="1">
        <v>209724.82876246091</v>
      </c>
      <c r="AC9">
        <v>255</v>
      </c>
      <c r="AD9" s="1">
        <v>212831.64612684591</v>
      </c>
      <c r="AE9">
        <v>243</v>
      </c>
      <c r="AF9" s="13">
        <f t="shared" si="19"/>
        <v>3.6404486065426012E-2</v>
      </c>
      <c r="AG9" s="85">
        <f t="shared" si="0"/>
        <v>6.7182748133812559E-2</v>
      </c>
      <c r="AH9" s="35" t="e">
        <f>#REF!*AG9</f>
        <v>#REF!</v>
      </c>
      <c r="AI9" s="87" t="e">
        <f t="shared" si="20"/>
        <v>#REF!</v>
      </c>
      <c r="AL9" s="1">
        <v>213648.26932940161</v>
      </c>
      <c r="AR9" s="90">
        <v>289</v>
      </c>
      <c r="AS9">
        <v>317</v>
      </c>
      <c r="AT9" s="1">
        <v>213874.71632111</v>
      </c>
      <c r="AU9" s="13">
        <f t="shared" si="21"/>
        <v>1.0599055747990693E-3</v>
      </c>
      <c r="AV9">
        <v>282</v>
      </c>
      <c r="AW9" s="1">
        <v>218228.7171766065</v>
      </c>
      <c r="AX9" s="61">
        <v>297</v>
      </c>
      <c r="AY9" s="121">
        <v>223007.4905186636</v>
      </c>
      <c r="AZ9" s="122">
        <v>300</v>
      </c>
      <c r="BA9" s="119">
        <v>225951.00299500351</v>
      </c>
      <c r="BB9" s="35">
        <v>322</v>
      </c>
      <c r="BC9" s="125">
        <f t="shared" si="22"/>
        <v>1.3199164160333732E-2</v>
      </c>
      <c r="BD9">
        <v>317</v>
      </c>
      <c r="BE9" s="1">
        <v>227593.52907510541</v>
      </c>
      <c r="BF9" s="13">
        <f t="shared" si="1"/>
        <v>7.2693905241847379E-3</v>
      </c>
      <c r="BG9">
        <v>306</v>
      </c>
      <c r="BH9" s="1">
        <v>231438.68847455611</v>
      </c>
      <c r="BI9" s="13">
        <f t="shared" si="23"/>
        <v>1.6894853799563903E-2</v>
      </c>
      <c r="BJ9">
        <v>337</v>
      </c>
      <c r="BK9" s="1">
        <v>235235.80200272941</v>
      </c>
      <c r="BL9" s="13">
        <f t="shared" si="2"/>
        <v>1.6406563454021361E-2</v>
      </c>
      <c r="BM9" s="1">
        <v>242931.4859149227</v>
      </c>
      <c r="BN9" s="109">
        <f t="shared" si="3"/>
        <v>3.2714764702798105E-2</v>
      </c>
      <c r="BO9">
        <v>301</v>
      </c>
      <c r="BP9" s="13">
        <f t="shared" si="4"/>
        <v>-0.10682492581602376</v>
      </c>
      <c r="BQ9" s="1">
        <v>244078.9371741263</v>
      </c>
      <c r="BR9" s="13">
        <f t="shared" si="5"/>
        <v>4.7233533968726871E-3</v>
      </c>
      <c r="BS9">
        <v>332</v>
      </c>
      <c r="BT9" s="13">
        <f t="shared" si="6"/>
        <v>0.10299003322259126</v>
      </c>
      <c r="BU9" s="1">
        <v>247962.8818702572</v>
      </c>
      <c r="BV9" s="13">
        <f t="shared" si="7"/>
        <v>1.5912658179759731E-2</v>
      </c>
      <c r="BW9">
        <v>282</v>
      </c>
      <c r="BX9" s="13">
        <f t="shared" si="8"/>
        <v>-0.1506024096385542</v>
      </c>
      <c r="BY9" s="1">
        <v>250782.58362404181</v>
      </c>
      <c r="BZ9" s="13">
        <f t="shared" si="9"/>
        <v>1.1371467102322175E-2</v>
      </c>
      <c r="CA9">
        <v>258</v>
      </c>
      <c r="CB9" s="13">
        <f t="shared" si="10"/>
        <v>-8.5106382978723416E-2</v>
      </c>
      <c r="CC9" s="1">
        <v>246106.2252037109</v>
      </c>
      <c r="CD9" s="13">
        <f t="shared" si="11"/>
        <v>-1.8647062139456327E-2</v>
      </c>
      <c r="CE9">
        <v>273</v>
      </c>
      <c r="CF9" s="13">
        <f t="shared" si="12"/>
        <v>5.8139534883721034E-2</v>
      </c>
      <c r="CG9" s="1">
        <v>242102.42485473471</v>
      </c>
      <c r="CH9" s="13">
        <f t="shared" si="13"/>
        <v>-1.6268586240198113E-2</v>
      </c>
      <c r="CI9">
        <v>307</v>
      </c>
      <c r="CJ9" s="13">
        <f t="shared" si="14"/>
        <v>0.12454212454212454</v>
      </c>
      <c r="CK9" s="1">
        <v>237763.65080337439</v>
      </c>
      <c r="CL9" s="13">
        <f t="shared" si="15"/>
        <v>-1.7921233353873522E-2</v>
      </c>
      <c r="CM9">
        <v>318</v>
      </c>
      <c r="CN9" s="13">
        <f t="shared" si="16"/>
        <v>3.5830618892508159E-2</v>
      </c>
      <c r="CO9" s="1">
        <v>235459.65129427359</v>
      </c>
      <c r="CP9" s="13">
        <v>-9.6902932862776847E-3</v>
      </c>
      <c r="CQ9">
        <v>338</v>
      </c>
      <c r="CR9" s="13">
        <v>6.2893081761006275E-2</v>
      </c>
      <c r="CS9" s="1">
        <v>236779.94281237101</v>
      </c>
      <c r="CT9" s="13">
        <f t="shared" si="24"/>
        <v>5.6072941195659531E-3</v>
      </c>
      <c r="CU9">
        <v>402</v>
      </c>
      <c r="CV9" s="13">
        <f t="shared" si="25"/>
        <v>0.18934911242603558</v>
      </c>
      <c r="CW9" s="1">
        <v>232024.98689187781</v>
      </c>
      <c r="CX9" s="13">
        <f t="shared" si="26"/>
        <v>-2.008175128355838E-2</v>
      </c>
      <c r="CY9">
        <v>399</v>
      </c>
      <c r="CZ9" s="13">
        <f t="shared" si="27"/>
        <v>-7.4626865671642006E-3</v>
      </c>
      <c r="DA9" s="1">
        <v>226550.02118245311</v>
      </c>
      <c r="DB9" s="13">
        <f t="shared" si="28"/>
        <v>-2.3596448739273024E-2</v>
      </c>
      <c r="DC9">
        <v>390</v>
      </c>
      <c r="DD9" s="13">
        <f t="shared" si="29"/>
        <v>-2.2556390977443663E-2</v>
      </c>
      <c r="DE9" s="1">
        <v>227372.9267536799</v>
      </c>
      <c r="DF9" s="13">
        <f t="shared" si="30"/>
        <v>3.6323350001545851E-3</v>
      </c>
      <c r="DG9" s="1">
        <v>390</v>
      </c>
      <c r="DH9" s="13">
        <f t="shared" si="31"/>
        <v>0</v>
      </c>
      <c r="DI9" s="1">
        <v>226895.32398816591</v>
      </c>
      <c r="DJ9" s="13">
        <f t="shared" si="32"/>
        <v>-2.1005260931148406E-3</v>
      </c>
      <c r="DK9" s="1">
        <v>338</v>
      </c>
      <c r="DL9" s="13">
        <f t="shared" si="33"/>
        <v>-0.1333333333333333</v>
      </c>
      <c r="DM9" s="1">
        <v>230202.96036473781</v>
      </c>
      <c r="DN9" s="13">
        <f t="shared" si="34"/>
        <v>1.4577807591770409E-2</v>
      </c>
      <c r="DO9" s="1">
        <v>403</v>
      </c>
      <c r="DP9" s="13">
        <f t="shared" si="35"/>
        <v>0.19230769230769229</v>
      </c>
      <c r="DQ9" s="1">
        <v>229785.0422367987</v>
      </c>
      <c r="DR9" s="13">
        <f t="shared" si="36"/>
        <v>-1.815433334466876E-3</v>
      </c>
      <c r="DS9">
        <v>417</v>
      </c>
      <c r="DT9" s="13">
        <f t="shared" si="37"/>
        <v>3.473945409429291E-2</v>
      </c>
      <c r="DU9" s="1">
        <v>230218.38680822781</v>
      </c>
      <c r="DV9" s="13">
        <f t="shared" si="38"/>
        <v>1.8858693638663659E-3</v>
      </c>
      <c r="DW9">
        <v>371</v>
      </c>
      <c r="DX9" s="13">
        <f t="shared" si="39"/>
        <v>-0.11031175059952036</v>
      </c>
      <c r="DY9" s="1">
        <v>230716.11689362541</v>
      </c>
      <c r="DZ9" s="13">
        <f t="shared" si="40"/>
        <v>2.1619910220820326E-3</v>
      </c>
      <c r="EA9" s="1">
        <v>367</v>
      </c>
      <c r="EB9" s="13">
        <f t="shared" si="41"/>
        <v>-1.0781671159029615E-2</v>
      </c>
      <c r="EC9" s="1">
        <v>234367.2750883986</v>
      </c>
      <c r="ED9" s="13">
        <f t="shared" si="42"/>
        <v>1.5825327870166106E-2</v>
      </c>
      <c r="EE9" s="1">
        <f>IFERROR(VLOOKUP($A9,[1]Москва_продажа_районы!$C$2:$F$148,2,0),"")</f>
        <v>376</v>
      </c>
      <c r="EF9" s="13">
        <v>2.4523160762942808E-2</v>
      </c>
      <c r="EG9" s="1">
        <v>238540.3352485903</v>
      </c>
      <c r="EH9" s="13">
        <f t="shared" si="43"/>
        <v>1.7805643550780292E-2</v>
      </c>
      <c r="EI9" s="1">
        <f>IFERROR(VLOOKUP($A9,[2]Москва_продажа_районы!$C$2:$F$150,2,0),"")</f>
        <v>360</v>
      </c>
      <c r="EJ9" s="13">
        <v>-4.2553191489361653E-2</v>
      </c>
      <c r="EK9" s="1">
        <v>238820.43644873481</v>
      </c>
      <c r="EL9" s="13">
        <f t="shared" si="44"/>
        <v>1.1742299257382349E-3</v>
      </c>
      <c r="EM9">
        <v>327</v>
      </c>
      <c r="EN9" s="13">
        <f t="shared" si="45"/>
        <v>-9.1666666666666674E-2</v>
      </c>
      <c r="EO9" s="1">
        <v>241198.970929262</v>
      </c>
      <c r="EP9" s="13">
        <f t="shared" si="46"/>
        <v>9.9595098137164051E-3</v>
      </c>
      <c r="EQ9">
        <v>293</v>
      </c>
      <c r="ER9" s="13">
        <f t="shared" si="47"/>
        <v>-0.10397553516819569</v>
      </c>
      <c r="ES9" s="183">
        <v>246028.49068566391</v>
      </c>
      <c r="ET9" s="13">
        <f t="shared" si="48"/>
        <v>2.0022969989446304E-2</v>
      </c>
      <c r="EU9">
        <v>282</v>
      </c>
      <c r="EV9" s="13">
        <f t="shared" si="49"/>
        <v>-3.7542662116040959E-2</v>
      </c>
      <c r="EW9" s="183">
        <v>243518.21691840739</v>
      </c>
      <c r="EX9" s="13">
        <f t="shared" si="50"/>
        <v>-1.0203183217767031E-2</v>
      </c>
      <c r="EY9">
        <v>295</v>
      </c>
      <c r="EZ9" s="13">
        <f t="shared" si="51"/>
        <v>4.6099290780141855E-2</v>
      </c>
      <c r="FA9" s="1">
        <v>241445.27111820859</v>
      </c>
      <c r="FB9" s="13">
        <f t="shared" si="52"/>
        <v>-8.5124875930466803E-3</v>
      </c>
      <c r="FC9" s="1">
        <v>288</v>
      </c>
      <c r="FD9" s="13">
        <f t="shared" si="53"/>
        <v>-2.3728813559321993E-2</v>
      </c>
      <c r="FE9" s="1">
        <v>247858.43215557741</v>
      </c>
      <c r="FF9" s="13">
        <f t="shared" si="54"/>
        <v>2.6561551641361536E-2</v>
      </c>
      <c r="FG9" s="1">
        <v>271</v>
      </c>
      <c r="FH9" s="13">
        <f t="shared" si="55"/>
        <v>-5.902777777777779E-2</v>
      </c>
      <c r="FI9" s="1">
        <v>249026.40219241969</v>
      </c>
      <c r="FJ9" s="13">
        <f t="shared" si="56"/>
        <v>4.7122465299431759E-3</v>
      </c>
      <c r="FK9" s="1">
        <v>312</v>
      </c>
      <c r="FL9" s="13">
        <f t="shared" si="57"/>
        <v>0.1512915129151291</v>
      </c>
      <c r="FM9" s="1">
        <v>248687.8746889999</v>
      </c>
      <c r="FN9" s="13">
        <f t="shared" si="58"/>
        <v>-1.3594040649481665E-3</v>
      </c>
      <c r="FO9" s="1">
        <v>329</v>
      </c>
      <c r="FP9" s="13">
        <f t="shared" si="59"/>
        <v>5.4487179487179516E-2</v>
      </c>
      <c r="FQ9" s="1">
        <v>251063.3857645198</v>
      </c>
      <c r="FR9" s="13">
        <f t="shared" si="60"/>
        <v>9.5521789250505584E-3</v>
      </c>
      <c r="FS9">
        <v>329</v>
      </c>
      <c r="FT9" s="13">
        <f t="shared" si="61"/>
        <v>0</v>
      </c>
      <c r="FU9" s="1">
        <v>249944.1918671813</v>
      </c>
      <c r="FV9" s="13">
        <f t="shared" si="62"/>
        <v>-4.4578140851977421E-3</v>
      </c>
      <c r="FW9" s="1">
        <v>326</v>
      </c>
      <c r="FX9" s="13">
        <f t="shared" si="63"/>
        <v>-9.1185410334346795E-3</v>
      </c>
      <c r="FY9" s="1">
        <v>251565.9141806807</v>
      </c>
      <c r="FZ9" s="13">
        <f t="shared" si="64"/>
        <v>6.4883376620377131E-3</v>
      </c>
      <c r="GA9" s="1">
        <v>323</v>
      </c>
      <c r="GB9" s="13">
        <f t="shared" si="65"/>
        <v>-9.2024539877300082E-3</v>
      </c>
      <c r="GC9" s="1">
        <v>251107.80206691159</v>
      </c>
      <c r="GD9" s="13">
        <f t="shared" si="66"/>
        <v>-1.8210420726556542E-3</v>
      </c>
      <c r="GE9" s="1">
        <v>334</v>
      </c>
      <c r="GF9" s="13">
        <f t="shared" si="67"/>
        <v>3.4055727554179516E-2</v>
      </c>
      <c r="GG9" s="1">
        <f>IFERROR(VLOOKUP(A9,[3]Москва_продажа_районы!$C$2:$F$149,3,0),"")</f>
        <v>250550.97326952111</v>
      </c>
      <c r="GH9" s="13">
        <v>-2.2174890338217956E-3</v>
      </c>
      <c r="GI9" s="1">
        <v>330</v>
      </c>
      <c r="GJ9" s="13">
        <f t="shared" si="68"/>
        <v>-1.19760479041916E-2</v>
      </c>
      <c r="GK9" s="1">
        <v>249355.53321922079</v>
      </c>
      <c r="GL9" s="13">
        <f t="shared" si="69"/>
        <v>-4.7712448876195968E-3</v>
      </c>
      <c r="GM9" s="1">
        <v>338</v>
      </c>
      <c r="GN9" s="13">
        <f t="shared" si="70"/>
        <v>2.4242424242424176E-2</v>
      </c>
      <c r="GO9" s="1">
        <v>250585.13833938661</v>
      </c>
      <c r="GP9" s="13">
        <f t="shared" si="71"/>
        <v>4.9311322844591832E-3</v>
      </c>
      <c r="GQ9" s="1">
        <v>367.01000000000005</v>
      </c>
      <c r="GR9" s="13">
        <f t="shared" si="72"/>
        <v>8.5828402366864065E-2</v>
      </c>
      <c r="GS9" s="1">
        <v>249599.3773189554</v>
      </c>
      <c r="GT9" s="13">
        <f t="shared" si="17"/>
        <v>-3.9338367269654562E-3</v>
      </c>
      <c r="GU9">
        <v>389</v>
      </c>
      <c r="GV9" s="13">
        <f t="shared" si="18"/>
        <v>5.9916623525244406E-2</v>
      </c>
      <c r="GW9">
        <v>250351.63462211521</v>
      </c>
      <c r="GX9" s="13">
        <f t="shared" si="73"/>
        <v>3.0138588935602062E-3</v>
      </c>
      <c r="GY9">
        <v>335</v>
      </c>
      <c r="GZ9" s="13">
        <f t="shared" si="74"/>
        <v>-0.13881748071979438</v>
      </c>
      <c r="HA9">
        <v>255095.0246359272</v>
      </c>
      <c r="HB9" s="13">
        <v>1.8946910496397296E-2</v>
      </c>
      <c r="HC9">
        <v>310</v>
      </c>
      <c r="HD9" s="13">
        <v>-7.4626865671641784E-2</v>
      </c>
      <c r="HE9">
        <v>258239.37435853379</v>
      </c>
      <c r="HF9" s="13">
        <v>1.2326189925084607E-2</v>
      </c>
      <c r="HG9">
        <v>310</v>
      </c>
      <c r="HH9" s="13">
        <v>0</v>
      </c>
      <c r="HI9">
        <f>VLOOKUP(A9,[4]Москва_продажа_районы!$C$4:$F$151,3,0)</f>
        <v>258265.35032785649</v>
      </c>
      <c r="HJ9" s="13">
        <f t="shared" si="75"/>
        <v>1.0058872465612545E-4</v>
      </c>
      <c r="HK9">
        <f>VLOOKUP(A9,[4]Москва_продажа_районы!$C$4:$F$151,2,0)</f>
        <v>315</v>
      </c>
      <c r="HL9" s="13">
        <f t="shared" si="76"/>
        <v>1.6129032258064502E-2</v>
      </c>
      <c r="HM9" s="1">
        <f>VLOOKUP(A9,Лист3!$C$4:$F$149,3,0)</f>
        <v>258430.87013287819</v>
      </c>
      <c r="HN9" s="13">
        <f t="shared" si="77"/>
        <v>6.4089048264337478E-4</v>
      </c>
      <c r="HO9">
        <f>VLOOKUP(A9,Лист3!$C$4:$F$149,2,0)</f>
        <v>353</v>
      </c>
      <c r="HP9" s="13">
        <f t="shared" si="78"/>
        <v>0.12063492063492065</v>
      </c>
      <c r="HQ9" s="1">
        <v>262147.73827198212</v>
      </c>
      <c r="HR9" s="13">
        <v>1.4382446405078575E-2</v>
      </c>
      <c r="HS9">
        <v>334</v>
      </c>
      <c r="HT9" s="13">
        <v>-5.3824362606232246E-2</v>
      </c>
      <c r="HU9" s="34">
        <v>263616.76453772892</v>
      </c>
      <c r="HV9" s="13">
        <v>5.6038105666305071E-3</v>
      </c>
      <c r="HW9">
        <v>280</v>
      </c>
      <c r="HX9" s="13">
        <v>-0.16167664670658688</v>
      </c>
      <c r="HY9">
        <v>267035.53483871667</v>
      </c>
      <c r="HZ9" s="13">
        <v>1.2968713529971421E-2</v>
      </c>
      <c r="IA9">
        <v>284</v>
      </c>
      <c r="IB9" s="13">
        <v>1.4285714285714235E-2</v>
      </c>
      <c r="IC9" s="34">
        <v>266156.31004273263</v>
      </c>
      <c r="ID9" s="13">
        <v>-3.2925385623867598E-3</v>
      </c>
      <c r="IE9">
        <v>286</v>
      </c>
      <c r="IF9" s="13">
        <v>7.0422535211267512E-3</v>
      </c>
    </row>
    <row r="10" spans="1:240" x14ac:dyDescent="0.3">
      <c r="A10" s="23" t="s">
        <v>26</v>
      </c>
      <c r="B10" s="22">
        <v>195658.90307724231</v>
      </c>
      <c r="C10">
        <v>359</v>
      </c>
      <c r="D10" s="22">
        <v>193237.62449029423</v>
      </c>
      <c r="E10">
        <v>340</v>
      </c>
      <c r="F10" s="22">
        <v>196172.11212800004</v>
      </c>
      <c r="G10">
        <v>225</v>
      </c>
      <c r="H10" s="22">
        <v>201798.53027786495</v>
      </c>
      <c r="I10">
        <v>250</v>
      </c>
      <c r="J10" s="22">
        <v>200808.82370455921</v>
      </c>
      <c r="K10">
        <v>315</v>
      </c>
      <c r="L10" s="22">
        <v>200136.02796146416</v>
      </c>
      <c r="M10">
        <v>321</v>
      </c>
      <c r="N10" s="22">
        <v>203225.56043168696</v>
      </c>
      <c r="O10" s="28">
        <v>323</v>
      </c>
      <c r="P10" s="35">
        <v>205677.98988886419</v>
      </c>
      <c r="Q10" s="28">
        <v>316</v>
      </c>
      <c r="R10" s="35">
        <v>213483.72950493175</v>
      </c>
      <c r="S10">
        <v>290</v>
      </c>
      <c r="T10" s="46">
        <v>216702.05161943167</v>
      </c>
      <c r="U10" s="47">
        <v>276</v>
      </c>
      <c r="V10" s="56">
        <v>218657.4927351833</v>
      </c>
      <c r="W10" s="47">
        <v>271</v>
      </c>
      <c r="X10" s="56">
        <v>226056.53677503669</v>
      </c>
      <c r="Y10" s="47">
        <v>232</v>
      </c>
      <c r="Z10" s="34">
        <v>230048.23814486002</v>
      </c>
      <c r="AA10" s="81">
        <v>288</v>
      </c>
      <c r="AB10" s="1">
        <v>235408.584450906</v>
      </c>
      <c r="AC10">
        <v>308</v>
      </c>
      <c r="AD10" s="1">
        <v>240624.50216680989</v>
      </c>
      <c r="AE10">
        <v>257</v>
      </c>
      <c r="AF10" s="13">
        <f t="shared" si="19"/>
        <v>6.4443902395402652E-2</v>
      </c>
      <c r="AG10" s="85">
        <f t="shared" si="0"/>
        <v>7.1053359137406694E-2</v>
      </c>
      <c r="AH10" s="35" t="e">
        <f>#REF!*AG10</f>
        <v>#REF!</v>
      </c>
      <c r="AI10" s="87" t="e">
        <f t="shared" si="20"/>
        <v>#REF!</v>
      </c>
      <c r="AL10" s="1">
        <v>245990.64301966739</v>
      </c>
      <c r="AR10" s="90">
        <v>253</v>
      </c>
      <c r="AS10">
        <v>265</v>
      </c>
      <c r="AT10" s="1">
        <v>246727.08026112401</v>
      </c>
      <c r="AU10" s="13">
        <f t="shared" si="21"/>
        <v>2.9937611952082221E-3</v>
      </c>
      <c r="AV10" s="35">
        <v>250</v>
      </c>
      <c r="AW10" s="1">
        <v>252236.73485310271</v>
      </c>
      <c r="AX10" s="61">
        <v>268</v>
      </c>
      <c r="AY10" s="121">
        <v>253860.73243927781</v>
      </c>
      <c r="AZ10" s="122">
        <v>265</v>
      </c>
      <c r="BA10" s="119">
        <v>259058.77851489629</v>
      </c>
      <c r="BB10" s="35">
        <v>256</v>
      </c>
      <c r="BC10" s="125">
        <f t="shared" si="22"/>
        <v>2.0475975254903966E-2</v>
      </c>
      <c r="BD10">
        <v>264</v>
      </c>
      <c r="BE10" s="1">
        <v>266492.70382275712</v>
      </c>
      <c r="BF10" s="13">
        <f t="shared" si="1"/>
        <v>2.8695901951198977E-2</v>
      </c>
      <c r="BG10">
        <v>276</v>
      </c>
      <c r="BH10" s="1">
        <v>268173.81411733723</v>
      </c>
      <c r="BI10" s="13">
        <f t="shared" si="23"/>
        <v>6.3082788776769316E-3</v>
      </c>
      <c r="BJ10">
        <v>249</v>
      </c>
      <c r="BK10" s="1">
        <v>277275.89304088929</v>
      </c>
      <c r="BL10" s="13">
        <f t="shared" si="2"/>
        <v>3.3940968298901586E-2</v>
      </c>
      <c r="BM10" s="1">
        <v>281221.86830687791</v>
      </c>
      <c r="BN10" s="109">
        <f t="shared" si="3"/>
        <v>1.4231223719859187E-2</v>
      </c>
      <c r="BO10">
        <v>251</v>
      </c>
      <c r="BP10" s="13">
        <f t="shared" si="4"/>
        <v>8.0321285140563248E-3</v>
      </c>
      <c r="BQ10" s="1">
        <v>284650.33813120221</v>
      </c>
      <c r="BR10" s="13">
        <f t="shared" si="5"/>
        <v>1.2191334354492822E-2</v>
      </c>
      <c r="BS10">
        <v>272</v>
      </c>
      <c r="BT10" s="13">
        <f t="shared" si="6"/>
        <v>8.3665338645418252E-2</v>
      </c>
      <c r="BU10" s="1">
        <v>294134.84182561637</v>
      </c>
      <c r="BV10" s="13">
        <f t="shared" si="7"/>
        <v>3.3319839901410964E-2</v>
      </c>
      <c r="BW10">
        <v>260</v>
      </c>
      <c r="BX10" s="13">
        <f t="shared" si="8"/>
        <v>-4.4117647058823484E-2</v>
      </c>
      <c r="BY10" s="1">
        <v>295391.17428970209</v>
      </c>
      <c r="BZ10" s="13">
        <f t="shared" si="9"/>
        <v>4.2712806693963046E-3</v>
      </c>
      <c r="CA10">
        <v>312</v>
      </c>
      <c r="CB10" s="13">
        <f t="shared" si="10"/>
        <v>0.19999999999999996</v>
      </c>
      <c r="CC10" s="1">
        <v>293274.57839892851</v>
      </c>
      <c r="CD10" s="13">
        <f t="shared" si="11"/>
        <v>-7.1653999001938251E-3</v>
      </c>
      <c r="CE10">
        <v>315</v>
      </c>
      <c r="CF10" s="13">
        <f t="shared" si="12"/>
        <v>9.6153846153845812E-3</v>
      </c>
      <c r="CG10" s="1">
        <v>286049.74332931399</v>
      </c>
      <c r="CH10" s="13">
        <f t="shared" si="13"/>
        <v>-2.4635053979301547E-2</v>
      </c>
      <c r="CI10">
        <v>340</v>
      </c>
      <c r="CJ10" s="13">
        <f t="shared" si="14"/>
        <v>7.9365079365079305E-2</v>
      </c>
      <c r="CK10" s="1">
        <v>282358.05245854543</v>
      </c>
      <c r="CL10" s="13">
        <f t="shared" si="15"/>
        <v>-1.2905765367244193E-2</v>
      </c>
      <c r="CM10">
        <v>361</v>
      </c>
      <c r="CN10" s="13">
        <f t="shared" si="16"/>
        <v>6.1764705882352944E-2</v>
      </c>
      <c r="CO10" s="1">
        <v>281643.84367426898</v>
      </c>
      <c r="CP10" s="13">
        <v>-2.5294436551664967E-3</v>
      </c>
      <c r="CQ10">
        <v>376</v>
      </c>
      <c r="CR10" s="13">
        <v>4.1551246537396169E-2</v>
      </c>
      <c r="CS10" s="1">
        <v>274704.58520247531</v>
      </c>
      <c r="CT10" s="13">
        <f t="shared" si="24"/>
        <v>-2.4638417020821368E-2</v>
      </c>
      <c r="CU10">
        <v>384</v>
      </c>
      <c r="CV10" s="13">
        <f t="shared" si="25"/>
        <v>2.1276595744680771E-2</v>
      </c>
      <c r="CW10" s="1">
        <v>272109.07126555522</v>
      </c>
      <c r="CX10" s="13">
        <f t="shared" si="26"/>
        <v>-9.4483822867645895E-3</v>
      </c>
      <c r="CY10">
        <v>383</v>
      </c>
      <c r="CZ10" s="13">
        <f t="shared" si="27"/>
        <v>-2.6041666666666297E-3</v>
      </c>
      <c r="DA10" s="1">
        <v>266474.73327749158</v>
      </c>
      <c r="DB10" s="13">
        <f t="shared" si="28"/>
        <v>-2.0706174777117226E-2</v>
      </c>
      <c r="DC10">
        <v>355</v>
      </c>
      <c r="DD10" s="13">
        <f t="shared" si="29"/>
        <v>-7.3107049608355124E-2</v>
      </c>
      <c r="DE10" s="1">
        <v>269353.68338978791</v>
      </c>
      <c r="DF10" s="13">
        <f t="shared" si="30"/>
        <v>1.0803838986484182E-2</v>
      </c>
      <c r="DG10" s="1">
        <v>350</v>
      </c>
      <c r="DH10" s="13">
        <f t="shared" si="31"/>
        <v>-1.4084507042253502E-2</v>
      </c>
      <c r="DI10" s="1">
        <v>269326.23207683442</v>
      </c>
      <c r="DJ10" s="13">
        <f t="shared" si="32"/>
        <v>-1.0191549121596477E-4</v>
      </c>
      <c r="DK10" s="1">
        <v>338</v>
      </c>
      <c r="DL10" s="13">
        <f t="shared" si="33"/>
        <v>-3.4285714285714253E-2</v>
      </c>
      <c r="DM10" s="1">
        <v>270777.44318221399</v>
      </c>
      <c r="DN10" s="13">
        <f t="shared" si="34"/>
        <v>5.388302112976362E-3</v>
      </c>
      <c r="DO10" s="1">
        <v>380</v>
      </c>
      <c r="DP10" s="13">
        <f t="shared" si="35"/>
        <v>0.12426035502958577</v>
      </c>
      <c r="DQ10" s="1">
        <v>269907.60302619048</v>
      </c>
      <c r="DR10" s="13">
        <f t="shared" si="36"/>
        <v>-3.212380417663363E-3</v>
      </c>
      <c r="DS10">
        <v>432</v>
      </c>
      <c r="DT10" s="13">
        <f t="shared" si="37"/>
        <v>0.13684210526315788</v>
      </c>
      <c r="DU10" s="1">
        <v>270616.08023530268</v>
      </c>
      <c r="DV10" s="13">
        <f t="shared" si="38"/>
        <v>2.6248879289385574E-3</v>
      </c>
      <c r="DW10">
        <v>436</v>
      </c>
      <c r="DX10" s="13">
        <f t="shared" si="39"/>
        <v>9.2592592592593004E-3</v>
      </c>
      <c r="DY10" s="1">
        <v>271118.36194487102</v>
      </c>
      <c r="DZ10" s="13">
        <f t="shared" si="40"/>
        <v>1.8560674928540521E-3</v>
      </c>
      <c r="EA10" s="1">
        <v>443</v>
      </c>
      <c r="EB10" s="13">
        <f t="shared" si="41"/>
        <v>1.6055045871559592E-2</v>
      </c>
      <c r="EC10" s="1">
        <v>272027.96271979838</v>
      </c>
      <c r="ED10" s="13">
        <f t="shared" si="42"/>
        <v>3.3549950966151876E-3</v>
      </c>
      <c r="EE10" s="1">
        <f>IFERROR(VLOOKUP($A10,[1]Москва_продажа_районы!$C$2:$F$148,2,0),"")</f>
        <v>403</v>
      </c>
      <c r="EF10" s="13">
        <v>-9.0293453724604955E-2</v>
      </c>
      <c r="EG10" s="1">
        <v>271998.38160731317</v>
      </c>
      <c r="EH10" s="13">
        <f t="shared" si="43"/>
        <v>-1.0874291080020804E-4</v>
      </c>
      <c r="EI10" s="1">
        <f>IFERROR(VLOOKUP($A10,[2]Москва_продажа_районы!$C$2:$F$150,2,0),"")</f>
        <v>368</v>
      </c>
      <c r="EJ10" s="13">
        <v>-8.6848635235732052E-2</v>
      </c>
      <c r="EK10" s="1">
        <v>273346.94135360449</v>
      </c>
      <c r="EL10" s="13">
        <f t="shared" si="44"/>
        <v>4.9579697435047088E-3</v>
      </c>
      <c r="EM10">
        <v>320</v>
      </c>
      <c r="EN10" s="13">
        <f t="shared" si="45"/>
        <v>-0.13043478260869568</v>
      </c>
      <c r="EO10" s="1">
        <v>280636.80227968493</v>
      </c>
      <c r="EP10" s="13">
        <f t="shared" si="46"/>
        <v>2.6668895177613061E-2</v>
      </c>
      <c r="EQ10">
        <v>292</v>
      </c>
      <c r="ER10" s="13">
        <f t="shared" si="47"/>
        <v>-8.7500000000000022E-2</v>
      </c>
      <c r="ES10" s="183">
        <v>283859.96559824649</v>
      </c>
      <c r="ET10" s="13">
        <f t="shared" si="48"/>
        <v>1.1485176899034499E-2</v>
      </c>
      <c r="EU10">
        <v>258</v>
      </c>
      <c r="EV10" s="13">
        <f t="shared" si="49"/>
        <v>-0.11643835616438358</v>
      </c>
      <c r="EW10" s="183">
        <v>292963.57047542342</v>
      </c>
      <c r="EX10" s="13">
        <f t="shared" si="50"/>
        <v>3.2070760165107126E-2</v>
      </c>
      <c r="EY10">
        <v>249</v>
      </c>
      <c r="EZ10" s="13">
        <f t="shared" si="51"/>
        <v>-3.4883720930232509E-2</v>
      </c>
      <c r="FA10" s="1">
        <v>292103.70278165909</v>
      </c>
      <c r="FB10" s="13">
        <f t="shared" si="52"/>
        <v>-2.9350669517337336E-3</v>
      </c>
      <c r="FC10" s="1">
        <v>231</v>
      </c>
      <c r="FD10" s="13">
        <f t="shared" si="53"/>
        <v>-7.2289156626506035E-2</v>
      </c>
      <c r="FE10" s="1">
        <v>303006.01290719252</v>
      </c>
      <c r="FF10" s="13">
        <f t="shared" si="54"/>
        <v>3.732342322850557E-2</v>
      </c>
      <c r="FG10" s="1">
        <v>246</v>
      </c>
      <c r="FH10" s="13">
        <f t="shared" si="55"/>
        <v>6.4935064935064846E-2</v>
      </c>
      <c r="FI10" s="1">
        <v>302862.48361893022</v>
      </c>
      <c r="FJ10" s="13">
        <f t="shared" si="56"/>
        <v>-4.7368462059615979E-4</v>
      </c>
      <c r="FK10" s="1">
        <v>291</v>
      </c>
      <c r="FL10" s="13">
        <f t="shared" si="57"/>
        <v>0.18292682926829262</v>
      </c>
      <c r="FM10" s="1">
        <v>299123.60938036448</v>
      </c>
      <c r="FN10" s="13">
        <f t="shared" si="58"/>
        <v>-1.23451217657915E-2</v>
      </c>
      <c r="FO10" s="1">
        <v>293</v>
      </c>
      <c r="FP10" s="13">
        <f t="shared" si="59"/>
        <v>6.8728522336769515E-3</v>
      </c>
      <c r="FQ10" s="1">
        <v>297320.01900693239</v>
      </c>
      <c r="FR10" s="13">
        <f t="shared" si="60"/>
        <v>-6.0295821422061691E-3</v>
      </c>
      <c r="FS10">
        <v>305</v>
      </c>
      <c r="FT10" s="13">
        <f t="shared" si="61"/>
        <v>4.0955631399317349E-2</v>
      </c>
      <c r="FU10" s="1">
        <v>299553.48746688769</v>
      </c>
      <c r="FV10" s="13">
        <f t="shared" si="62"/>
        <v>7.5120016049212701E-3</v>
      </c>
      <c r="FW10" s="1">
        <v>294</v>
      </c>
      <c r="FX10" s="13">
        <f t="shared" si="63"/>
        <v>-3.6065573770491799E-2</v>
      </c>
      <c r="FY10" s="1">
        <v>299465.88822311308</v>
      </c>
      <c r="FZ10" s="13">
        <f t="shared" si="64"/>
        <v>-2.9243272884371674E-4</v>
      </c>
      <c r="GA10" s="1">
        <v>285</v>
      </c>
      <c r="GB10" s="13">
        <f t="shared" si="65"/>
        <v>-3.0612244897959218E-2</v>
      </c>
      <c r="GC10" s="1">
        <v>300384.5477982451</v>
      </c>
      <c r="GD10" s="13">
        <f t="shared" si="66"/>
        <v>3.0676601618397914E-3</v>
      </c>
      <c r="GE10" s="1">
        <v>281</v>
      </c>
      <c r="GF10" s="13">
        <f t="shared" si="67"/>
        <v>-1.4035087719298289E-2</v>
      </c>
      <c r="GG10" s="1">
        <f>IFERROR(VLOOKUP(A10,[3]Москва_продажа_районы!$C$2:$F$149,3,0),"")</f>
        <v>293328.27289756108</v>
      </c>
      <c r="GH10" s="13">
        <v>-2.3490805210870547E-2</v>
      </c>
      <c r="GI10" s="1">
        <v>316</v>
      </c>
      <c r="GJ10" s="13">
        <f t="shared" si="68"/>
        <v>0.12455516014234869</v>
      </c>
      <c r="GK10" s="1">
        <v>296083.61940137477</v>
      </c>
      <c r="GL10" s="13">
        <f t="shared" si="69"/>
        <v>9.3933887674575445E-3</v>
      </c>
      <c r="GM10" s="1">
        <v>302</v>
      </c>
      <c r="GN10" s="13">
        <f t="shared" si="70"/>
        <v>-4.4303797468354444E-2</v>
      </c>
      <c r="GO10" s="1">
        <v>301466.98533479217</v>
      </c>
      <c r="GP10" s="13">
        <f t="shared" si="71"/>
        <v>1.8181910719348604E-2</v>
      </c>
      <c r="GQ10" s="1">
        <v>308.16000000000003</v>
      </c>
      <c r="GR10" s="13">
        <f t="shared" si="72"/>
        <v>2.0397350993377472E-2</v>
      </c>
      <c r="GS10" s="1">
        <v>300273.94504514348</v>
      </c>
      <c r="GT10" s="13">
        <f t="shared" si="17"/>
        <v>-3.9574492322062005E-3</v>
      </c>
      <c r="GU10">
        <v>322</v>
      </c>
      <c r="GV10" s="13">
        <f t="shared" si="18"/>
        <v>4.4911734164070571E-2</v>
      </c>
      <c r="GW10">
        <v>301631.73345166678</v>
      </c>
      <c r="GX10" s="13">
        <f t="shared" si="73"/>
        <v>4.521832243284285E-3</v>
      </c>
      <c r="GY10">
        <v>272</v>
      </c>
      <c r="GZ10" s="13">
        <f t="shared" si="74"/>
        <v>-0.15527950310559002</v>
      </c>
      <c r="HA10">
        <v>302494.09433444601</v>
      </c>
      <c r="HB10" s="13">
        <v>2.8589859326502154E-3</v>
      </c>
      <c r="HC10">
        <v>217</v>
      </c>
      <c r="HD10" s="13">
        <v>-0.20220588235294112</v>
      </c>
      <c r="HE10">
        <v>302708.05461823771</v>
      </c>
      <c r="HF10" s="13">
        <v>7.0732053219901836E-4</v>
      </c>
      <c r="HG10">
        <v>263</v>
      </c>
      <c r="HH10" s="13">
        <v>0.21198156682027647</v>
      </c>
      <c r="HI10">
        <f>VLOOKUP(A10,[4]Москва_продажа_районы!$C$4:$F$151,3,0)</f>
        <v>300032.06317950023</v>
      </c>
      <c r="HJ10" s="13">
        <f t="shared" si="75"/>
        <v>-8.8401725620163019E-3</v>
      </c>
      <c r="HK10">
        <f>VLOOKUP(A10,[4]Москва_продажа_районы!$C$4:$F$151,2,0)</f>
        <v>261</v>
      </c>
      <c r="HL10" s="13">
        <f t="shared" si="76"/>
        <v>-7.6045627376425395E-3</v>
      </c>
      <c r="HM10" s="1">
        <f>VLOOKUP(A10,Лист3!$C$4:$F$149,3,0)</f>
        <v>301963.9683231606</v>
      </c>
      <c r="HN10" s="13">
        <f t="shared" si="77"/>
        <v>6.4389956299588658E-3</v>
      </c>
      <c r="HO10">
        <f>VLOOKUP(A10,Лист3!$C$4:$F$149,2,0)</f>
        <v>243</v>
      </c>
      <c r="HP10" s="13">
        <f t="shared" si="78"/>
        <v>-6.8965517241379337E-2</v>
      </c>
      <c r="HQ10" s="1">
        <v>301503.63392131758</v>
      </c>
      <c r="HR10" s="13">
        <v>-1.5244679833800179E-3</v>
      </c>
      <c r="HS10">
        <v>248</v>
      </c>
      <c r="HT10" s="13">
        <v>2.0576131687242816E-2</v>
      </c>
      <c r="HU10" s="34">
        <v>300545.72565461998</v>
      </c>
      <c r="HV10" s="13">
        <v>-3.1771035534104985E-3</v>
      </c>
      <c r="HW10">
        <v>258</v>
      </c>
      <c r="HX10" s="13">
        <v>4.0322580645161255E-2</v>
      </c>
      <c r="HY10">
        <v>305918.74187657301</v>
      </c>
      <c r="HZ10" s="13">
        <v>1.7877533311279059E-2</v>
      </c>
      <c r="IA10">
        <v>277</v>
      </c>
      <c r="IB10" s="13">
        <v>7.3643410852713087E-2</v>
      </c>
      <c r="IC10" s="34">
        <v>311235.39904992701</v>
      </c>
      <c r="ID10" s="13">
        <v>1.7379311711144041E-2</v>
      </c>
      <c r="IE10">
        <v>265</v>
      </c>
      <c r="IF10" s="13">
        <v>-4.3321299638989119E-2</v>
      </c>
    </row>
    <row r="11" spans="1:240" x14ac:dyDescent="0.3">
      <c r="A11" s="23" t="s">
        <v>27</v>
      </c>
      <c r="B11" s="22">
        <v>160944.53941091962</v>
      </c>
      <c r="C11">
        <v>348</v>
      </c>
      <c r="D11" s="22">
        <v>166207.24494741648</v>
      </c>
      <c r="E11">
        <v>329</v>
      </c>
      <c r="F11" s="22">
        <v>166002.54622139531</v>
      </c>
      <c r="G11">
        <v>215</v>
      </c>
      <c r="H11" s="22">
        <v>165081.10960277895</v>
      </c>
      <c r="I11">
        <v>212</v>
      </c>
      <c r="J11" s="22">
        <v>164525.74477397092</v>
      </c>
      <c r="K11">
        <v>270</v>
      </c>
      <c r="L11" s="22">
        <v>166289.96514814923</v>
      </c>
      <c r="M11">
        <v>262</v>
      </c>
      <c r="N11" s="22">
        <v>168590.75387189921</v>
      </c>
      <c r="O11" s="28">
        <v>245</v>
      </c>
      <c r="P11" s="35">
        <v>171424.87285362731</v>
      </c>
      <c r="Q11" s="28">
        <v>214</v>
      </c>
      <c r="R11" s="35">
        <v>173109.33563096551</v>
      </c>
      <c r="S11">
        <v>182</v>
      </c>
      <c r="T11" s="46">
        <v>181638.98785182889</v>
      </c>
      <c r="U11" s="47">
        <v>160</v>
      </c>
      <c r="V11" s="56">
        <v>187246.6781779064</v>
      </c>
      <c r="W11" s="47">
        <v>137</v>
      </c>
      <c r="X11" s="56">
        <v>190463.30064495991</v>
      </c>
      <c r="Y11" s="47">
        <v>146</v>
      </c>
      <c r="Z11" s="34">
        <v>192539.41269317799</v>
      </c>
      <c r="AA11" s="81">
        <v>167</v>
      </c>
      <c r="AB11" s="1">
        <v>194473.303033829</v>
      </c>
      <c r="AC11">
        <v>187</v>
      </c>
      <c r="AD11" s="1">
        <v>206691.98143368421</v>
      </c>
      <c r="AE11">
        <v>198</v>
      </c>
      <c r="AF11" s="13">
        <f t="shared" si="19"/>
        <v>8.5206340191362973E-2</v>
      </c>
      <c r="AG11" s="85">
        <f t="shared" si="0"/>
        <v>5.4741498479402823E-2</v>
      </c>
      <c r="AH11" s="35" t="e">
        <f>#REF!*AG11</f>
        <v>#REF!</v>
      </c>
      <c r="AI11" s="87" t="e">
        <f t="shared" si="20"/>
        <v>#REF!</v>
      </c>
      <c r="AL11" s="1">
        <v>208304.28345871629</v>
      </c>
      <c r="AR11" s="90">
        <v>223</v>
      </c>
      <c r="AS11">
        <v>222</v>
      </c>
      <c r="AT11" s="1">
        <v>209925</v>
      </c>
      <c r="AU11" s="13">
        <f t="shared" si="21"/>
        <v>7.7805243097888166E-3</v>
      </c>
      <c r="AV11" s="35">
        <v>215</v>
      </c>
      <c r="AW11" s="1">
        <v>212425.32298756891</v>
      </c>
      <c r="AX11" s="61">
        <v>230</v>
      </c>
      <c r="AY11" s="121">
        <v>218448.5681401972</v>
      </c>
      <c r="AZ11" s="122">
        <v>201</v>
      </c>
      <c r="BA11" s="119">
        <v>220551.732898983</v>
      </c>
      <c r="BB11" s="35">
        <v>206</v>
      </c>
      <c r="BC11" s="125">
        <f t="shared" si="22"/>
        <v>9.627734238276231E-3</v>
      </c>
      <c r="BD11">
        <v>221</v>
      </c>
      <c r="BE11" s="1">
        <v>229164.5446890305</v>
      </c>
      <c r="BF11" s="13">
        <f t="shared" si="1"/>
        <v>3.9051208878926991E-2</v>
      </c>
      <c r="BG11">
        <v>237</v>
      </c>
      <c r="BH11" s="1">
        <v>228750.3796848077</v>
      </c>
      <c r="BI11" s="13">
        <f t="shared" si="23"/>
        <v>-1.8072822075718697E-3</v>
      </c>
      <c r="BJ11">
        <v>220</v>
      </c>
      <c r="BK11" s="1">
        <v>236052.56077362321</v>
      </c>
      <c r="BL11" s="13">
        <f t="shared" si="2"/>
        <v>3.1922050135510638E-2</v>
      </c>
      <c r="BM11" s="1">
        <v>236648.3638538332</v>
      </c>
      <c r="BN11" s="109">
        <f t="shared" si="3"/>
        <v>2.5240271838498085E-3</v>
      </c>
      <c r="BO11">
        <v>178</v>
      </c>
      <c r="BP11" s="13">
        <f t="shared" si="4"/>
        <v>-0.19090909090909092</v>
      </c>
      <c r="BQ11" s="1">
        <v>240436.4108871003</v>
      </c>
      <c r="BR11" s="13">
        <f t="shared" si="5"/>
        <v>1.6007070454992833E-2</v>
      </c>
      <c r="BS11">
        <v>196</v>
      </c>
      <c r="BT11" s="13">
        <f t="shared" si="6"/>
        <v>0.101123595505618</v>
      </c>
      <c r="BU11" s="1">
        <v>247412.01485196329</v>
      </c>
      <c r="BV11" s="13">
        <f t="shared" si="7"/>
        <v>2.9012261242489013E-2</v>
      </c>
      <c r="BW11">
        <v>203</v>
      </c>
      <c r="BX11" s="13">
        <f t="shared" si="8"/>
        <v>3.5714285714285809E-2</v>
      </c>
      <c r="BY11" s="1">
        <v>250068.27506970061</v>
      </c>
      <c r="BZ11" s="13">
        <f t="shared" si="9"/>
        <v>1.0736181180718507E-2</v>
      </c>
      <c r="CA11">
        <v>188</v>
      </c>
      <c r="CB11" s="13">
        <f t="shared" si="10"/>
        <v>-7.3891625615763568E-2</v>
      </c>
      <c r="CC11" s="1">
        <v>245587.68885834361</v>
      </c>
      <c r="CD11" s="13">
        <f t="shared" si="11"/>
        <v>-1.7917451584404831E-2</v>
      </c>
      <c r="CE11">
        <v>205</v>
      </c>
      <c r="CF11" s="13">
        <f t="shared" si="12"/>
        <v>9.0425531914893664E-2</v>
      </c>
      <c r="CG11" s="1">
        <v>241102.68016508661</v>
      </c>
      <c r="CH11" s="13">
        <f t="shared" si="13"/>
        <v>-1.8262351480672012E-2</v>
      </c>
      <c r="CI11">
        <v>233</v>
      </c>
      <c r="CJ11" s="13">
        <f t="shared" si="14"/>
        <v>0.13658536585365844</v>
      </c>
      <c r="CK11" s="1">
        <v>237535.25119907261</v>
      </c>
      <c r="CL11" s="13">
        <f t="shared" si="15"/>
        <v>-1.4796305721576086E-2</v>
      </c>
      <c r="CM11">
        <v>216</v>
      </c>
      <c r="CN11" s="13">
        <f t="shared" si="16"/>
        <v>-7.2961373390557971E-2</v>
      </c>
      <c r="CO11" s="1">
        <v>235600.07717876919</v>
      </c>
      <c r="CP11" s="13">
        <v>-8.146891926712807E-3</v>
      </c>
      <c r="CQ11">
        <v>217</v>
      </c>
      <c r="CR11" s="13">
        <v>4.6296296296295392E-3</v>
      </c>
      <c r="CS11" s="1">
        <v>237286.59796864601</v>
      </c>
      <c r="CT11" s="13">
        <f t="shared" si="24"/>
        <v>7.158405082342556E-3</v>
      </c>
      <c r="CU11">
        <v>224</v>
      </c>
      <c r="CV11" s="13">
        <f t="shared" si="25"/>
        <v>3.2258064516129004E-2</v>
      </c>
      <c r="CW11" s="1">
        <v>235128.42927412281</v>
      </c>
      <c r="CX11" s="13">
        <f t="shared" si="26"/>
        <v>-9.0951984351360649E-3</v>
      </c>
      <c r="CY11">
        <v>240</v>
      </c>
      <c r="CZ11" s="13">
        <f t="shared" si="27"/>
        <v>7.1428571428571397E-2</v>
      </c>
      <c r="DA11" s="1">
        <v>232671.82889609601</v>
      </c>
      <c r="DB11" s="13">
        <f t="shared" si="28"/>
        <v>-1.0447908768883019E-2</v>
      </c>
      <c r="DC11">
        <v>246</v>
      </c>
      <c r="DD11" s="13">
        <f t="shared" si="29"/>
        <v>2.4999999999999911E-2</v>
      </c>
      <c r="DE11" s="1">
        <v>234628.6608549137</v>
      </c>
      <c r="DF11" s="13">
        <f t="shared" si="30"/>
        <v>8.4102659445357553E-3</v>
      </c>
      <c r="DG11" s="1">
        <v>250</v>
      </c>
      <c r="DH11" s="13">
        <f t="shared" si="31"/>
        <v>1.6260162601626105E-2</v>
      </c>
      <c r="DI11" s="1">
        <v>235287.69255997479</v>
      </c>
      <c r="DJ11" s="13">
        <f t="shared" si="32"/>
        <v>2.8088286514520444E-3</v>
      </c>
      <c r="DK11" s="1">
        <v>228</v>
      </c>
      <c r="DL11" s="13">
        <f t="shared" si="33"/>
        <v>-8.7999999999999967E-2</v>
      </c>
      <c r="DM11" s="1">
        <v>232778.26034370009</v>
      </c>
      <c r="DN11" s="13">
        <f t="shared" si="34"/>
        <v>-1.0665378154597005E-2</v>
      </c>
      <c r="DO11" s="1">
        <v>226</v>
      </c>
      <c r="DP11" s="13">
        <f t="shared" si="35"/>
        <v>-8.7719298245614308E-3</v>
      </c>
      <c r="DQ11" s="1">
        <v>234730.31572956231</v>
      </c>
      <c r="DR11" s="13">
        <f t="shared" si="36"/>
        <v>8.3859007408164654E-3</v>
      </c>
      <c r="DS11">
        <v>263</v>
      </c>
      <c r="DT11" s="13">
        <f t="shared" si="37"/>
        <v>0.16371681415929196</v>
      </c>
      <c r="DU11" s="1">
        <v>232914.47451744179</v>
      </c>
      <c r="DV11" s="13">
        <f t="shared" si="38"/>
        <v>-7.7358614990855612E-3</v>
      </c>
      <c r="DW11">
        <v>243</v>
      </c>
      <c r="DX11" s="13">
        <f t="shared" si="39"/>
        <v>-7.6045627376425839E-2</v>
      </c>
      <c r="DY11" s="1">
        <v>232681.95335809459</v>
      </c>
      <c r="DZ11" s="13">
        <f t="shared" si="40"/>
        <v>-9.9831133221306434E-4</v>
      </c>
      <c r="EA11" s="1">
        <v>223</v>
      </c>
      <c r="EB11" s="13">
        <f t="shared" si="41"/>
        <v>-8.2304526748971152E-2</v>
      </c>
      <c r="EC11" s="1">
        <v>235636.31102494249</v>
      </c>
      <c r="ED11" s="13">
        <f t="shared" si="42"/>
        <v>1.2696978103416523E-2</v>
      </c>
      <c r="EE11" s="1">
        <f>IFERROR(VLOOKUP($A11,[1]Москва_продажа_районы!$C$2:$F$148,2,0),"")</f>
        <v>232</v>
      </c>
      <c r="EF11" s="13">
        <v>4.0358744394618729E-2</v>
      </c>
      <c r="EG11" s="1">
        <v>239507.41444577629</v>
      </c>
      <c r="EH11" s="13">
        <f t="shared" si="43"/>
        <v>1.6428297506423162E-2</v>
      </c>
      <c r="EI11" s="1">
        <f>IFERROR(VLOOKUP($A11,[2]Москва_продажа_районы!$C$2:$F$150,2,0),"")</f>
        <v>220</v>
      </c>
      <c r="EJ11" s="13">
        <v>-5.1724137931034475E-2</v>
      </c>
      <c r="EK11" s="1">
        <v>239984.37572195829</v>
      </c>
      <c r="EL11" s="13">
        <f t="shared" si="44"/>
        <v>1.9914259326196948E-3</v>
      </c>
      <c r="EM11">
        <v>216</v>
      </c>
      <c r="EN11" s="13">
        <f t="shared" si="45"/>
        <v>-1.8181818181818188E-2</v>
      </c>
      <c r="EO11" s="1">
        <v>242964.8989742207</v>
      </c>
      <c r="EP11" s="13">
        <f t="shared" si="46"/>
        <v>1.2419655418382636E-2</v>
      </c>
      <c r="EQ11">
        <v>228</v>
      </c>
      <c r="ER11" s="13">
        <f t="shared" si="47"/>
        <v>5.555555555555558E-2</v>
      </c>
      <c r="ES11" s="183">
        <v>258156.58959289131</v>
      </c>
      <c r="ET11" s="13">
        <f t="shared" si="48"/>
        <v>6.252627718163728E-2</v>
      </c>
      <c r="EU11">
        <v>216</v>
      </c>
      <c r="EV11" s="13">
        <f t="shared" si="49"/>
        <v>-5.2631578947368474E-2</v>
      </c>
      <c r="EW11" s="183">
        <v>247904.69289945261</v>
      </c>
      <c r="EX11" s="13">
        <f t="shared" si="50"/>
        <v>-3.9711931078752483E-2</v>
      </c>
      <c r="EY11">
        <v>204</v>
      </c>
      <c r="EZ11" s="13">
        <f t="shared" si="51"/>
        <v>-5.555555555555558E-2</v>
      </c>
      <c r="FA11" s="1">
        <v>248010.43487849759</v>
      </c>
      <c r="FB11" s="13">
        <f t="shared" si="52"/>
        <v>4.265428693916995E-4</v>
      </c>
      <c r="FC11" s="1">
        <v>186</v>
      </c>
      <c r="FD11" s="13">
        <f t="shared" si="53"/>
        <v>-8.8235294117647078E-2</v>
      </c>
      <c r="FE11" s="1">
        <v>249468.30590074309</v>
      </c>
      <c r="FF11" s="13">
        <f t="shared" si="54"/>
        <v>5.8782648518789227E-3</v>
      </c>
      <c r="FG11" s="1">
        <v>186</v>
      </c>
      <c r="FH11" s="13">
        <f t="shared" si="55"/>
        <v>0</v>
      </c>
      <c r="FI11" s="1">
        <v>249436.03600540769</v>
      </c>
      <c r="FJ11" s="13">
        <f t="shared" si="56"/>
        <v>-1.2935468984276444E-4</v>
      </c>
      <c r="FK11" s="1">
        <v>212</v>
      </c>
      <c r="FL11" s="13">
        <f t="shared" si="57"/>
        <v>0.13978494623655924</v>
      </c>
      <c r="FM11" s="1">
        <v>251071.96896528691</v>
      </c>
      <c r="FN11" s="13">
        <f t="shared" si="58"/>
        <v>6.5585269317049999E-3</v>
      </c>
      <c r="FO11" s="1">
        <v>216</v>
      </c>
      <c r="FP11" s="13">
        <f t="shared" si="59"/>
        <v>1.8867924528301883E-2</v>
      </c>
      <c r="FQ11" s="1">
        <v>250876.71147148931</v>
      </c>
      <c r="FR11" s="13">
        <f t="shared" si="60"/>
        <v>-7.7769531422522409E-4</v>
      </c>
      <c r="FS11">
        <v>211</v>
      </c>
      <c r="FT11" s="13">
        <f t="shared" si="61"/>
        <v>-2.314814814814814E-2</v>
      </c>
      <c r="FU11" s="1">
        <v>251286.35486857599</v>
      </c>
      <c r="FV11" s="13">
        <f t="shared" si="62"/>
        <v>1.6328474440052698E-3</v>
      </c>
      <c r="FW11" s="1">
        <v>211</v>
      </c>
      <c r="FX11" s="13">
        <f t="shared" si="63"/>
        <v>0</v>
      </c>
      <c r="FY11" s="1">
        <v>253108.51984785651</v>
      </c>
      <c r="FZ11" s="13">
        <f t="shared" si="64"/>
        <v>7.2513486863763355E-3</v>
      </c>
      <c r="GA11" s="1">
        <v>213</v>
      </c>
      <c r="GB11" s="13">
        <f t="shared" si="65"/>
        <v>9.4786729857820884E-3</v>
      </c>
      <c r="GC11" s="1">
        <v>251848.15298237631</v>
      </c>
      <c r="GD11" s="13">
        <f t="shared" si="66"/>
        <v>-4.9795513254070611E-3</v>
      </c>
      <c r="GE11" s="1">
        <v>206</v>
      </c>
      <c r="GF11" s="13">
        <f t="shared" si="67"/>
        <v>-3.2863849765258246E-2</v>
      </c>
      <c r="GG11" s="1">
        <f>IFERROR(VLOOKUP(A11,[3]Москва_продажа_районы!$C$2:$F$149,3,0),"")</f>
        <v>248782.4547715236</v>
      </c>
      <c r="GH11" s="13">
        <v>-1.2172804027144268E-2</v>
      </c>
      <c r="GI11" s="1">
        <v>224</v>
      </c>
      <c r="GJ11" s="13">
        <f t="shared" si="68"/>
        <v>8.737864077669899E-2</v>
      </c>
      <c r="GK11" s="1">
        <v>247639.11488222139</v>
      </c>
      <c r="GL11" s="13">
        <f t="shared" si="69"/>
        <v>-4.5957416504802673E-3</v>
      </c>
      <c r="GM11" s="1">
        <v>224</v>
      </c>
      <c r="GN11" s="13">
        <f t="shared" si="70"/>
        <v>0</v>
      </c>
      <c r="GO11" s="1">
        <v>253427.83110384041</v>
      </c>
      <c r="GP11" s="13">
        <f t="shared" si="71"/>
        <v>2.3375613438015197E-2</v>
      </c>
      <c r="GQ11" s="1">
        <v>217.21</v>
      </c>
      <c r="GR11" s="13">
        <f t="shared" si="72"/>
        <v>-3.0312499999999964E-2</v>
      </c>
      <c r="GS11" s="1">
        <v>248123.66844407571</v>
      </c>
      <c r="GT11" s="13">
        <f t="shared" si="17"/>
        <v>-2.0929677047156425E-2</v>
      </c>
      <c r="GU11">
        <v>245</v>
      </c>
      <c r="GV11" s="13">
        <f t="shared" si="18"/>
        <v>0.12794070254592316</v>
      </c>
      <c r="GW11">
        <v>252002.78005985191</v>
      </c>
      <c r="GX11" s="13">
        <f t="shared" si="73"/>
        <v>1.5633783105421406E-2</v>
      </c>
      <c r="GY11">
        <v>203</v>
      </c>
      <c r="GZ11" s="13">
        <f t="shared" si="74"/>
        <v>-0.17142857142857137</v>
      </c>
      <c r="HA11">
        <v>250377.9560120411</v>
      </c>
      <c r="HB11" s="13">
        <v>-6.4476433451444715E-3</v>
      </c>
      <c r="HC11">
        <v>217</v>
      </c>
      <c r="HD11" s="13">
        <v>6.8965517241379226E-2</v>
      </c>
      <c r="HE11">
        <v>259400.89200553871</v>
      </c>
      <c r="HF11" s="13">
        <v>3.6037261974707135E-2</v>
      </c>
      <c r="HG11">
        <v>161</v>
      </c>
      <c r="HH11" s="13">
        <v>-0.25806451612903225</v>
      </c>
      <c r="HI11">
        <f>VLOOKUP(A11,[4]Москва_продажа_районы!$C$4:$F$151,3,0)</f>
        <v>259604.52599479549</v>
      </c>
      <c r="HJ11" s="13">
        <f t="shared" si="75"/>
        <v>7.8501653437812458E-4</v>
      </c>
      <c r="HK11">
        <f>VLOOKUP(A11,[4]Москва_продажа_районы!$C$4:$F$151,2,0)</f>
        <v>164</v>
      </c>
      <c r="HL11" s="13">
        <f t="shared" si="76"/>
        <v>1.8633540372670732E-2</v>
      </c>
      <c r="HM11" s="1">
        <f>VLOOKUP(A11,Лист3!$C$4:$F$149,3,0)</f>
        <v>263456.49575234042</v>
      </c>
      <c r="HN11" s="13">
        <f t="shared" si="77"/>
        <v>1.4837837448266056E-2</v>
      </c>
      <c r="HO11">
        <f>VLOOKUP(A11,Лист3!$C$4:$F$149,2,0)</f>
        <v>170</v>
      </c>
      <c r="HP11" s="13">
        <f t="shared" si="78"/>
        <v>3.6585365853658569E-2</v>
      </c>
      <c r="HQ11" s="1">
        <v>267396.9697877001</v>
      </c>
      <c r="HR11" s="13">
        <v>1.4956830060716797E-2</v>
      </c>
      <c r="HS11">
        <v>174</v>
      </c>
      <c r="HT11" s="13">
        <v>2.3529411764705799E-2</v>
      </c>
      <c r="HU11" s="34">
        <v>265672.57229677791</v>
      </c>
      <c r="HV11" s="13">
        <v>-6.4488295895471781E-3</v>
      </c>
      <c r="HW11">
        <v>162</v>
      </c>
      <c r="HX11" s="13">
        <v>-6.8965517241379337E-2</v>
      </c>
      <c r="HY11">
        <v>265724.78396354272</v>
      </c>
      <c r="HZ11" s="13">
        <v>1.9652637196765355E-4</v>
      </c>
      <c r="IA11">
        <v>181</v>
      </c>
      <c r="IB11" s="13">
        <v>0.11728395061728403</v>
      </c>
      <c r="IC11" s="34">
        <v>268914.5007961056</v>
      </c>
      <c r="ID11" s="13">
        <v>1.2003836394126166E-2</v>
      </c>
      <c r="IE11">
        <v>176</v>
      </c>
      <c r="IF11" s="13">
        <v>-2.7624309392265234E-2</v>
      </c>
    </row>
    <row r="12" spans="1:240" x14ac:dyDescent="0.3">
      <c r="A12" s="23" t="s">
        <v>28</v>
      </c>
      <c r="B12" s="22">
        <v>175193.3357733333</v>
      </c>
      <c r="C12">
        <v>90</v>
      </c>
      <c r="D12" s="22">
        <v>180170.50144687502</v>
      </c>
      <c r="E12">
        <v>96</v>
      </c>
      <c r="F12" s="22">
        <v>181021</v>
      </c>
      <c r="G12">
        <v>71</v>
      </c>
      <c r="H12" s="22">
        <v>181545.81700339721</v>
      </c>
      <c r="I12">
        <v>64</v>
      </c>
      <c r="J12" s="22">
        <v>181892.33662283883</v>
      </c>
      <c r="K12">
        <v>72</v>
      </c>
      <c r="L12" s="22">
        <v>181053.61882365745</v>
      </c>
      <c r="M12">
        <v>79</v>
      </c>
      <c r="N12" s="22">
        <v>184111.85152039595</v>
      </c>
      <c r="O12" s="28">
        <v>86</v>
      </c>
      <c r="P12" s="35">
        <v>188991.64021597369</v>
      </c>
      <c r="Q12" s="28">
        <v>92</v>
      </c>
      <c r="R12" s="35">
        <v>194944.76013331045</v>
      </c>
      <c r="S12">
        <v>79</v>
      </c>
      <c r="T12" s="46">
        <v>201385.71504476739</v>
      </c>
      <c r="U12" s="47">
        <v>78</v>
      </c>
      <c r="V12" s="56">
        <v>209926.79813804239</v>
      </c>
      <c r="W12" s="47">
        <v>85</v>
      </c>
      <c r="X12" s="56">
        <v>208197.57853633579</v>
      </c>
      <c r="Y12" s="47">
        <v>79</v>
      </c>
      <c r="Z12" s="34">
        <v>211154.09416867749</v>
      </c>
      <c r="AA12" s="81">
        <v>87</v>
      </c>
      <c r="AB12" s="1">
        <v>215610.65975327959</v>
      </c>
      <c r="AC12">
        <v>107</v>
      </c>
      <c r="AD12" s="1">
        <v>224410.2378167033</v>
      </c>
      <c r="AE12">
        <v>102</v>
      </c>
      <c r="AF12" s="13">
        <f t="shared" si="19"/>
        <v>7.7871507413031615E-2</v>
      </c>
      <c r="AG12" s="85">
        <f t="shared" si="0"/>
        <v>2.8200165883328725E-2</v>
      </c>
      <c r="AH12" s="35" t="e">
        <f>#REF!*AG12</f>
        <v>#REF!</v>
      </c>
      <c r="AI12" s="87" t="e">
        <f t="shared" si="20"/>
        <v>#REF!</v>
      </c>
      <c r="AL12" s="1">
        <v>229501.1024861219</v>
      </c>
      <c r="AR12" s="90">
        <v>106</v>
      </c>
      <c r="AS12">
        <v>138</v>
      </c>
      <c r="AT12" s="1">
        <v>230795.99752741001</v>
      </c>
      <c r="AU12" s="13">
        <f t="shared" si="21"/>
        <v>5.6422170841921027E-3</v>
      </c>
      <c r="AV12" s="35">
        <v>124</v>
      </c>
      <c r="AW12" s="1">
        <v>233788.64534269401</v>
      </c>
      <c r="AX12" s="61">
        <v>140</v>
      </c>
      <c r="AY12" s="121">
        <v>233273.93136147401</v>
      </c>
      <c r="AZ12" s="122">
        <v>128</v>
      </c>
      <c r="BA12" s="119">
        <v>232386.50396162301</v>
      </c>
      <c r="BB12" s="35">
        <v>125</v>
      </c>
      <c r="BC12" s="125">
        <f t="shared" si="22"/>
        <v>-3.8042287651759432E-3</v>
      </c>
      <c r="BD12">
        <v>142</v>
      </c>
      <c r="BE12" s="1">
        <v>254963.4602991984</v>
      </c>
      <c r="BF12" s="13">
        <f t="shared" si="1"/>
        <v>9.7152614083405808E-2</v>
      </c>
      <c r="BG12">
        <v>128</v>
      </c>
      <c r="BH12" s="1">
        <v>259967.72062241781</v>
      </c>
      <c r="BI12" s="13">
        <f t="shared" si="23"/>
        <v>1.9627362749732535E-2</v>
      </c>
      <c r="BJ12">
        <v>118</v>
      </c>
      <c r="BK12" s="1">
        <v>262332.73316307511</v>
      </c>
      <c r="BL12" s="13">
        <f t="shared" si="2"/>
        <v>9.0973315263715993E-3</v>
      </c>
      <c r="BM12" s="1">
        <v>262758.23321623477</v>
      </c>
      <c r="BN12" s="109">
        <f t="shared" si="3"/>
        <v>1.6219861243742528E-3</v>
      </c>
      <c r="BO12">
        <v>109</v>
      </c>
      <c r="BP12" s="13">
        <f t="shared" si="4"/>
        <v>-7.6271186440677985E-2</v>
      </c>
      <c r="BQ12" s="1">
        <v>267547.3023733127</v>
      </c>
      <c r="BR12" s="13">
        <f t="shared" si="5"/>
        <v>1.8226143091534697E-2</v>
      </c>
      <c r="BS12">
        <v>123</v>
      </c>
      <c r="BT12" s="13">
        <f t="shared" si="6"/>
        <v>0.12844036697247696</v>
      </c>
      <c r="BU12" s="1">
        <v>269143.54546222609</v>
      </c>
      <c r="BV12" s="13">
        <f t="shared" si="7"/>
        <v>5.9662088713050565E-3</v>
      </c>
      <c r="BW12">
        <v>133</v>
      </c>
      <c r="BX12" s="13">
        <f t="shared" si="8"/>
        <v>8.1300813008130079E-2</v>
      </c>
      <c r="BY12" s="1">
        <v>280570.1005804672</v>
      </c>
      <c r="BZ12" s="13">
        <f t="shared" si="9"/>
        <v>4.2455244834562977E-2</v>
      </c>
      <c r="CA12">
        <v>112</v>
      </c>
      <c r="CB12" s="13">
        <f t="shared" si="10"/>
        <v>-0.15789473684210531</v>
      </c>
      <c r="CC12" s="1">
        <v>277125.27960837731</v>
      </c>
      <c r="CD12" s="13">
        <f t="shared" si="11"/>
        <v>-1.2277933268594721E-2</v>
      </c>
      <c r="CE12">
        <v>110</v>
      </c>
      <c r="CF12" s="13">
        <f t="shared" si="12"/>
        <v>-1.7857142857142905E-2</v>
      </c>
      <c r="CG12" s="1">
        <v>273802.65360073763</v>
      </c>
      <c r="CH12" s="13">
        <f t="shared" si="13"/>
        <v>-1.1989617159196331E-2</v>
      </c>
      <c r="CI12">
        <v>127</v>
      </c>
      <c r="CJ12" s="13">
        <f t="shared" si="14"/>
        <v>0.15454545454545454</v>
      </c>
      <c r="CK12" s="1">
        <v>271044.79238658148</v>
      </c>
      <c r="CL12" s="13">
        <f t="shared" si="15"/>
        <v>-1.0072441511752794E-2</v>
      </c>
      <c r="CM12">
        <v>139</v>
      </c>
      <c r="CN12" s="13">
        <f t="shared" si="16"/>
        <v>9.4488188976378007E-2</v>
      </c>
      <c r="CO12" s="1">
        <v>268916.35947785928</v>
      </c>
      <c r="CP12" s="13">
        <v>-7.8526980355575482E-3</v>
      </c>
      <c r="CQ12">
        <v>136</v>
      </c>
      <c r="CR12" s="13">
        <v>-2.1582733812949617E-2</v>
      </c>
      <c r="CS12" s="1">
        <v>265448.36697959132</v>
      </c>
      <c r="CT12" s="13">
        <f t="shared" si="24"/>
        <v>-1.289617524572173E-2</v>
      </c>
      <c r="CU12">
        <v>161</v>
      </c>
      <c r="CV12" s="13">
        <f t="shared" si="25"/>
        <v>0.18382352941176472</v>
      </c>
      <c r="CW12" s="1">
        <v>261173.38962339959</v>
      </c>
      <c r="CX12" s="13">
        <f t="shared" si="26"/>
        <v>-1.6104741591875804E-2</v>
      </c>
      <c r="CY12">
        <v>162</v>
      </c>
      <c r="CZ12" s="13">
        <f t="shared" si="27"/>
        <v>6.2111801242235032E-3</v>
      </c>
      <c r="DA12" s="1">
        <v>252158.30101141069</v>
      </c>
      <c r="DB12" s="13">
        <f t="shared" si="28"/>
        <v>-3.4517638358901204E-2</v>
      </c>
      <c r="DC12">
        <v>153</v>
      </c>
      <c r="DD12" s="13">
        <f t="shared" si="29"/>
        <v>-5.555555555555558E-2</v>
      </c>
      <c r="DE12" s="1">
        <v>251321.63976769499</v>
      </c>
      <c r="DF12" s="13">
        <f t="shared" si="30"/>
        <v>-3.3180000038065538E-3</v>
      </c>
      <c r="DG12" s="1">
        <v>138</v>
      </c>
      <c r="DH12" s="13">
        <f t="shared" si="31"/>
        <v>-9.8039215686274495E-2</v>
      </c>
      <c r="DI12" s="1">
        <v>256667.19209684461</v>
      </c>
      <c r="DJ12" s="13">
        <f t="shared" si="32"/>
        <v>2.1269765445151023E-2</v>
      </c>
      <c r="DK12" s="1">
        <v>134</v>
      </c>
      <c r="DL12" s="13">
        <f t="shared" si="33"/>
        <v>-2.8985507246376829E-2</v>
      </c>
      <c r="DM12" s="1">
        <v>254258.4329309981</v>
      </c>
      <c r="DN12" s="13">
        <f t="shared" si="34"/>
        <v>-9.3847567590081837E-3</v>
      </c>
      <c r="DO12" s="1">
        <v>133</v>
      </c>
      <c r="DP12" s="13">
        <f t="shared" si="35"/>
        <v>-7.4626865671642006E-3</v>
      </c>
      <c r="DQ12" s="1">
        <v>251915.2225048315</v>
      </c>
      <c r="DR12" s="13">
        <f t="shared" si="36"/>
        <v>-9.2158611974239024E-3</v>
      </c>
      <c r="DS12">
        <v>132</v>
      </c>
      <c r="DT12" s="13">
        <f t="shared" si="37"/>
        <v>-7.5187969924812581E-3</v>
      </c>
      <c r="DU12" s="1">
        <v>254768.98975827271</v>
      </c>
      <c r="DV12" s="13">
        <f t="shared" si="38"/>
        <v>1.1328284273835365E-2</v>
      </c>
      <c r="DW12">
        <v>116</v>
      </c>
      <c r="DX12" s="13">
        <f t="shared" si="39"/>
        <v>-0.12121212121212122</v>
      </c>
      <c r="DY12" s="1">
        <v>255900.72441147859</v>
      </c>
      <c r="DZ12" s="13">
        <f t="shared" si="40"/>
        <v>4.4421993990699793E-3</v>
      </c>
      <c r="EA12" s="1">
        <v>115</v>
      </c>
      <c r="EB12" s="13">
        <f t="shared" si="41"/>
        <v>-8.6206896551723755E-3</v>
      </c>
      <c r="EC12" s="1">
        <v>252804.1521111828</v>
      </c>
      <c r="ED12" s="13">
        <f t="shared" si="42"/>
        <v>-1.2100678133746157E-2</v>
      </c>
      <c r="EE12" s="1">
        <f>IFERROR(VLOOKUP($A12,[1]Москва_продажа_районы!$C$2:$F$148,2,0),"")</f>
        <v>110</v>
      </c>
      <c r="EF12" s="13">
        <v>-4.3478260869565188E-2</v>
      </c>
      <c r="EG12" s="1">
        <v>253731.25699708081</v>
      </c>
      <c r="EH12" s="13">
        <f t="shared" si="43"/>
        <v>3.6672850432071247E-3</v>
      </c>
      <c r="EI12" s="1">
        <f>IFERROR(VLOOKUP($A12,[2]Москва_продажа_районы!$C$2:$F$150,2,0),"")</f>
        <v>98</v>
      </c>
      <c r="EJ12" s="13">
        <v>-0.10909090909090913</v>
      </c>
      <c r="EK12" s="1">
        <v>264529.20790157851</v>
      </c>
      <c r="EL12" s="13">
        <f t="shared" si="44"/>
        <v>4.2556644507625307E-2</v>
      </c>
      <c r="EM12">
        <v>98</v>
      </c>
      <c r="EN12" s="13">
        <f t="shared" si="45"/>
        <v>0</v>
      </c>
      <c r="EO12" s="1">
        <v>274130.31217133481</v>
      </c>
      <c r="EP12" s="13">
        <f t="shared" si="46"/>
        <v>3.6295063013716433E-2</v>
      </c>
      <c r="EQ12">
        <v>92</v>
      </c>
      <c r="ER12" s="13">
        <f t="shared" si="47"/>
        <v>-6.1224489795918324E-2</v>
      </c>
      <c r="ES12" s="183">
        <v>286379.04074035352</v>
      </c>
      <c r="ET12" s="13">
        <f t="shared" si="48"/>
        <v>4.4682138476401345E-2</v>
      </c>
      <c r="EU12">
        <v>108</v>
      </c>
      <c r="EV12" s="13">
        <f t="shared" si="49"/>
        <v>0.17391304347826098</v>
      </c>
      <c r="EW12" s="183">
        <v>289114.42919470777</v>
      </c>
      <c r="EX12" s="13">
        <f t="shared" si="50"/>
        <v>9.5516363463006293E-3</v>
      </c>
      <c r="EY12">
        <v>123</v>
      </c>
      <c r="EZ12" s="13">
        <f t="shared" si="51"/>
        <v>0.13888888888888884</v>
      </c>
      <c r="FA12" s="1">
        <v>287488.52417321852</v>
      </c>
      <c r="FB12" s="13">
        <f t="shared" si="52"/>
        <v>-5.6237422186710129E-3</v>
      </c>
      <c r="FC12" s="1">
        <v>105</v>
      </c>
      <c r="FD12" s="13">
        <f t="shared" si="53"/>
        <v>-0.14634146341463417</v>
      </c>
      <c r="FE12" s="1">
        <v>286190.10853194649</v>
      </c>
      <c r="FF12" s="13">
        <f t="shared" si="54"/>
        <v>-4.5164085940686549E-3</v>
      </c>
      <c r="FG12" s="1">
        <v>113</v>
      </c>
      <c r="FH12" s="13">
        <f t="shared" si="55"/>
        <v>7.6190476190476142E-2</v>
      </c>
      <c r="FI12" s="1">
        <v>287885.02919613442</v>
      </c>
      <c r="FJ12" s="13">
        <f t="shared" si="56"/>
        <v>5.9223593466672941E-3</v>
      </c>
      <c r="FK12" s="1">
        <v>140</v>
      </c>
      <c r="FL12" s="13">
        <f t="shared" si="57"/>
        <v>0.23893805309734506</v>
      </c>
      <c r="FM12" s="1">
        <v>290570.76590054651</v>
      </c>
      <c r="FN12" s="13">
        <f t="shared" si="58"/>
        <v>9.329198923304638E-3</v>
      </c>
      <c r="FO12" s="1">
        <v>139</v>
      </c>
      <c r="FP12" s="13">
        <f t="shared" si="59"/>
        <v>-7.1428571428571175E-3</v>
      </c>
      <c r="FQ12" s="1">
        <v>286013.35422785737</v>
      </c>
      <c r="FR12" s="13">
        <f t="shared" si="60"/>
        <v>-1.5684343394163025E-2</v>
      </c>
      <c r="FS12">
        <v>152</v>
      </c>
      <c r="FT12" s="13">
        <f t="shared" si="61"/>
        <v>9.3525179856115193E-2</v>
      </c>
      <c r="FU12" s="1">
        <v>286316.12753653183</v>
      </c>
      <c r="FV12" s="13">
        <f t="shared" si="62"/>
        <v>1.0585985031776879E-3</v>
      </c>
      <c r="FW12" s="1">
        <v>159</v>
      </c>
      <c r="FX12" s="13">
        <f t="shared" si="63"/>
        <v>4.6052631578947345E-2</v>
      </c>
      <c r="FY12" s="1">
        <v>286501.16831449122</v>
      </c>
      <c r="FZ12" s="13">
        <f t="shared" si="64"/>
        <v>6.4628136581568185E-4</v>
      </c>
      <c r="GA12" s="1">
        <v>144</v>
      </c>
      <c r="GB12" s="13">
        <f t="shared" si="65"/>
        <v>-9.4339622641509413E-2</v>
      </c>
      <c r="GC12" s="1">
        <v>289066.23500804312</v>
      </c>
      <c r="GD12" s="13">
        <f t="shared" si="66"/>
        <v>8.9530758587910153E-3</v>
      </c>
      <c r="GE12" s="1">
        <v>144</v>
      </c>
      <c r="GF12" s="13">
        <f t="shared" si="67"/>
        <v>0</v>
      </c>
      <c r="GG12" s="1">
        <f>IFERROR(VLOOKUP(A12,[3]Москва_продажа_районы!$C$2:$F$149,3,0),"")</f>
        <v>296620.51679219928</v>
      </c>
      <c r="GH12" s="13">
        <v>2.6133393905192648E-2</v>
      </c>
      <c r="GI12" s="1">
        <v>149</v>
      </c>
      <c r="GJ12" s="13">
        <f t="shared" si="68"/>
        <v>3.4722222222222321E-2</v>
      </c>
      <c r="GK12" s="1">
        <v>290610.56337103469</v>
      </c>
      <c r="GL12" s="13">
        <f t="shared" si="69"/>
        <v>-2.0261421853616901E-2</v>
      </c>
      <c r="GM12" s="1">
        <v>137</v>
      </c>
      <c r="GN12" s="13">
        <f t="shared" si="70"/>
        <v>-8.0536912751677847E-2</v>
      </c>
      <c r="GO12" s="1">
        <v>275788.12548110232</v>
      </c>
      <c r="GP12" s="13">
        <f t="shared" si="71"/>
        <v>-5.100447044317491E-2</v>
      </c>
      <c r="GQ12" s="1">
        <v>113.42</v>
      </c>
      <c r="GR12" s="13">
        <f t="shared" si="72"/>
        <v>-0.17211678832116784</v>
      </c>
      <c r="GS12" s="1">
        <v>280359.60297440429</v>
      </c>
      <c r="GT12" s="13">
        <f t="shared" si="17"/>
        <v>1.6576049042456686E-2</v>
      </c>
      <c r="GU12">
        <v>116</v>
      </c>
      <c r="GV12" s="13">
        <f t="shared" si="18"/>
        <v>2.2747310879915439E-2</v>
      </c>
      <c r="GW12">
        <v>282830.57590503892</v>
      </c>
      <c r="GX12" s="13">
        <f t="shared" si="73"/>
        <v>8.8135840699568035E-3</v>
      </c>
      <c r="GY12">
        <v>95</v>
      </c>
      <c r="GZ12" s="13">
        <f t="shared" si="74"/>
        <v>-0.18103448275862066</v>
      </c>
      <c r="HA12">
        <v>287629.26299829961</v>
      </c>
      <c r="HB12" s="13">
        <v>1.6966648948421481E-2</v>
      </c>
      <c r="HC12">
        <v>77</v>
      </c>
      <c r="HD12" s="13">
        <v>-0.18947368421052635</v>
      </c>
      <c r="HE12">
        <v>288135.04989117302</v>
      </c>
      <c r="HF12" s="13">
        <v>1.7584681322095896E-3</v>
      </c>
      <c r="HG12">
        <v>100</v>
      </c>
      <c r="HH12" s="13">
        <v>0.29870129870129869</v>
      </c>
      <c r="HI12">
        <f>VLOOKUP(A12,[4]Москва_продажа_районы!$C$4:$F$151,3,0)</f>
        <v>285417.69540015649</v>
      </c>
      <c r="HJ12" s="13">
        <f t="shared" si="75"/>
        <v>-9.4308363111078597E-3</v>
      </c>
      <c r="HK12">
        <f>VLOOKUP(A12,[4]Москва_продажа_районы!$C$4:$F$151,2,0)</f>
        <v>108</v>
      </c>
      <c r="HL12" s="13">
        <f t="shared" si="76"/>
        <v>8.0000000000000071E-2</v>
      </c>
      <c r="HM12" s="1">
        <f>VLOOKUP(A12,Лист3!$C$4:$F$149,3,0)</f>
        <v>285604.23931073828</v>
      </c>
      <c r="HN12" s="13">
        <f t="shared" si="77"/>
        <v>6.5358214850785856E-4</v>
      </c>
      <c r="HO12">
        <f>VLOOKUP(A12,Лист3!$C$4:$F$149,2,0)</f>
        <v>78</v>
      </c>
      <c r="HP12" s="13">
        <f t="shared" si="78"/>
        <v>-0.27777777777777779</v>
      </c>
      <c r="HQ12" s="1">
        <v>283169.83151751797</v>
      </c>
      <c r="HR12" s="13">
        <v>-8.5237102890887151E-3</v>
      </c>
      <c r="HS12">
        <v>86</v>
      </c>
      <c r="HT12" s="13">
        <v>0.10256410256410264</v>
      </c>
      <c r="HU12" s="34">
        <v>288836.35841975431</v>
      </c>
      <c r="HV12" s="13">
        <v>2.0011054397529593E-2</v>
      </c>
      <c r="HW12">
        <v>85</v>
      </c>
      <c r="HX12" s="13">
        <v>-1.1627906976744207E-2</v>
      </c>
      <c r="HY12">
        <v>296590.4802362519</v>
      </c>
      <c r="HZ12" s="13">
        <v>2.6846072492123119E-2</v>
      </c>
      <c r="IA12">
        <v>100</v>
      </c>
      <c r="IB12" s="13">
        <v>0.17647058823529416</v>
      </c>
      <c r="IC12" s="34">
        <v>292177.92070109001</v>
      </c>
      <c r="ID12" s="13">
        <v>-1.4877616879837241E-2</v>
      </c>
      <c r="IE12">
        <v>75</v>
      </c>
      <c r="IF12" s="13">
        <v>-0.25</v>
      </c>
    </row>
    <row r="13" spans="1:240" x14ac:dyDescent="0.3">
      <c r="A13" s="23" t="s">
        <v>29</v>
      </c>
      <c r="B13" s="22">
        <v>188752.00899889198</v>
      </c>
      <c r="C13">
        <v>361</v>
      </c>
      <c r="D13" s="22">
        <v>189498.60783256585</v>
      </c>
      <c r="E13">
        <v>304</v>
      </c>
      <c r="F13" s="22">
        <v>189618.63543687144</v>
      </c>
      <c r="G13">
        <v>179</v>
      </c>
      <c r="H13" s="22">
        <v>190363.12602627787</v>
      </c>
      <c r="I13">
        <v>200</v>
      </c>
      <c r="J13" s="22">
        <v>192499.1909293856</v>
      </c>
      <c r="K13">
        <v>269</v>
      </c>
      <c r="L13" s="22">
        <v>193419.50661253536</v>
      </c>
      <c r="M13">
        <v>241</v>
      </c>
      <c r="N13" s="22">
        <v>198050.8215539075</v>
      </c>
      <c r="O13" s="28">
        <v>233</v>
      </c>
      <c r="P13" s="35">
        <v>197361.72158354873</v>
      </c>
      <c r="Q13" s="28">
        <v>241</v>
      </c>
      <c r="R13" s="35">
        <v>201360.44447071885</v>
      </c>
      <c r="S13">
        <v>254</v>
      </c>
      <c r="T13" s="46">
        <v>207215.56665615298</v>
      </c>
      <c r="U13" s="47">
        <v>218</v>
      </c>
      <c r="V13" s="56">
        <v>214311.79216603111</v>
      </c>
      <c r="W13" s="47">
        <v>195</v>
      </c>
      <c r="X13" s="56">
        <v>219368.95542931629</v>
      </c>
      <c r="Y13" s="47">
        <v>185</v>
      </c>
      <c r="Z13" s="34">
        <v>223599.99680493533</v>
      </c>
      <c r="AA13" s="81">
        <v>204</v>
      </c>
      <c r="AB13" s="1">
        <v>232000.8973866564</v>
      </c>
      <c r="AC13">
        <v>224</v>
      </c>
      <c r="AD13" s="1">
        <v>231531.82797025141</v>
      </c>
      <c r="AE13">
        <v>226</v>
      </c>
      <c r="AF13" s="13">
        <f t="shared" si="19"/>
        <v>5.5444821338241468E-2</v>
      </c>
      <c r="AG13" s="85">
        <f t="shared" si="0"/>
        <v>6.2482720486591099E-2</v>
      </c>
      <c r="AH13" s="35" t="e">
        <f>#REF!*AG13</f>
        <v>#REF!</v>
      </c>
      <c r="AI13" s="87" t="e">
        <f t="shared" si="20"/>
        <v>#REF!</v>
      </c>
      <c r="AL13" s="1">
        <v>234698.6862335763</v>
      </c>
      <c r="AR13" s="90">
        <v>257</v>
      </c>
      <c r="AS13">
        <v>243</v>
      </c>
      <c r="AT13" s="1">
        <v>234523.57317433899</v>
      </c>
      <c r="AU13" s="13">
        <f t="shared" si="21"/>
        <v>-7.4611861722584383E-4</v>
      </c>
      <c r="AV13" s="35">
        <v>281</v>
      </c>
      <c r="AW13" s="1">
        <v>242515.82344853901</v>
      </c>
      <c r="AX13" s="61">
        <v>298</v>
      </c>
      <c r="AY13" s="121">
        <v>242881.4472698399</v>
      </c>
      <c r="AZ13" s="122">
        <v>274</v>
      </c>
      <c r="BA13" s="119">
        <v>247596.89471676981</v>
      </c>
      <c r="BB13" s="35">
        <v>274</v>
      </c>
      <c r="BC13" s="125">
        <f t="shared" si="22"/>
        <v>1.9414605355554615E-2</v>
      </c>
      <c r="BD13">
        <v>274</v>
      </c>
      <c r="BE13" s="1">
        <v>249599.0098480756</v>
      </c>
      <c r="BF13" s="13">
        <f t="shared" si="1"/>
        <v>8.0861883732268325E-3</v>
      </c>
      <c r="BG13">
        <v>234</v>
      </c>
      <c r="BH13" s="1">
        <v>252197.12770734591</v>
      </c>
      <c r="BI13" s="13">
        <f t="shared" si="23"/>
        <v>1.0409167331439706E-2</v>
      </c>
      <c r="BJ13">
        <v>220</v>
      </c>
      <c r="BK13" s="1">
        <v>254753.46944818299</v>
      </c>
      <c r="BL13" s="13">
        <f t="shared" si="2"/>
        <v>1.0136284120584982E-2</v>
      </c>
      <c r="BM13" s="1">
        <v>256431.31687269561</v>
      </c>
      <c r="BN13" s="109">
        <f t="shared" si="3"/>
        <v>6.5861612332385189E-3</v>
      </c>
      <c r="BO13">
        <v>193</v>
      </c>
      <c r="BP13" s="13">
        <f t="shared" si="4"/>
        <v>-0.12272727272727268</v>
      </c>
      <c r="BQ13" s="1">
        <v>264553.47671470162</v>
      </c>
      <c r="BR13" s="13">
        <f t="shared" si="5"/>
        <v>3.1673821829017124E-2</v>
      </c>
      <c r="BS13">
        <v>177</v>
      </c>
      <c r="BT13" s="13">
        <f t="shared" si="6"/>
        <v>-8.2901554404145039E-2</v>
      </c>
      <c r="BU13" s="1">
        <v>273936.43656452309</v>
      </c>
      <c r="BV13" s="13">
        <f t="shared" si="7"/>
        <v>3.5467157590751253E-2</v>
      </c>
      <c r="BW13">
        <v>170</v>
      </c>
      <c r="BX13" s="13">
        <f t="shared" si="8"/>
        <v>-3.9548022598870025E-2</v>
      </c>
      <c r="BY13" s="1">
        <v>274279.50320794102</v>
      </c>
      <c r="BZ13" s="13">
        <f t="shared" si="9"/>
        <v>1.2523585679962146E-3</v>
      </c>
      <c r="CA13">
        <v>177</v>
      </c>
      <c r="CB13" s="13">
        <f t="shared" si="10"/>
        <v>4.117647058823537E-2</v>
      </c>
      <c r="CC13" s="1">
        <v>271417.38287247001</v>
      </c>
      <c r="CD13" s="13">
        <f t="shared" si="11"/>
        <v>-1.0435050020129011E-2</v>
      </c>
      <c r="CE13">
        <v>219</v>
      </c>
      <c r="CF13" s="13">
        <f t="shared" si="12"/>
        <v>0.23728813559322037</v>
      </c>
      <c r="CG13" s="1">
        <v>269162.55215507612</v>
      </c>
      <c r="CH13" s="13">
        <f t="shared" si="13"/>
        <v>-8.3076135121874506E-3</v>
      </c>
      <c r="CI13">
        <v>242</v>
      </c>
      <c r="CJ13" s="13">
        <f t="shared" si="14"/>
        <v>0.10502283105022836</v>
      </c>
      <c r="CK13" s="1">
        <v>266732.30359430693</v>
      </c>
      <c r="CL13" s="13">
        <f t="shared" si="15"/>
        <v>-9.0289252398269015E-3</v>
      </c>
      <c r="CM13">
        <v>269</v>
      </c>
      <c r="CN13" s="13">
        <f t="shared" si="16"/>
        <v>0.11157024793388426</v>
      </c>
      <c r="CO13" s="1">
        <v>264478.85356154328</v>
      </c>
      <c r="CP13" s="13">
        <v>-8.4483581568398636E-3</v>
      </c>
      <c r="CQ13">
        <v>273</v>
      </c>
      <c r="CR13" s="13">
        <v>1.4869888475836479E-2</v>
      </c>
      <c r="CS13" s="1">
        <v>265185.5217636858</v>
      </c>
      <c r="CT13" s="13">
        <f t="shared" si="24"/>
        <v>2.6719270468180678E-3</v>
      </c>
      <c r="CU13">
        <v>298</v>
      </c>
      <c r="CV13" s="13">
        <f t="shared" si="25"/>
        <v>9.1575091575091472E-2</v>
      </c>
      <c r="CW13" s="1">
        <v>262052.74098168901</v>
      </c>
      <c r="CX13" s="13">
        <f t="shared" si="26"/>
        <v>-1.1813543820799133E-2</v>
      </c>
      <c r="CY13">
        <v>314</v>
      </c>
      <c r="CZ13" s="13">
        <f t="shared" si="27"/>
        <v>5.3691275167785157E-2</v>
      </c>
      <c r="DA13" s="1">
        <v>257877.09160006719</v>
      </c>
      <c r="DB13" s="13">
        <f t="shared" si="28"/>
        <v>-1.5934385444621668E-2</v>
      </c>
      <c r="DC13">
        <v>304</v>
      </c>
      <c r="DD13" s="13">
        <f t="shared" si="29"/>
        <v>-3.1847133757961776E-2</v>
      </c>
      <c r="DE13" s="1">
        <v>254993.15101035891</v>
      </c>
      <c r="DF13" s="13">
        <f t="shared" si="30"/>
        <v>-1.1183391947745758E-2</v>
      </c>
      <c r="DG13" s="1">
        <v>272</v>
      </c>
      <c r="DH13" s="13">
        <f t="shared" si="31"/>
        <v>-0.10526315789473684</v>
      </c>
      <c r="DI13" s="1">
        <v>260304.91805636219</v>
      </c>
      <c r="DJ13" s="13">
        <f t="shared" si="32"/>
        <v>2.0831018499738008E-2</v>
      </c>
      <c r="DK13" s="1">
        <v>262</v>
      </c>
      <c r="DL13" s="13">
        <f t="shared" si="33"/>
        <v>-3.6764705882352922E-2</v>
      </c>
      <c r="DM13" s="1">
        <v>256095.2792590207</v>
      </c>
      <c r="DN13" s="13">
        <f t="shared" si="34"/>
        <v>-1.6171952603792228E-2</v>
      </c>
      <c r="DO13" s="1">
        <v>282</v>
      </c>
      <c r="DP13" s="13">
        <f t="shared" si="35"/>
        <v>7.6335877862595325E-2</v>
      </c>
      <c r="DQ13" s="1">
        <v>255722.40246676581</v>
      </c>
      <c r="DR13" s="13">
        <f t="shared" si="36"/>
        <v>-1.4560080659579144E-3</v>
      </c>
      <c r="DS13">
        <v>295</v>
      </c>
      <c r="DT13" s="13">
        <f t="shared" si="37"/>
        <v>4.6099290780141855E-2</v>
      </c>
      <c r="DU13" s="1">
        <v>256859.80082257069</v>
      </c>
      <c r="DV13" s="13">
        <f t="shared" si="38"/>
        <v>4.4477853517457255E-3</v>
      </c>
      <c r="DW13">
        <v>271</v>
      </c>
      <c r="DX13" s="13">
        <f t="shared" si="39"/>
        <v>-8.135593220338988E-2</v>
      </c>
      <c r="DY13" s="1">
        <v>263088.81283181038</v>
      </c>
      <c r="DZ13" s="13">
        <f t="shared" si="40"/>
        <v>2.4250630068589407E-2</v>
      </c>
      <c r="EA13" s="1">
        <v>292</v>
      </c>
      <c r="EB13" s="13">
        <f t="shared" si="41"/>
        <v>7.7490774907749138E-2</v>
      </c>
      <c r="EC13" s="1">
        <v>269296.72467537387</v>
      </c>
      <c r="ED13" s="13">
        <f t="shared" si="42"/>
        <v>2.359625928880571E-2</v>
      </c>
      <c r="EE13" s="1">
        <f>IFERROR(VLOOKUP($A13,[1]Москва_продажа_районы!$C$2:$F$148,2,0),"")</f>
        <v>280</v>
      </c>
      <c r="EF13" s="13">
        <v>-4.1095890410958957E-2</v>
      </c>
      <c r="EG13" s="1">
        <v>266055.15529841988</v>
      </c>
      <c r="EH13" s="13">
        <f t="shared" si="43"/>
        <v>-1.2037165995470556E-2</v>
      </c>
      <c r="EI13" s="1">
        <f>IFERROR(VLOOKUP($A13,[2]Москва_продажа_районы!$C$2:$F$150,2,0),"")</f>
        <v>242</v>
      </c>
      <c r="EJ13" s="13">
        <v>-0.13571428571428568</v>
      </c>
      <c r="EK13" s="1">
        <v>275475.51141334261</v>
      </c>
      <c r="EL13" s="13">
        <f t="shared" si="44"/>
        <v>3.5407530834561163E-2</v>
      </c>
      <c r="EM13">
        <v>226</v>
      </c>
      <c r="EN13" s="13">
        <f t="shared" si="45"/>
        <v>-6.6115702479338845E-2</v>
      </c>
      <c r="EO13" s="1">
        <v>277447.40796504047</v>
      </c>
      <c r="EP13" s="13">
        <f t="shared" si="46"/>
        <v>7.1581555165500799E-3</v>
      </c>
      <c r="EQ13">
        <v>228</v>
      </c>
      <c r="ER13" s="13">
        <f t="shared" si="47"/>
        <v>8.8495575221239076E-3</v>
      </c>
      <c r="ES13" s="183">
        <v>282486.95491118019</v>
      </c>
      <c r="ET13" s="13">
        <f t="shared" si="48"/>
        <v>1.8163971986989047E-2</v>
      </c>
      <c r="EU13">
        <v>225</v>
      </c>
      <c r="EV13" s="13">
        <f t="shared" si="49"/>
        <v>-1.3157894736842146E-2</v>
      </c>
      <c r="EW13" s="183">
        <v>281099.28023305192</v>
      </c>
      <c r="EX13" s="13">
        <f t="shared" si="50"/>
        <v>-4.9123495935045058E-3</v>
      </c>
      <c r="EY13">
        <v>202</v>
      </c>
      <c r="EZ13" s="13">
        <f t="shared" si="51"/>
        <v>-0.10222222222222221</v>
      </c>
      <c r="FA13" s="1">
        <v>288959.75715145381</v>
      </c>
      <c r="FB13" s="13">
        <f t="shared" si="52"/>
        <v>2.7963347724992316E-2</v>
      </c>
      <c r="FC13" s="1">
        <v>176</v>
      </c>
      <c r="FD13" s="13">
        <f t="shared" si="53"/>
        <v>-0.12871287128712872</v>
      </c>
      <c r="FE13" s="1">
        <v>289163.99160472362</v>
      </c>
      <c r="FF13" s="13">
        <f t="shared" si="54"/>
        <v>7.0679202973833455E-4</v>
      </c>
      <c r="FG13" s="1">
        <v>179</v>
      </c>
      <c r="FH13" s="13">
        <f t="shared" si="55"/>
        <v>1.7045454545454586E-2</v>
      </c>
      <c r="FI13" s="1">
        <v>287115.43711750698</v>
      </c>
      <c r="FJ13" s="13">
        <f t="shared" si="56"/>
        <v>-7.0844038216796301E-3</v>
      </c>
      <c r="FK13" s="1">
        <v>219</v>
      </c>
      <c r="FL13" s="13">
        <f t="shared" si="57"/>
        <v>0.22346368715083798</v>
      </c>
      <c r="FM13" s="1">
        <v>288273.5782534274</v>
      </c>
      <c r="FN13" s="13">
        <f t="shared" si="58"/>
        <v>4.0337125288265607E-3</v>
      </c>
      <c r="FO13" s="1">
        <v>229</v>
      </c>
      <c r="FP13" s="13">
        <f t="shared" si="59"/>
        <v>4.5662100456621113E-2</v>
      </c>
      <c r="FQ13" s="1">
        <v>288661.78361570713</v>
      </c>
      <c r="FR13" s="13">
        <f t="shared" si="60"/>
        <v>1.3466560641171021E-3</v>
      </c>
      <c r="FS13">
        <v>249</v>
      </c>
      <c r="FT13" s="13">
        <f t="shared" si="61"/>
        <v>8.7336244541484698E-2</v>
      </c>
      <c r="FU13" s="1">
        <v>290420.62176487618</v>
      </c>
      <c r="FV13" s="13">
        <f t="shared" si="62"/>
        <v>6.0930758728718892E-3</v>
      </c>
      <c r="FW13" s="1">
        <v>262</v>
      </c>
      <c r="FX13" s="13">
        <f t="shared" si="63"/>
        <v>5.2208835341365445E-2</v>
      </c>
      <c r="FY13" s="1">
        <v>288538.12700287282</v>
      </c>
      <c r="FZ13" s="13">
        <f t="shared" si="64"/>
        <v>-6.4819596851060091E-3</v>
      </c>
      <c r="GA13" s="1">
        <v>266</v>
      </c>
      <c r="GB13" s="13">
        <f t="shared" si="65"/>
        <v>1.5267175572519109E-2</v>
      </c>
      <c r="GC13" s="1">
        <v>289380.34356703499</v>
      </c>
      <c r="GD13" s="13">
        <f t="shared" si="66"/>
        <v>2.9189090984629296E-3</v>
      </c>
      <c r="GE13" s="1">
        <v>275</v>
      </c>
      <c r="GF13" s="13">
        <f t="shared" si="67"/>
        <v>3.3834586466165328E-2</v>
      </c>
      <c r="GG13" s="1">
        <f>IFERROR(VLOOKUP(A13,[3]Москва_продажа_районы!$C$2:$F$149,3,0),"")</f>
        <v>288070.55485380639</v>
      </c>
      <c r="GH13" s="13">
        <v>-4.5261841114829782E-3</v>
      </c>
      <c r="GI13" s="1">
        <v>292</v>
      </c>
      <c r="GJ13" s="13">
        <f t="shared" si="68"/>
        <v>6.1818181818181772E-2</v>
      </c>
      <c r="GK13" s="1">
        <v>289614.13328375499</v>
      </c>
      <c r="GL13" s="13">
        <f t="shared" si="69"/>
        <v>5.3583346299725942E-3</v>
      </c>
      <c r="GM13" s="1">
        <v>307</v>
      </c>
      <c r="GN13" s="13">
        <f t="shared" si="70"/>
        <v>5.1369863013698724E-2</v>
      </c>
      <c r="GO13" s="1">
        <v>296444.12130190659</v>
      </c>
      <c r="GP13" s="13">
        <f t="shared" si="71"/>
        <v>2.3583061850989795E-2</v>
      </c>
      <c r="GQ13" s="1">
        <v>304.95000000000005</v>
      </c>
      <c r="GR13" s="13">
        <f t="shared" si="72"/>
        <v>-6.6775244299672742E-3</v>
      </c>
      <c r="GS13" s="1">
        <v>292092.16088119708</v>
      </c>
      <c r="GT13" s="13">
        <f t="shared" si="17"/>
        <v>-1.4680542159503207E-2</v>
      </c>
      <c r="GU13">
        <v>316</v>
      </c>
      <c r="GV13" s="13">
        <f t="shared" si="18"/>
        <v>3.6235448434169371E-2</v>
      </c>
      <c r="GW13">
        <v>290146.66515383578</v>
      </c>
      <c r="GX13" s="13">
        <f t="shared" si="73"/>
        <v>-6.6605543999950223E-3</v>
      </c>
      <c r="GY13">
        <v>267</v>
      </c>
      <c r="GZ13" s="13">
        <f t="shared" si="74"/>
        <v>-0.15506329113924056</v>
      </c>
      <c r="HA13">
        <v>292703.65657674521</v>
      </c>
      <c r="HB13" s="13">
        <v>8.812754823680935E-3</v>
      </c>
      <c r="HC13">
        <v>225</v>
      </c>
      <c r="HD13" s="13">
        <v>-0.15730337078651691</v>
      </c>
      <c r="HE13">
        <v>300573.84859261778</v>
      </c>
      <c r="HF13" s="13">
        <v>2.6887918340060324E-2</v>
      </c>
      <c r="HG13">
        <v>208</v>
      </c>
      <c r="HH13" s="13">
        <v>-7.5555555555555598E-2</v>
      </c>
      <c r="HI13">
        <f>VLOOKUP(A13,[4]Москва_продажа_районы!$C$4:$F$151,3,0)</f>
        <v>300466.75983139442</v>
      </c>
      <c r="HJ13" s="13">
        <f t="shared" si="75"/>
        <v>-3.5628103284690571E-4</v>
      </c>
      <c r="HK13">
        <f>VLOOKUP(A13,[4]Москва_продажа_районы!$C$4:$F$151,2,0)</f>
        <v>208</v>
      </c>
      <c r="HL13" s="13">
        <f t="shared" si="76"/>
        <v>0</v>
      </c>
      <c r="HM13" s="1">
        <f>VLOOKUP(A13,Лист3!$C$4:$F$149,3,0)</f>
        <v>297223.46485330479</v>
      </c>
      <c r="HN13" s="13">
        <f t="shared" si="77"/>
        <v>-1.0794188947588101E-2</v>
      </c>
      <c r="HO13">
        <f>VLOOKUP(A13,Лист3!$C$4:$F$149,2,0)</f>
        <v>231</v>
      </c>
      <c r="HP13" s="13">
        <f t="shared" si="78"/>
        <v>0.11057692307692313</v>
      </c>
      <c r="HQ13" s="1">
        <v>295388.30873122357</v>
      </c>
      <c r="HR13" s="13">
        <v>-6.1743312325187594E-3</v>
      </c>
      <c r="HS13">
        <v>237</v>
      </c>
      <c r="HT13" s="13">
        <v>2.5974025974025983E-2</v>
      </c>
      <c r="HU13" s="34">
        <v>299154.36291990633</v>
      </c>
      <c r="HV13" s="13">
        <v>1.2749503204304347E-2</v>
      </c>
      <c r="HW13">
        <v>213</v>
      </c>
      <c r="HX13" s="13">
        <v>-0.10126582278481011</v>
      </c>
      <c r="HY13">
        <v>299810.58014029288</v>
      </c>
      <c r="HZ13" s="13">
        <v>2.193573959548889E-3</v>
      </c>
      <c r="IA13">
        <v>203</v>
      </c>
      <c r="IB13" s="13">
        <v>-4.6948356807511749E-2</v>
      </c>
      <c r="IC13" s="34">
        <v>299797.26678573858</v>
      </c>
      <c r="ID13" s="13">
        <v>-4.4405886370224579E-5</v>
      </c>
      <c r="IE13">
        <v>200</v>
      </c>
      <c r="IF13" s="13">
        <v>-1.4778325123152691E-2</v>
      </c>
    </row>
    <row r="14" spans="1:240" x14ac:dyDescent="0.3">
      <c r="A14" s="23" t="s">
        <v>30</v>
      </c>
      <c r="B14" s="22">
        <v>162585.03273938052</v>
      </c>
      <c r="C14">
        <v>226</v>
      </c>
      <c r="D14" s="22">
        <v>164512.63279638009</v>
      </c>
      <c r="E14">
        <v>221</v>
      </c>
      <c r="F14" s="22">
        <v>164634.47674577456</v>
      </c>
      <c r="G14">
        <v>142</v>
      </c>
      <c r="H14" s="22">
        <v>164050.18299355061</v>
      </c>
      <c r="I14">
        <v>158</v>
      </c>
      <c r="J14" s="22">
        <v>167069.40018435501</v>
      </c>
      <c r="K14">
        <v>207</v>
      </c>
      <c r="L14" s="22">
        <v>169644.84825714296</v>
      </c>
      <c r="M14">
        <v>213</v>
      </c>
      <c r="N14" s="22">
        <v>170466.11710146931</v>
      </c>
      <c r="O14" s="28">
        <v>219</v>
      </c>
      <c r="P14" s="35">
        <v>174884.32718704987</v>
      </c>
      <c r="Q14" s="28">
        <v>209</v>
      </c>
      <c r="R14" s="35">
        <v>179853.12910362624</v>
      </c>
      <c r="S14">
        <v>185</v>
      </c>
      <c r="T14" s="46">
        <v>188482.85497638214</v>
      </c>
      <c r="U14" s="47">
        <v>148</v>
      </c>
      <c r="V14" s="56">
        <v>194456.5186093963</v>
      </c>
      <c r="W14" s="47">
        <v>120</v>
      </c>
      <c r="X14" s="56">
        <v>202919.75775865291</v>
      </c>
      <c r="Y14" s="47">
        <v>123</v>
      </c>
      <c r="Z14" s="34">
        <v>207747.31410351346</v>
      </c>
      <c r="AA14" s="81">
        <v>153</v>
      </c>
      <c r="AB14" s="1">
        <v>214429.99736083279</v>
      </c>
      <c r="AC14">
        <v>173</v>
      </c>
      <c r="AD14" s="1">
        <v>213906.68237663771</v>
      </c>
      <c r="AE14">
        <v>162</v>
      </c>
      <c r="AF14" s="13">
        <f t="shared" si="19"/>
        <v>5.4144183589319717E-2</v>
      </c>
      <c r="AG14" s="85">
        <f t="shared" si="0"/>
        <v>4.4788498755875032E-2</v>
      </c>
      <c r="AH14" s="35" t="e">
        <f>#REF!*AG14</f>
        <v>#REF!</v>
      </c>
      <c r="AI14" s="87" t="e">
        <f t="shared" si="20"/>
        <v>#REF!</v>
      </c>
      <c r="AL14" s="1">
        <v>218974.47366436169</v>
      </c>
      <c r="AR14" s="90">
        <v>162</v>
      </c>
      <c r="AS14">
        <v>162</v>
      </c>
      <c r="AT14" s="1">
        <v>218170.989459901</v>
      </c>
      <c r="AU14" s="13">
        <f t="shared" si="21"/>
        <v>-3.6693053350695948E-3</v>
      </c>
      <c r="AV14" s="35">
        <v>152</v>
      </c>
      <c r="AW14" s="1">
        <v>223987.49206690161</v>
      </c>
      <c r="AX14" s="61">
        <v>168</v>
      </c>
      <c r="AY14" s="121">
        <v>227398.48437380101</v>
      </c>
      <c r="AZ14" s="122">
        <v>149</v>
      </c>
      <c r="BA14" s="119">
        <v>229467.07944860749</v>
      </c>
      <c r="BB14" s="35">
        <v>160</v>
      </c>
      <c r="BC14" s="125">
        <f t="shared" si="22"/>
        <v>9.0967847938954183E-3</v>
      </c>
      <c r="BD14">
        <v>179</v>
      </c>
      <c r="BE14" s="1">
        <v>231966.70861472349</v>
      </c>
      <c r="BF14" s="13">
        <f t="shared" si="1"/>
        <v>1.0893192923893125E-2</v>
      </c>
      <c r="BG14">
        <v>179</v>
      </c>
      <c r="BH14" s="1">
        <v>234165.53491863009</v>
      </c>
      <c r="BI14" s="13">
        <f t="shared" si="23"/>
        <v>9.4790598057701292E-3</v>
      </c>
      <c r="BJ14">
        <v>164</v>
      </c>
      <c r="BK14" s="1">
        <v>235593.73479720289</v>
      </c>
      <c r="BL14" s="13">
        <f t="shared" si="2"/>
        <v>6.0991036920488018E-3</v>
      </c>
      <c r="BM14" s="1">
        <v>240323.34775770601</v>
      </c>
      <c r="BN14" s="109">
        <f t="shared" si="3"/>
        <v>2.0075291749902968E-2</v>
      </c>
      <c r="BO14">
        <v>157</v>
      </c>
      <c r="BP14" s="13">
        <f t="shared" si="4"/>
        <v>-4.2682926829268331E-2</v>
      </c>
      <c r="BQ14" s="1">
        <v>247437.61291651629</v>
      </c>
      <c r="BR14" s="13">
        <f t="shared" si="5"/>
        <v>2.9602888047244091E-2</v>
      </c>
      <c r="BS14">
        <v>183</v>
      </c>
      <c r="BT14" s="13">
        <f t="shared" si="6"/>
        <v>0.16560509554140124</v>
      </c>
      <c r="BU14" s="1">
        <v>253655.72744551991</v>
      </c>
      <c r="BV14" s="13">
        <f t="shared" si="7"/>
        <v>2.5130029568712242E-2</v>
      </c>
      <c r="BW14">
        <v>173</v>
      </c>
      <c r="BX14" s="13">
        <f t="shared" si="8"/>
        <v>-5.4644808743169349E-2</v>
      </c>
      <c r="BY14" s="1">
        <v>255349.60470266259</v>
      </c>
      <c r="BZ14" s="13">
        <f t="shared" si="9"/>
        <v>6.6778592945688775E-3</v>
      </c>
      <c r="CA14">
        <v>153</v>
      </c>
      <c r="CB14" s="13">
        <f t="shared" si="10"/>
        <v>-0.11560693641618502</v>
      </c>
      <c r="CC14" s="1">
        <v>249024.88779457589</v>
      </c>
      <c r="CD14" s="13">
        <f t="shared" si="11"/>
        <v>-2.4768853335220165E-2</v>
      </c>
      <c r="CE14">
        <v>162</v>
      </c>
      <c r="CF14" s="13">
        <f t="shared" si="12"/>
        <v>5.8823529411764719E-2</v>
      </c>
      <c r="CG14" s="1">
        <v>245731.40662202521</v>
      </c>
      <c r="CH14" s="13">
        <f t="shared" si="13"/>
        <v>-1.3225510115549177E-2</v>
      </c>
      <c r="CI14">
        <v>185</v>
      </c>
      <c r="CJ14" s="13">
        <f t="shared" si="14"/>
        <v>0.14197530864197527</v>
      </c>
      <c r="CK14" s="1">
        <v>247167.73996495441</v>
      </c>
      <c r="CL14" s="13">
        <f t="shared" si="15"/>
        <v>5.8451353967077235E-3</v>
      </c>
      <c r="CM14">
        <v>202</v>
      </c>
      <c r="CN14" s="13">
        <f t="shared" si="16"/>
        <v>9.1891891891891841E-2</v>
      </c>
      <c r="CO14" s="1">
        <v>246602.6138393032</v>
      </c>
      <c r="CP14" s="13">
        <v>-2.2864073027141218E-3</v>
      </c>
      <c r="CQ14">
        <v>218</v>
      </c>
      <c r="CR14" s="13">
        <v>7.9207920792079278E-2</v>
      </c>
      <c r="CS14" s="1">
        <v>244247.72384225001</v>
      </c>
      <c r="CT14" s="13">
        <f t="shared" si="24"/>
        <v>-9.5493310488092842E-3</v>
      </c>
      <c r="CU14">
        <v>228</v>
      </c>
      <c r="CV14" s="13">
        <f t="shared" si="25"/>
        <v>4.587155963302747E-2</v>
      </c>
      <c r="CW14" s="1">
        <v>241094.6946669828</v>
      </c>
      <c r="CX14" s="13">
        <f t="shared" si="26"/>
        <v>-1.2909144558921781E-2</v>
      </c>
      <c r="CY14">
        <v>222</v>
      </c>
      <c r="CZ14" s="13">
        <f t="shared" si="27"/>
        <v>-2.6315789473684181E-2</v>
      </c>
      <c r="DA14" s="1">
        <v>239832.21521968511</v>
      </c>
      <c r="DB14" s="13">
        <f t="shared" si="28"/>
        <v>-5.2364464055980608E-3</v>
      </c>
      <c r="DC14">
        <v>218</v>
      </c>
      <c r="DD14" s="13">
        <f t="shared" si="29"/>
        <v>-1.8018018018018056E-2</v>
      </c>
      <c r="DE14" s="1">
        <v>239149.99051061791</v>
      </c>
      <c r="DF14" s="13">
        <f t="shared" si="30"/>
        <v>-2.8445916176952357E-3</v>
      </c>
      <c r="DG14" s="1">
        <v>179</v>
      </c>
      <c r="DH14" s="13">
        <f t="shared" si="31"/>
        <v>-0.17889908256880738</v>
      </c>
      <c r="DI14" s="1">
        <v>240007.89099940611</v>
      </c>
      <c r="DJ14" s="13">
        <f t="shared" si="32"/>
        <v>3.5872904989728838E-3</v>
      </c>
      <c r="DK14" s="1">
        <v>159</v>
      </c>
      <c r="DL14" s="13">
        <f t="shared" si="33"/>
        <v>-0.11173184357541899</v>
      </c>
      <c r="DM14" s="1">
        <v>238780.48941363179</v>
      </c>
      <c r="DN14" s="13">
        <f t="shared" si="34"/>
        <v>-5.1140051298452782E-3</v>
      </c>
      <c r="DO14" s="1">
        <v>170</v>
      </c>
      <c r="DP14" s="13">
        <f t="shared" si="35"/>
        <v>6.9182389937106903E-2</v>
      </c>
      <c r="DQ14" s="1">
        <v>238550.93616440639</v>
      </c>
      <c r="DR14" s="13">
        <f t="shared" si="36"/>
        <v>-9.613568084607671E-4</v>
      </c>
      <c r="DS14">
        <v>188</v>
      </c>
      <c r="DT14" s="13">
        <f t="shared" si="37"/>
        <v>0.10588235294117654</v>
      </c>
      <c r="DU14" s="1">
        <v>238873.4868164497</v>
      </c>
      <c r="DV14" s="13">
        <f t="shared" si="38"/>
        <v>1.3521248636854111E-3</v>
      </c>
      <c r="DW14">
        <v>177</v>
      </c>
      <c r="DX14" s="13">
        <f t="shared" si="39"/>
        <v>-5.8510638297872286E-2</v>
      </c>
      <c r="DY14" s="1">
        <v>237488.35408752289</v>
      </c>
      <c r="DZ14" s="13">
        <f t="shared" si="40"/>
        <v>-5.7986038860442513E-3</v>
      </c>
      <c r="EA14" s="1">
        <v>157</v>
      </c>
      <c r="EB14" s="13">
        <f t="shared" si="41"/>
        <v>-0.11299435028248583</v>
      </c>
      <c r="EC14" s="1">
        <v>239267.96542154369</v>
      </c>
      <c r="ED14" s="13">
        <f t="shared" si="42"/>
        <v>7.4934677991196352E-3</v>
      </c>
      <c r="EE14" s="1">
        <f>IFERROR(VLOOKUP($A14,[1]Москва_продажа_районы!$C$2:$F$148,2,0),"")</f>
        <v>159</v>
      </c>
      <c r="EF14" s="13">
        <v>1.2738853503184711E-2</v>
      </c>
      <c r="EG14" s="1">
        <v>241140.66935161769</v>
      </c>
      <c r="EH14" s="13">
        <f t="shared" si="43"/>
        <v>7.8268059277164514E-3</v>
      </c>
      <c r="EI14" s="1">
        <f>IFERROR(VLOOKUP($A14,[2]Москва_продажа_районы!$C$2:$F$150,2,0),"")</f>
        <v>152</v>
      </c>
      <c r="EJ14" s="13">
        <v>-4.4025157232704393E-2</v>
      </c>
      <c r="EK14" s="1">
        <v>244354.1878672879</v>
      </c>
      <c r="EL14" s="13">
        <f t="shared" si="44"/>
        <v>1.3326323279730268E-2</v>
      </c>
      <c r="EM14">
        <v>142</v>
      </c>
      <c r="EN14" s="13">
        <f t="shared" si="45"/>
        <v>-6.5789473684210509E-2</v>
      </c>
      <c r="EO14" s="1">
        <v>251256.25075437789</v>
      </c>
      <c r="EP14" s="13">
        <f t="shared" si="46"/>
        <v>2.824614117454205E-2</v>
      </c>
      <c r="EQ14">
        <v>136</v>
      </c>
      <c r="ER14" s="13">
        <f t="shared" si="47"/>
        <v>-4.2253521126760618E-2</v>
      </c>
      <c r="ES14" s="183">
        <v>252822.20922453329</v>
      </c>
      <c r="ET14" s="13">
        <f t="shared" si="48"/>
        <v>6.2325154715703324E-3</v>
      </c>
      <c r="EU14">
        <v>139</v>
      </c>
      <c r="EV14" s="13">
        <f t="shared" si="49"/>
        <v>2.2058823529411686E-2</v>
      </c>
      <c r="EW14" s="183">
        <v>257471.11032815359</v>
      </c>
      <c r="EX14" s="13">
        <f t="shared" si="50"/>
        <v>1.8388024999384411E-2</v>
      </c>
      <c r="EY14">
        <v>148</v>
      </c>
      <c r="EZ14" s="13">
        <f t="shared" si="51"/>
        <v>6.4748201438848962E-2</v>
      </c>
      <c r="FA14" s="1">
        <v>259845.83939297529</v>
      </c>
      <c r="FB14" s="13">
        <f t="shared" si="52"/>
        <v>9.2232835823602421E-3</v>
      </c>
      <c r="FC14" s="1">
        <v>126</v>
      </c>
      <c r="FD14" s="13">
        <f t="shared" si="53"/>
        <v>-0.14864864864864868</v>
      </c>
      <c r="FE14" s="1">
        <v>261320.66536615329</v>
      </c>
      <c r="FF14" s="13">
        <f t="shared" si="54"/>
        <v>5.6757728991287948E-3</v>
      </c>
      <c r="FG14" s="1">
        <v>118</v>
      </c>
      <c r="FH14" s="13">
        <f t="shared" si="55"/>
        <v>-6.3492063492063489E-2</v>
      </c>
      <c r="FI14" s="1">
        <v>261208.45301356341</v>
      </c>
      <c r="FJ14" s="13">
        <f t="shared" si="56"/>
        <v>-4.2940481738273917E-4</v>
      </c>
      <c r="FK14" s="1">
        <v>142</v>
      </c>
      <c r="FL14" s="13">
        <f t="shared" si="57"/>
        <v>0.20338983050847448</v>
      </c>
      <c r="FM14" s="1">
        <v>257798.11570763239</v>
      </c>
      <c r="FN14" s="13">
        <f t="shared" si="58"/>
        <v>-1.3055999017589026E-2</v>
      </c>
      <c r="FO14" s="1">
        <v>155</v>
      </c>
      <c r="FP14" s="13">
        <f t="shared" si="59"/>
        <v>9.1549295774647987E-2</v>
      </c>
      <c r="FQ14" s="1">
        <v>258790.5963284882</v>
      </c>
      <c r="FR14" s="13">
        <f t="shared" si="60"/>
        <v>3.8498365984234173E-3</v>
      </c>
      <c r="FS14">
        <v>163</v>
      </c>
      <c r="FT14" s="13">
        <f t="shared" si="61"/>
        <v>5.1612903225806361E-2</v>
      </c>
      <c r="FU14" s="1">
        <v>261392.98507256451</v>
      </c>
      <c r="FV14" s="13">
        <f t="shared" si="62"/>
        <v>1.0055963319366645E-2</v>
      </c>
      <c r="FW14" s="1">
        <v>151</v>
      </c>
      <c r="FX14" s="13">
        <f t="shared" si="63"/>
        <v>-7.361963190184051E-2</v>
      </c>
      <c r="FY14" s="1">
        <v>259000.95997588331</v>
      </c>
      <c r="FZ14" s="13">
        <f t="shared" si="64"/>
        <v>-9.1510684420897936E-3</v>
      </c>
      <c r="GA14" s="1">
        <v>153</v>
      </c>
      <c r="GB14" s="13">
        <f t="shared" si="65"/>
        <v>1.3245033112582849E-2</v>
      </c>
      <c r="GC14" s="1">
        <v>258109.57568986379</v>
      </c>
      <c r="GD14" s="13">
        <f t="shared" si="66"/>
        <v>-3.4416254136760971E-3</v>
      </c>
      <c r="GE14" s="1">
        <v>147</v>
      </c>
      <c r="GF14" s="13">
        <f t="shared" si="67"/>
        <v>-3.9215686274509776E-2</v>
      </c>
      <c r="GG14" s="1">
        <f>IFERROR(VLOOKUP(A14,[3]Москва_продажа_районы!$C$2:$F$149,3,0),"")</f>
        <v>257981.77700322709</v>
      </c>
      <c r="GH14" s="13">
        <v>-4.9513345754459426E-4</v>
      </c>
      <c r="GI14" s="1">
        <v>163</v>
      </c>
      <c r="GJ14" s="13">
        <f t="shared" si="68"/>
        <v>0.10884353741496589</v>
      </c>
      <c r="GK14" s="1">
        <v>257041.9526862526</v>
      </c>
      <c r="GL14" s="13">
        <f t="shared" si="69"/>
        <v>-3.6429872213910031E-3</v>
      </c>
      <c r="GM14" s="1">
        <v>174</v>
      </c>
      <c r="GN14" s="13">
        <f t="shared" si="70"/>
        <v>6.7484662576687171E-2</v>
      </c>
      <c r="GO14" s="1">
        <v>260302.19032522879</v>
      </c>
      <c r="GP14" s="13">
        <f t="shared" si="71"/>
        <v>1.2683679083918431E-2</v>
      </c>
      <c r="GQ14" s="1">
        <v>163.71</v>
      </c>
      <c r="GR14" s="13">
        <f t="shared" si="72"/>
        <v>-5.9137931034482727E-2</v>
      </c>
      <c r="GS14" s="1">
        <v>258235.6763755336</v>
      </c>
      <c r="GT14" s="13">
        <f t="shared" si="17"/>
        <v>-7.9389034226459154E-3</v>
      </c>
      <c r="GU14">
        <v>152</v>
      </c>
      <c r="GV14" s="13">
        <f t="shared" si="18"/>
        <v>-7.1528923095718122E-2</v>
      </c>
      <c r="GW14">
        <v>260562.98210353989</v>
      </c>
      <c r="GX14" s="13">
        <f t="shared" si="73"/>
        <v>9.0123323030775193E-3</v>
      </c>
      <c r="GY14">
        <v>139</v>
      </c>
      <c r="GZ14" s="13">
        <f t="shared" si="74"/>
        <v>-8.5526315789473673E-2</v>
      </c>
      <c r="HA14">
        <v>259850.62100092869</v>
      </c>
      <c r="HB14" s="13">
        <v>-2.7339305716425066E-3</v>
      </c>
      <c r="HC14">
        <v>118</v>
      </c>
      <c r="HD14" s="13">
        <v>-0.15107913669064743</v>
      </c>
      <c r="HE14">
        <v>258796.6266226875</v>
      </c>
      <c r="HF14" s="13">
        <v>-4.056154933096856E-3</v>
      </c>
      <c r="HG14">
        <v>129</v>
      </c>
      <c r="HH14" s="13">
        <v>9.3220338983050821E-2</v>
      </c>
      <c r="HI14">
        <f>VLOOKUP(A14,[4]Москва_продажа_районы!$C$4:$F$151,3,0)</f>
        <v>260753.70455179401</v>
      </c>
      <c r="HJ14" s="13">
        <f t="shared" si="75"/>
        <v>7.5622234904932917E-3</v>
      </c>
      <c r="HK14">
        <f>VLOOKUP(A14,[4]Москва_продажа_районы!$C$4:$F$151,2,0)</f>
        <v>127</v>
      </c>
      <c r="HL14" s="13">
        <f t="shared" si="76"/>
        <v>-1.5503875968992276E-2</v>
      </c>
      <c r="HM14" s="1">
        <f>VLOOKUP(A14,Лист3!$C$4:$F$149,3,0)</f>
        <v>266195.78120533313</v>
      </c>
      <c r="HN14" s="13">
        <f t="shared" si="77"/>
        <v>2.0870563135022113E-2</v>
      </c>
      <c r="HO14">
        <f>VLOOKUP(A14,Лист3!$C$4:$F$149,2,0)</f>
        <v>112</v>
      </c>
      <c r="HP14" s="13">
        <f t="shared" si="78"/>
        <v>-0.11811023622047245</v>
      </c>
      <c r="HQ14" s="1">
        <v>267658.53630341141</v>
      </c>
      <c r="HR14" s="13">
        <v>5.4950348628928225E-3</v>
      </c>
      <c r="HS14">
        <v>108</v>
      </c>
      <c r="HT14" s="13">
        <v>-3.5714285714285698E-2</v>
      </c>
      <c r="HU14" s="34">
        <v>271599.98592416651</v>
      </c>
      <c r="HV14" s="13">
        <v>1.4725663807289013E-2</v>
      </c>
      <c r="HW14">
        <v>105</v>
      </c>
      <c r="HX14" s="13">
        <v>-2.777777777777779E-2</v>
      </c>
      <c r="HY14">
        <v>269696.229291872</v>
      </c>
      <c r="HZ14" s="13">
        <v>-7.009413589682767E-3</v>
      </c>
      <c r="IA14">
        <v>132</v>
      </c>
      <c r="IB14" s="13">
        <v>0.25714285714285712</v>
      </c>
      <c r="IC14" s="34">
        <v>273286.22048699309</v>
      </c>
      <c r="ID14" s="13">
        <v>1.3311239851395484E-2</v>
      </c>
      <c r="IE14">
        <v>133</v>
      </c>
      <c r="IF14" s="13">
        <v>7.575757575757569E-3</v>
      </c>
    </row>
    <row r="15" spans="1:240" x14ac:dyDescent="0.3">
      <c r="A15" s="23" t="s">
        <v>31</v>
      </c>
      <c r="B15" s="22">
        <v>181389.5224739557</v>
      </c>
      <c r="C15">
        <v>407</v>
      </c>
      <c r="D15" s="22">
        <v>184600.67678540145</v>
      </c>
      <c r="E15">
        <v>411</v>
      </c>
      <c r="F15" s="22">
        <v>191147.59410627294</v>
      </c>
      <c r="G15">
        <v>271</v>
      </c>
      <c r="H15" s="22">
        <v>186587.79827109154</v>
      </c>
      <c r="I15">
        <v>262</v>
      </c>
      <c r="J15" s="22">
        <v>188461.34827417569</v>
      </c>
      <c r="K15">
        <v>343</v>
      </c>
      <c r="L15" s="22">
        <v>190424.5508635657</v>
      </c>
      <c r="M15">
        <v>362</v>
      </c>
      <c r="N15" s="22">
        <v>194553.02970068602</v>
      </c>
      <c r="O15" s="28">
        <v>377</v>
      </c>
      <c r="P15" s="35">
        <v>198178.33044219454</v>
      </c>
      <c r="Q15" s="28">
        <v>406</v>
      </c>
      <c r="R15" s="35">
        <v>201338.73381780123</v>
      </c>
      <c r="S15">
        <v>380</v>
      </c>
      <c r="T15" s="46">
        <v>205880.61922350459</v>
      </c>
      <c r="U15" s="47">
        <v>358</v>
      </c>
      <c r="V15" s="56">
        <v>211253.15176246589</v>
      </c>
      <c r="W15" s="47">
        <v>328</v>
      </c>
      <c r="X15" s="56">
        <v>216069.1613715105</v>
      </c>
      <c r="Y15" s="47">
        <v>296</v>
      </c>
      <c r="Z15" s="34">
        <v>219191.06331732028</v>
      </c>
      <c r="AA15" s="81">
        <v>322</v>
      </c>
      <c r="AB15" s="1">
        <v>224175.18585704439</v>
      </c>
      <c r="AC15">
        <v>342</v>
      </c>
      <c r="AD15" s="1">
        <v>228907.3356945132</v>
      </c>
      <c r="AE15">
        <v>335</v>
      </c>
      <c r="AF15" s="13">
        <f t="shared" si="19"/>
        <v>5.9416967426132006E-2</v>
      </c>
      <c r="AG15" s="85">
        <f t="shared" si="0"/>
        <v>9.2618191871716896E-2</v>
      </c>
      <c r="AH15" s="35" t="e">
        <f>#REF!*AG15</f>
        <v>#REF!</v>
      </c>
      <c r="AI15" s="87" t="e">
        <f t="shared" si="20"/>
        <v>#REF!</v>
      </c>
      <c r="AL15" s="1">
        <v>228667.73951659061</v>
      </c>
      <c r="AR15" s="90">
        <v>340</v>
      </c>
      <c r="AS15">
        <v>362</v>
      </c>
      <c r="AT15" s="1">
        <v>220338</v>
      </c>
      <c r="AU15" s="13">
        <f t="shared" si="21"/>
        <v>-3.6427261380201137E-2</v>
      </c>
      <c r="AV15" s="35">
        <v>351</v>
      </c>
      <c r="AW15" s="1">
        <v>228824.52264906501</v>
      </c>
      <c r="AX15" s="61">
        <v>367</v>
      </c>
      <c r="AY15" s="121">
        <v>239029.72554020371</v>
      </c>
      <c r="AZ15" s="122">
        <v>389</v>
      </c>
      <c r="BA15" s="119">
        <v>241467.14305521009</v>
      </c>
      <c r="BB15" s="35">
        <v>428</v>
      </c>
      <c r="BC15" s="125">
        <f t="shared" si="22"/>
        <v>1.0197131379780622E-2</v>
      </c>
      <c r="BD15">
        <v>481</v>
      </c>
      <c r="BE15" s="1">
        <v>241641.21681287629</v>
      </c>
      <c r="BF15" s="13">
        <f t="shared" si="1"/>
        <v>7.2090039027128405E-4</v>
      </c>
      <c r="BG15">
        <v>486</v>
      </c>
      <c r="BH15" s="1">
        <v>241600</v>
      </c>
      <c r="BI15" s="13">
        <f t="shared" si="23"/>
        <v>-1.7057029185629791E-4</v>
      </c>
      <c r="BJ15">
        <v>418</v>
      </c>
      <c r="BK15" s="1">
        <v>261482.96974377459</v>
      </c>
      <c r="BL15" s="13">
        <f t="shared" si="2"/>
        <v>8.2297060197742411E-2</v>
      </c>
      <c r="BM15" s="1">
        <v>263449.27763479977</v>
      </c>
      <c r="BN15" s="109">
        <f t="shared" si="3"/>
        <v>7.5198315704918528E-3</v>
      </c>
      <c r="BO15">
        <v>360</v>
      </c>
      <c r="BP15" s="13">
        <f t="shared" si="4"/>
        <v>-0.13875598086124397</v>
      </c>
      <c r="BQ15" s="1">
        <v>267043.5052613825</v>
      </c>
      <c r="BR15" s="13">
        <f t="shared" si="5"/>
        <v>1.3642958746560518E-2</v>
      </c>
      <c r="BS15">
        <v>362</v>
      </c>
      <c r="BT15" s="13">
        <f t="shared" si="6"/>
        <v>5.5555555555555358E-3</v>
      </c>
      <c r="BU15" s="1">
        <v>276565.77313816617</v>
      </c>
      <c r="BV15" s="13">
        <f t="shared" si="7"/>
        <v>3.5658114461399437E-2</v>
      </c>
      <c r="BW15">
        <v>380</v>
      </c>
      <c r="BX15" s="13">
        <f t="shared" si="8"/>
        <v>4.9723756906077332E-2</v>
      </c>
      <c r="BY15" s="1">
        <v>273059.04825438641</v>
      </c>
      <c r="BZ15" s="13">
        <f t="shared" si="9"/>
        <v>-1.2679533132351484E-2</v>
      </c>
      <c r="CA15">
        <v>385</v>
      </c>
      <c r="CB15" s="13">
        <f t="shared" si="10"/>
        <v>1.3157894736842035E-2</v>
      </c>
      <c r="CC15" s="1">
        <v>265695.32509286312</v>
      </c>
      <c r="CD15" s="13">
        <f t="shared" si="11"/>
        <v>-2.6967512003715499E-2</v>
      </c>
      <c r="CE15">
        <v>399</v>
      </c>
      <c r="CF15" s="13">
        <f t="shared" si="12"/>
        <v>3.6363636363636376E-2</v>
      </c>
      <c r="CG15" s="1">
        <v>260270.44600507841</v>
      </c>
      <c r="CH15" s="13">
        <f t="shared" si="13"/>
        <v>-2.0417668567893177E-2</v>
      </c>
      <c r="CI15">
        <v>463</v>
      </c>
      <c r="CJ15" s="13">
        <f t="shared" si="14"/>
        <v>0.16040100250626566</v>
      </c>
      <c r="CK15" s="1">
        <v>259544.53589877539</v>
      </c>
      <c r="CL15" s="13">
        <f t="shared" si="15"/>
        <v>-2.7890608305518594E-3</v>
      </c>
      <c r="CM15">
        <v>445</v>
      </c>
      <c r="CN15" s="13">
        <f t="shared" si="16"/>
        <v>-3.8876889848812102E-2</v>
      </c>
      <c r="CO15" s="1">
        <v>258210.24556390729</v>
      </c>
      <c r="CP15" s="13">
        <v>-5.1408916402250204E-3</v>
      </c>
      <c r="CQ15">
        <v>471</v>
      </c>
      <c r="CR15" s="13">
        <v>5.8426966292134841E-2</v>
      </c>
      <c r="CS15" s="1">
        <v>258754.9610171032</v>
      </c>
      <c r="CT15" s="13">
        <f t="shared" si="24"/>
        <v>2.1095810973972284E-3</v>
      </c>
      <c r="CU15">
        <v>523</v>
      </c>
      <c r="CV15" s="13">
        <f t="shared" si="25"/>
        <v>0.11040339702760082</v>
      </c>
      <c r="CW15" s="1">
        <v>253965.95206457641</v>
      </c>
      <c r="CX15" s="13">
        <f t="shared" si="26"/>
        <v>-1.8507892307464746E-2</v>
      </c>
      <c r="CY15">
        <v>544</v>
      </c>
      <c r="CZ15" s="13">
        <f t="shared" si="27"/>
        <v>4.0152963671128195E-2</v>
      </c>
      <c r="DA15" s="1">
        <v>248866.5657873317</v>
      </c>
      <c r="DB15" s="13">
        <f t="shared" si="28"/>
        <v>-2.0079015457741711E-2</v>
      </c>
      <c r="DC15">
        <v>497</v>
      </c>
      <c r="DD15" s="13">
        <f t="shared" si="29"/>
        <v>-8.6397058823529438E-2</v>
      </c>
      <c r="DE15" s="1">
        <v>247941.61057649081</v>
      </c>
      <c r="DF15" s="13">
        <f t="shared" si="30"/>
        <v>-3.7166712527840762E-3</v>
      </c>
      <c r="DG15" s="1">
        <v>481</v>
      </c>
      <c r="DH15" s="13">
        <f t="shared" si="31"/>
        <v>-3.2193158953722323E-2</v>
      </c>
      <c r="DI15" s="1">
        <v>251280.25639348471</v>
      </c>
      <c r="DJ15" s="13">
        <f t="shared" si="32"/>
        <v>1.3465451842597842E-2</v>
      </c>
      <c r="DK15" s="1">
        <v>466</v>
      </c>
      <c r="DL15" s="13">
        <f t="shared" si="33"/>
        <v>-3.1185031185031131E-2</v>
      </c>
      <c r="DM15" s="1">
        <v>255087.72982688021</v>
      </c>
      <c r="DN15" s="13">
        <f t="shared" si="34"/>
        <v>1.5152298425839428E-2</v>
      </c>
      <c r="DO15" s="1">
        <v>494</v>
      </c>
      <c r="DP15" s="13">
        <f t="shared" si="35"/>
        <v>6.0085836909871349E-2</v>
      </c>
      <c r="DQ15" s="1">
        <v>253237.57359355231</v>
      </c>
      <c r="DR15" s="13">
        <f t="shared" si="36"/>
        <v>-7.2530193223466766E-3</v>
      </c>
      <c r="DS15">
        <v>506</v>
      </c>
      <c r="DT15" s="13">
        <f t="shared" si="37"/>
        <v>2.4291497975708509E-2</v>
      </c>
      <c r="DU15" s="1">
        <v>256462.9674187265</v>
      </c>
      <c r="DV15" s="13">
        <f t="shared" si="38"/>
        <v>1.2736632164826345E-2</v>
      </c>
      <c r="DW15">
        <v>443</v>
      </c>
      <c r="DX15" s="13">
        <f t="shared" si="39"/>
        <v>-0.12450592885375489</v>
      </c>
      <c r="DY15" s="1">
        <v>254528.13680741811</v>
      </c>
      <c r="DZ15" s="13">
        <f t="shared" si="40"/>
        <v>-7.5442884825916989E-3</v>
      </c>
      <c r="EA15" s="1">
        <v>376</v>
      </c>
      <c r="EB15" s="13">
        <f t="shared" si="41"/>
        <v>-0.15124153498871329</v>
      </c>
      <c r="EC15" s="1">
        <v>255863.2318361809</v>
      </c>
      <c r="ED15" s="13">
        <f t="shared" si="42"/>
        <v>5.245373047982449E-3</v>
      </c>
      <c r="EE15" s="1">
        <f>IFERROR(VLOOKUP($A15,[1]Москва_продажа_районы!$C$2:$F$148,2,0),"")</f>
        <v>348</v>
      </c>
      <c r="EF15" s="13">
        <v>-7.4468085106383031E-2</v>
      </c>
      <c r="EG15" s="1">
        <v>258953.63474115389</v>
      </c>
      <c r="EH15" s="13">
        <f t="shared" si="43"/>
        <v>1.207833920800172E-2</v>
      </c>
      <c r="EI15" s="1">
        <f>IFERROR(VLOOKUP($A15,[2]Москва_продажа_районы!$C$2:$F$150,2,0),"")</f>
        <v>337</v>
      </c>
      <c r="EJ15" s="13">
        <v>-3.1609195402298895E-2</v>
      </c>
      <c r="EK15" s="1">
        <v>262041.7946102409</v>
      </c>
      <c r="EL15" s="13">
        <f t="shared" si="44"/>
        <v>1.19255320442746E-2</v>
      </c>
      <c r="EM15">
        <v>311</v>
      </c>
      <c r="EN15" s="13">
        <f t="shared" si="45"/>
        <v>-7.71513353115727E-2</v>
      </c>
      <c r="EO15" s="1">
        <v>266685.01608279347</v>
      </c>
      <c r="EP15" s="13">
        <f t="shared" si="46"/>
        <v>1.7719392738318129E-2</v>
      </c>
      <c r="EQ15">
        <v>293</v>
      </c>
      <c r="ER15" s="13">
        <f t="shared" si="47"/>
        <v>-5.7877813504823128E-2</v>
      </c>
      <c r="ES15" s="183">
        <v>270723.69521739392</v>
      </c>
      <c r="ET15" s="13">
        <f t="shared" si="48"/>
        <v>1.5144004691087121E-2</v>
      </c>
      <c r="EU15">
        <v>305</v>
      </c>
      <c r="EV15" s="13">
        <f t="shared" si="49"/>
        <v>4.0955631399317349E-2</v>
      </c>
      <c r="EW15" s="183">
        <v>274029.67633327108</v>
      </c>
      <c r="EX15" s="13">
        <f t="shared" si="50"/>
        <v>1.2211642993504634E-2</v>
      </c>
      <c r="EY15">
        <v>315</v>
      </c>
      <c r="EZ15" s="13">
        <f t="shared" si="51"/>
        <v>3.2786885245901676E-2</v>
      </c>
      <c r="FA15" s="1">
        <v>276703.06384564377</v>
      </c>
      <c r="FB15" s="13">
        <f t="shared" si="52"/>
        <v>9.7558320987152225E-3</v>
      </c>
      <c r="FC15" s="1">
        <v>286</v>
      </c>
      <c r="FD15" s="13">
        <f t="shared" si="53"/>
        <v>-9.2063492063492069E-2</v>
      </c>
      <c r="FE15" s="1">
        <v>281023.82893591293</v>
      </c>
      <c r="FF15" s="13">
        <f t="shared" si="54"/>
        <v>1.5615168947603175E-2</v>
      </c>
      <c r="FG15" s="1">
        <v>289</v>
      </c>
      <c r="FH15" s="13">
        <f t="shared" si="55"/>
        <v>1.0489510489510412E-2</v>
      </c>
      <c r="FI15" s="1">
        <v>280777.37660008558</v>
      </c>
      <c r="FJ15" s="13">
        <f t="shared" si="56"/>
        <v>-8.7698020755222483E-4</v>
      </c>
      <c r="FK15" s="1">
        <v>333</v>
      </c>
      <c r="FL15" s="13">
        <f t="shared" si="57"/>
        <v>0.15224913494809678</v>
      </c>
      <c r="FM15" s="1">
        <v>280979.2844757968</v>
      </c>
      <c r="FN15" s="13">
        <f t="shared" si="58"/>
        <v>7.1910307787659278E-4</v>
      </c>
      <c r="FO15" s="1">
        <v>380</v>
      </c>
      <c r="FP15" s="13">
        <f t="shared" si="59"/>
        <v>0.14114114114114118</v>
      </c>
      <c r="FQ15" s="1">
        <v>279749.55137931439</v>
      </c>
      <c r="FR15" s="13">
        <f t="shared" si="60"/>
        <v>-4.3765970106182106E-3</v>
      </c>
      <c r="FS15">
        <v>395</v>
      </c>
      <c r="FT15" s="13">
        <f t="shared" si="61"/>
        <v>3.9473684210526327E-2</v>
      </c>
      <c r="FU15" s="1">
        <v>281029.30007326981</v>
      </c>
      <c r="FV15" s="13">
        <f t="shared" si="62"/>
        <v>4.5746228640781705E-3</v>
      </c>
      <c r="FW15" s="1">
        <v>436</v>
      </c>
      <c r="FX15" s="13">
        <f t="shared" si="63"/>
        <v>0.10379746835443049</v>
      </c>
      <c r="FY15" s="1">
        <v>280662.47062851582</v>
      </c>
      <c r="FZ15" s="13">
        <f t="shared" si="64"/>
        <v>-1.3053067586132894E-3</v>
      </c>
      <c r="GA15" s="1">
        <v>426</v>
      </c>
      <c r="GB15" s="13">
        <f t="shared" si="65"/>
        <v>-2.2935779816513735E-2</v>
      </c>
      <c r="GC15" s="1">
        <v>279187.10738414561</v>
      </c>
      <c r="GD15" s="13">
        <f t="shared" si="66"/>
        <v>-5.2567172271600349E-3</v>
      </c>
      <c r="GE15" s="1">
        <v>416</v>
      </c>
      <c r="GF15" s="13">
        <f t="shared" si="67"/>
        <v>-2.3474178403755874E-2</v>
      </c>
      <c r="GG15" s="1">
        <f>IFERROR(VLOOKUP(A15,[3]Москва_продажа_районы!$C$2:$F$149,3,0),"")</f>
        <v>278479.46463547769</v>
      </c>
      <c r="GH15" s="13">
        <v>-2.5346541081291418E-3</v>
      </c>
      <c r="GI15" s="1">
        <v>426</v>
      </c>
      <c r="GJ15" s="13">
        <f t="shared" si="68"/>
        <v>2.4038461538461453E-2</v>
      </c>
      <c r="GK15" s="1">
        <v>277897.69591185928</v>
      </c>
      <c r="GL15" s="13">
        <f t="shared" si="69"/>
        <v>-2.0890902113013254E-3</v>
      </c>
      <c r="GM15" s="1">
        <v>438</v>
      </c>
      <c r="GN15" s="13">
        <f t="shared" si="70"/>
        <v>2.8169014084507005E-2</v>
      </c>
      <c r="GO15" s="1">
        <v>282120.87895413628</v>
      </c>
      <c r="GP15" s="13">
        <f t="shared" si="71"/>
        <v>1.5196898370889889E-2</v>
      </c>
      <c r="GQ15" s="1">
        <v>486.85</v>
      </c>
      <c r="GR15" s="13">
        <f t="shared" si="72"/>
        <v>0.11152968036529676</v>
      </c>
      <c r="GS15" s="1">
        <v>283007.18766231212</v>
      </c>
      <c r="GT15" s="13">
        <f t="shared" si="17"/>
        <v>3.1415920418988996E-3</v>
      </c>
      <c r="GU15">
        <v>479</v>
      </c>
      <c r="GV15" s="13">
        <f t="shared" si="18"/>
        <v>-1.6124062853034915E-2</v>
      </c>
      <c r="GW15">
        <v>281607.98453642923</v>
      </c>
      <c r="GX15" s="13">
        <f t="shared" si="73"/>
        <v>-4.9440550872242861E-3</v>
      </c>
      <c r="GY15">
        <v>396</v>
      </c>
      <c r="GZ15" s="13">
        <f t="shared" si="74"/>
        <v>-0.17327766179540705</v>
      </c>
      <c r="HA15">
        <v>284500.79406010231</v>
      </c>
      <c r="HB15" s="13">
        <v>1.0272469825154618E-2</v>
      </c>
      <c r="HC15">
        <v>357</v>
      </c>
      <c r="HD15" s="13">
        <v>-9.8484848484848508E-2</v>
      </c>
      <c r="HE15">
        <v>287964.58683784149</v>
      </c>
      <c r="HF15" s="13">
        <v>1.2174984569665037E-2</v>
      </c>
      <c r="HG15">
        <v>392</v>
      </c>
      <c r="HH15" s="13">
        <v>9.8039215686274606E-2</v>
      </c>
      <c r="HI15">
        <f>VLOOKUP(A15,[4]Москва_продажа_районы!$C$4:$F$151,3,0)</f>
        <v>294642.45266745362</v>
      </c>
      <c r="HJ15" s="13">
        <f t="shared" si="75"/>
        <v>2.3189885613860373E-2</v>
      </c>
      <c r="HK15">
        <f>VLOOKUP(A15,[4]Москва_продажа_районы!$C$4:$F$151,2,0)</f>
        <v>404</v>
      </c>
      <c r="HL15" s="13">
        <f t="shared" si="76"/>
        <v>3.0612244897959107E-2</v>
      </c>
      <c r="HM15" s="1">
        <f>VLOOKUP(A15,Лист3!$C$4:$F$149,3,0)</f>
        <v>292300.30299360002</v>
      </c>
      <c r="HN15" s="13">
        <f t="shared" si="77"/>
        <v>-7.9491249568746092E-3</v>
      </c>
      <c r="HO15">
        <f>VLOOKUP(A15,Лист3!$C$4:$F$149,2,0)</f>
        <v>382</v>
      </c>
      <c r="HP15" s="13">
        <f t="shared" si="78"/>
        <v>-5.4455445544554504E-2</v>
      </c>
      <c r="HQ15" s="1">
        <v>293542.0793765586</v>
      </c>
      <c r="HR15" s="13">
        <v>4.2482897562572397E-3</v>
      </c>
      <c r="HS15">
        <v>382</v>
      </c>
      <c r="HT15" s="13">
        <v>0</v>
      </c>
      <c r="HU15" s="34">
        <v>294824.01456122543</v>
      </c>
      <c r="HV15" s="13">
        <v>4.3671257878579173E-3</v>
      </c>
      <c r="HW15">
        <v>378</v>
      </c>
      <c r="HX15" s="13">
        <v>-1.0471204188481686E-2</v>
      </c>
      <c r="HY15">
        <v>295240.1258433669</v>
      </c>
      <c r="HZ15" s="13">
        <v>1.4113886983078139E-3</v>
      </c>
      <c r="IA15">
        <v>389</v>
      </c>
      <c r="IB15" s="13">
        <v>2.9100529100529071E-2</v>
      </c>
      <c r="IC15" s="34">
        <v>294563.54469588533</v>
      </c>
      <c r="ID15" s="13">
        <v>-2.2916300606121709E-3</v>
      </c>
      <c r="IE15">
        <v>371</v>
      </c>
      <c r="IF15" s="13">
        <v>-4.6272493573264795E-2</v>
      </c>
    </row>
    <row r="16" spans="1:240" x14ac:dyDescent="0.3">
      <c r="A16" s="23" t="s">
        <v>32</v>
      </c>
      <c r="B16" s="22">
        <v>213360.76924688648</v>
      </c>
      <c r="C16">
        <v>273</v>
      </c>
      <c r="D16" s="22">
        <v>216695.37171211772</v>
      </c>
      <c r="E16">
        <v>255</v>
      </c>
      <c r="F16" s="22">
        <v>218590.95663103458</v>
      </c>
      <c r="G16">
        <v>174</v>
      </c>
      <c r="H16" s="22">
        <v>219513.18944845826</v>
      </c>
      <c r="I16">
        <v>206</v>
      </c>
      <c r="J16" s="22">
        <v>219127.79803397754</v>
      </c>
      <c r="K16">
        <v>262</v>
      </c>
      <c r="L16" s="22">
        <v>218006.63805382376</v>
      </c>
      <c r="M16">
        <v>278</v>
      </c>
      <c r="N16" s="22">
        <v>220946.6418745378</v>
      </c>
      <c r="O16" s="28">
        <v>254</v>
      </c>
      <c r="P16" s="35">
        <v>224681.52729488016</v>
      </c>
      <c r="Q16" s="28">
        <v>251</v>
      </c>
      <c r="R16" s="35">
        <v>228871.8311417136</v>
      </c>
      <c r="S16">
        <v>233</v>
      </c>
      <c r="T16" s="46">
        <v>234553.04770867451</v>
      </c>
      <c r="U16" s="47">
        <v>216</v>
      </c>
      <c r="V16" s="56">
        <v>242780.45054687039</v>
      </c>
      <c r="W16" s="47">
        <v>174</v>
      </c>
      <c r="X16" s="56">
        <v>247547.90334285781</v>
      </c>
      <c r="Y16" s="47">
        <v>181</v>
      </c>
      <c r="Z16" s="34">
        <v>245897</v>
      </c>
      <c r="AA16" s="81">
        <v>212</v>
      </c>
      <c r="AB16" s="1">
        <v>255125.2968429348</v>
      </c>
      <c r="AC16">
        <v>232</v>
      </c>
      <c r="AD16" s="1">
        <v>267436.0440670182</v>
      </c>
      <c r="AE16">
        <v>218</v>
      </c>
      <c r="AF16" s="13">
        <f t="shared" si="19"/>
        <v>8.0340574311449586E-2</v>
      </c>
      <c r="AG16" s="85">
        <f t="shared" si="0"/>
        <v>6.0270942770251593E-2</v>
      </c>
      <c r="AH16" s="35" t="e">
        <f>#REF!*AG16</f>
        <v>#REF!</v>
      </c>
      <c r="AI16" s="87" t="e">
        <f t="shared" si="20"/>
        <v>#REF!</v>
      </c>
      <c r="AL16" s="1">
        <v>270835.94984231732</v>
      </c>
      <c r="AR16" s="90">
        <v>243</v>
      </c>
      <c r="AS16">
        <v>237</v>
      </c>
      <c r="AT16" s="1">
        <v>269261.83425319451</v>
      </c>
      <c r="AU16" s="13">
        <f t="shared" si="21"/>
        <v>-5.812062948213792E-3</v>
      </c>
      <c r="AV16" s="35">
        <v>244</v>
      </c>
      <c r="AW16" s="1">
        <v>272668.47252989258</v>
      </c>
      <c r="AX16" s="61">
        <v>263</v>
      </c>
      <c r="AY16" s="121">
        <v>276485.51272983849</v>
      </c>
      <c r="AZ16" s="122">
        <v>226</v>
      </c>
      <c r="BA16" s="119">
        <v>279777.48685728788</v>
      </c>
      <c r="BB16" s="35">
        <v>248</v>
      </c>
      <c r="BC16" s="125">
        <f t="shared" si="22"/>
        <v>1.1906497721875464E-2</v>
      </c>
      <c r="BD16">
        <v>262</v>
      </c>
      <c r="BE16" s="1">
        <v>280305.26898107713</v>
      </c>
      <c r="BF16" s="13">
        <f t="shared" si="1"/>
        <v>1.8864352872627332E-3</v>
      </c>
      <c r="BG16">
        <v>249</v>
      </c>
      <c r="BH16" s="1">
        <v>282194.19425991742</v>
      </c>
      <c r="BI16" s="13">
        <f t="shared" si="23"/>
        <v>6.7388147418940836E-3</v>
      </c>
      <c r="BJ16">
        <v>234</v>
      </c>
      <c r="BK16" s="1">
        <v>287707.95445885498</v>
      </c>
      <c r="BL16" s="13">
        <f t="shared" si="2"/>
        <v>1.9538886026333468E-2</v>
      </c>
      <c r="BM16" s="1">
        <v>292258.90473986458</v>
      </c>
      <c r="BN16" s="109">
        <f t="shared" si="3"/>
        <v>1.5817950843831863E-2</v>
      </c>
      <c r="BO16">
        <v>211</v>
      </c>
      <c r="BP16" s="13">
        <f t="shared" si="4"/>
        <v>-9.8290598290598274E-2</v>
      </c>
      <c r="BQ16" s="1">
        <v>299306.88618773973</v>
      </c>
      <c r="BR16" s="13">
        <f t="shared" si="5"/>
        <v>2.411554047993314E-2</v>
      </c>
      <c r="BS16">
        <v>234</v>
      </c>
      <c r="BT16" s="13">
        <f t="shared" si="6"/>
        <v>0.1090047393364928</v>
      </c>
      <c r="BU16" s="1">
        <v>311472.64710374468</v>
      </c>
      <c r="BV16" s="13">
        <f t="shared" si="7"/>
        <v>4.0646445095065431E-2</v>
      </c>
      <c r="BW16">
        <v>254</v>
      </c>
      <c r="BX16" s="13">
        <f t="shared" si="8"/>
        <v>8.5470085470085388E-2</v>
      </c>
      <c r="BY16" s="1">
        <v>319665.32251515018</v>
      </c>
      <c r="BZ16" s="13">
        <f t="shared" si="9"/>
        <v>2.6303033308336499E-2</v>
      </c>
      <c r="CA16">
        <v>217</v>
      </c>
      <c r="CB16" s="13">
        <f t="shared" si="10"/>
        <v>-0.14566929133858264</v>
      </c>
      <c r="CC16" s="1">
        <v>311738.37013191712</v>
      </c>
      <c r="CD16" s="13">
        <f t="shared" si="11"/>
        <v>-2.4797661256664383E-2</v>
      </c>
      <c r="CE16">
        <v>229</v>
      </c>
      <c r="CF16" s="13">
        <f t="shared" si="12"/>
        <v>5.5299539170506895E-2</v>
      </c>
      <c r="CG16" s="1">
        <v>305118.35974187829</v>
      </c>
      <c r="CH16" s="13">
        <f t="shared" si="13"/>
        <v>-2.1235789444967845E-2</v>
      </c>
      <c r="CI16">
        <v>256</v>
      </c>
      <c r="CJ16" s="13">
        <f t="shared" si="14"/>
        <v>0.11790393013100431</v>
      </c>
      <c r="CK16" s="1">
        <v>298843.00053846452</v>
      </c>
      <c r="CL16" s="13">
        <f t="shared" si="15"/>
        <v>-2.0566966893511562E-2</v>
      </c>
      <c r="CM16">
        <v>265</v>
      </c>
      <c r="CN16" s="13">
        <f t="shared" si="16"/>
        <v>3.515625E-2</v>
      </c>
      <c r="CO16" s="1">
        <v>299908.5756107365</v>
      </c>
      <c r="CP16" s="13">
        <v>3.5656684960061469E-3</v>
      </c>
      <c r="CQ16">
        <v>283</v>
      </c>
      <c r="CR16" s="13">
        <v>6.7924528301886777E-2</v>
      </c>
      <c r="CS16" s="1">
        <v>297762.54940300778</v>
      </c>
      <c r="CT16" s="13">
        <f t="shared" si="24"/>
        <v>-7.1556013473723645E-3</v>
      </c>
      <c r="CU16">
        <v>301</v>
      </c>
      <c r="CV16" s="13">
        <f t="shared" si="25"/>
        <v>6.360424028268552E-2</v>
      </c>
      <c r="CW16" s="1">
        <v>294262.39310134802</v>
      </c>
      <c r="CX16" s="13">
        <f t="shared" si="26"/>
        <v>-1.1754857381082062E-2</v>
      </c>
      <c r="CY16">
        <v>311</v>
      </c>
      <c r="CZ16" s="13">
        <f t="shared" si="27"/>
        <v>3.3222591362126241E-2</v>
      </c>
      <c r="DA16" s="1">
        <v>293559.53952653962</v>
      </c>
      <c r="DB16" s="13">
        <f t="shared" si="28"/>
        <v>-2.3885266730849786E-3</v>
      </c>
      <c r="DC16">
        <v>318</v>
      </c>
      <c r="DD16" s="13">
        <f t="shared" si="29"/>
        <v>2.2508038585209E-2</v>
      </c>
      <c r="DE16" s="1">
        <v>292086.4419481621</v>
      </c>
      <c r="DF16" s="13">
        <f t="shared" si="30"/>
        <v>-5.0180538529027707E-3</v>
      </c>
      <c r="DG16" s="1">
        <v>319</v>
      </c>
      <c r="DH16" s="13">
        <f t="shared" si="31"/>
        <v>3.1446540880504248E-3</v>
      </c>
      <c r="DI16" s="1">
        <v>291353.90132020297</v>
      </c>
      <c r="DJ16" s="13">
        <f t="shared" si="32"/>
        <v>-2.507958339569627E-3</v>
      </c>
      <c r="DK16" s="1">
        <v>288</v>
      </c>
      <c r="DL16" s="13">
        <f t="shared" si="33"/>
        <v>-9.7178683385579889E-2</v>
      </c>
      <c r="DM16" s="1">
        <v>290672.49309314892</v>
      </c>
      <c r="DN16" s="13">
        <f t="shared" si="34"/>
        <v>-2.3387647255327382E-3</v>
      </c>
      <c r="DO16" s="1">
        <v>309</v>
      </c>
      <c r="DP16" s="13">
        <f t="shared" si="35"/>
        <v>7.2916666666666741E-2</v>
      </c>
      <c r="DQ16" s="1">
        <v>291261.88795597042</v>
      </c>
      <c r="DR16" s="13">
        <f t="shared" si="36"/>
        <v>2.0276939745813571E-3</v>
      </c>
      <c r="DS16">
        <v>326</v>
      </c>
      <c r="DT16" s="13">
        <f t="shared" si="37"/>
        <v>5.5016181229773364E-2</v>
      </c>
      <c r="DU16" s="1">
        <v>295295.34505625907</v>
      </c>
      <c r="DV16" s="13">
        <f t="shared" si="38"/>
        <v>1.384821450068463E-2</v>
      </c>
      <c r="DW16">
        <v>313</v>
      </c>
      <c r="DX16" s="13">
        <f t="shared" si="39"/>
        <v>-3.9877300613496924E-2</v>
      </c>
      <c r="DY16" s="1">
        <v>298599.46183439688</v>
      </c>
      <c r="DZ16" s="13">
        <f t="shared" si="40"/>
        <v>1.118919357671655E-2</v>
      </c>
      <c r="EA16" s="1">
        <v>321</v>
      </c>
      <c r="EB16" s="13">
        <f t="shared" si="41"/>
        <v>2.5559105431310014E-2</v>
      </c>
      <c r="EC16" s="1">
        <v>300500.34753006621</v>
      </c>
      <c r="ED16" s="13">
        <f t="shared" si="42"/>
        <v>6.3660050958951331E-3</v>
      </c>
      <c r="EE16" s="1">
        <f>IFERROR(VLOOKUP($A16,[1]Москва_продажа_районы!$C$2:$F$148,2,0),"")</f>
        <v>328</v>
      </c>
      <c r="EF16" s="13">
        <v>2.1806853582554409E-2</v>
      </c>
      <c r="EG16" s="1">
        <v>304981.00713399297</v>
      </c>
      <c r="EH16" s="13">
        <f t="shared" si="43"/>
        <v>1.4910663634019494E-2</v>
      </c>
      <c r="EI16" s="1">
        <f>IFERROR(VLOOKUP($A16,[2]Москва_продажа_районы!$C$2:$F$150,2,0),"")</f>
        <v>322</v>
      </c>
      <c r="EJ16" s="13">
        <v>-1.8292682926829285E-2</v>
      </c>
      <c r="EK16" s="1">
        <v>319221.84956859419</v>
      </c>
      <c r="EL16" s="13">
        <f t="shared" si="44"/>
        <v>4.6694194397307154E-2</v>
      </c>
      <c r="EM16">
        <v>314</v>
      </c>
      <c r="EN16" s="13">
        <f t="shared" si="45"/>
        <v>-2.4844720496894457E-2</v>
      </c>
      <c r="EO16" s="1">
        <v>320525.51465435751</v>
      </c>
      <c r="EP16" s="13">
        <f t="shared" si="46"/>
        <v>4.083884256435244E-3</v>
      </c>
      <c r="EQ16">
        <v>304</v>
      </c>
      <c r="ER16" s="13">
        <f t="shared" si="47"/>
        <v>-3.1847133757961776E-2</v>
      </c>
      <c r="ES16" s="183">
        <v>324801.96493724722</v>
      </c>
      <c r="ET16" s="13">
        <f t="shared" si="48"/>
        <v>1.3341996463218431E-2</v>
      </c>
      <c r="EU16">
        <v>328</v>
      </c>
      <c r="EV16" s="13">
        <f t="shared" si="49"/>
        <v>7.8947368421052655E-2</v>
      </c>
      <c r="EW16" s="183">
        <v>326807.86788051639</v>
      </c>
      <c r="EX16" s="13">
        <f t="shared" si="50"/>
        <v>6.175772192932083E-3</v>
      </c>
      <c r="EY16">
        <v>327</v>
      </c>
      <c r="EZ16" s="13">
        <f t="shared" si="51"/>
        <v>-3.0487804878048808E-3</v>
      </c>
      <c r="FA16" s="1">
        <v>327368.08521413401</v>
      </c>
      <c r="FB16" s="13">
        <f t="shared" si="52"/>
        <v>1.7142100563578566E-3</v>
      </c>
      <c r="FC16" s="1">
        <v>288</v>
      </c>
      <c r="FD16" s="13">
        <f t="shared" si="53"/>
        <v>-0.11926605504587151</v>
      </c>
      <c r="FE16" s="1">
        <v>329473.88469854777</v>
      </c>
      <c r="FF16" s="13">
        <f t="shared" si="54"/>
        <v>6.432513062586187E-3</v>
      </c>
      <c r="FG16" s="1">
        <v>271</v>
      </c>
      <c r="FH16" s="13">
        <f t="shared" si="55"/>
        <v>-5.902777777777779E-2</v>
      </c>
      <c r="FI16" s="1">
        <v>330545.59435944841</v>
      </c>
      <c r="FJ16" s="13">
        <f t="shared" si="56"/>
        <v>3.2527909211415018E-3</v>
      </c>
      <c r="FK16" s="1">
        <v>288</v>
      </c>
      <c r="FL16" s="13">
        <f t="shared" si="57"/>
        <v>6.2730627306273101E-2</v>
      </c>
      <c r="FM16" s="1">
        <v>328551.20047959941</v>
      </c>
      <c r="FN16" s="13">
        <f t="shared" si="58"/>
        <v>-6.0336422989205607E-3</v>
      </c>
      <c r="FO16" s="1">
        <v>306</v>
      </c>
      <c r="FP16" s="13">
        <f t="shared" si="59"/>
        <v>6.25E-2</v>
      </c>
      <c r="FQ16" s="1">
        <v>329429.46880989638</v>
      </c>
      <c r="FR16" s="13">
        <f t="shared" si="60"/>
        <v>2.673155139944372E-3</v>
      </c>
      <c r="FS16">
        <v>307</v>
      </c>
      <c r="FT16" s="13">
        <f t="shared" si="61"/>
        <v>3.2679738562091387E-3</v>
      </c>
      <c r="FU16" s="1">
        <v>326770.81390040508</v>
      </c>
      <c r="FV16" s="13">
        <f t="shared" si="62"/>
        <v>-8.0704829446376358E-3</v>
      </c>
      <c r="FW16" s="1">
        <v>305</v>
      </c>
      <c r="FX16" s="13">
        <f t="shared" si="63"/>
        <v>-6.514657980456029E-3</v>
      </c>
      <c r="FY16" s="1">
        <v>329966.7259835226</v>
      </c>
      <c r="FZ16" s="13">
        <f t="shared" si="64"/>
        <v>9.7802862041760363E-3</v>
      </c>
      <c r="GA16" s="1">
        <v>330</v>
      </c>
      <c r="GB16" s="13">
        <f t="shared" si="65"/>
        <v>8.1967213114754189E-2</v>
      </c>
      <c r="GC16" s="1">
        <v>325761.65874425648</v>
      </c>
      <c r="GD16" s="13">
        <f t="shared" si="66"/>
        <v>-1.2743912971019067E-2</v>
      </c>
      <c r="GE16" s="1">
        <v>330</v>
      </c>
      <c r="GF16" s="13">
        <f t="shared" si="67"/>
        <v>0</v>
      </c>
      <c r="GG16" s="1">
        <f>IFERROR(VLOOKUP(A16,[3]Москва_продажа_районы!$C$2:$F$149,3,0),"")</f>
        <v>324675.04966289271</v>
      </c>
      <c r="GH16" s="13">
        <v>-3.3355953722498111E-3</v>
      </c>
      <c r="GI16" s="1">
        <v>313</v>
      </c>
      <c r="GJ16" s="13">
        <f t="shared" si="68"/>
        <v>-5.1515151515151514E-2</v>
      </c>
      <c r="GK16" s="1">
        <v>328302.38893409813</v>
      </c>
      <c r="GL16" s="13">
        <f t="shared" si="69"/>
        <v>1.1172214418606163E-2</v>
      </c>
      <c r="GM16" s="1">
        <v>321</v>
      </c>
      <c r="GN16" s="13">
        <f t="shared" si="70"/>
        <v>2.5559105431310014E-2</v>
      </c>
      <c r="GO16" s="1">
        <v>328473.17477437452</v>
      </c>
      <c r="GP16" s="13">
        <f t="shared" si="71"/>
        <v>5.2020894770477E-4</v>
      </c>
      <c r="GQ16" s="1">
        <v>316.72000000000003</v>
      </c>
      <c r="GR16" s="13">
        <f t="shared" si="72"/>
        <v>-1.3333333333333197E-2</v>
      </c>
      <c r="GS16" s="1">
        <v>328643.93212021841</v>
      </c>
      <c r="GT16" s="13">
        <f t="shared" si="17"/>
        <v>5.1985172293345094E-4</v>
      </c>
      <c r="GU16">
        <v>302</v>
      </c>
      <c r="GV16" s="13">
        <f t="shared" si="18"/>
        <v>-4.647638292498113E-2</v>
      </c>
      <c r="GW16">
        <v>326142.71712530492</v>
      </c>
      <c r="GX16" s="13">
        <f t="shared" si="73"/>
        <v>-7.6107140599770418E-3</v>
      </c>
      <c r="GY16">
        <v>281</v>
      </c>
      <c r="GZ16" s="13">
        <f t="shared" si="74"/>
        <v>-6.9536423841059625E-2</v>
      </c>
      <c r="HA16">
        <v>327184.6739558556</v>
      </c>
      <c r="HB16" s="13">
        <v>3.1947879742180163E-3</v>
      </c>
      <c r="HC16">
        <v>248</v>
      </c>
      <c r="HD16" s="13">
        <v>-0.11743772241992878</v>
      </c>
      <c r="HE16">
        <v>329162.21839279932</v>
      </c>
      <c r="HF16" s="13">
        <v>6.0441230728629503E-3</v>
      </c>
      <c r="HG16">
        <v>257</v>
      </c>
      <c r="HH16" s="13">
        <v>3.629032258064524E-2</v>
      </c>
      <c r="HI16">
        <f>VLOOKUP(A16,[4]Москва_продажа_районы!$C$4:$F$151,3,0)</f>
        <v>331046.13490150881</v>
      </c>
      <c r="HJ16" s="13">
        <f t="shared" si="75"/>
        <v>5.7233680034971535E-3</v>
      </c>
      <c r="HK16">
        <f>VLOOKUP(A16,[4]Москва_продажа_районы!$C$4:$F$151,2,0)</f>
        <v>253</v>
      </c>
      <c r="HL16" s="13">
        <f t="shared" si="76"/>
        <v>-1.5564202334630295E-2</v>
      </c>
      <c r="HM16" s="1">
        <f>VLOOKUP(A16,Лист3!$C$4:$F$149,3,0)</f>
        <v>333759.82197111589</v>
      </c>
      <c r="HN16" s="13">
        <f t="shared" si="77"/>
        <v>8.1973078175778813E-3</v>
      </c>
      <c r="HO16">
        <f>VLOOKUP(A16,Лист3!$C$4:$F$149,2,0)</f>
        <v>236</v>
      </c>
      <c r="HP16" s="13">
        <f t="shared" si="78"/>
        <v>-6.7193675889328008E-2</v>
      </c>
      <c r="HQ16" s="1">
        <v>329824.22479669598</v>
      </c>
      <c r="HR16" s="13">
        <v>-1.1791704439369277E-2</v>
      </c>
      <c r="HS16">
        <v>242</v>
      </c>
      <c r="HT16" s="13">
        <v>2.5423728813559254E-2</v>
      </c>
      <c r="HU16" s="34">
        <v>329361.60727782612</v>
      </c>
      <c r="HV16" s="13">
        <v>-1.4026183769704215E-3</v>
      </c>
      <c r="HW16">
        <v>229</v>
      </c>
      <c r="HX16" s="13">
        <v>-5.3719008264462853E-2</v>
      </c>
      <c r="HY16">
        <v>327437.87772763491</v>
      </c>
      <c r="HZ16" s="13">
        <v>-5.8407826160761234E-3</v>
      </c>
      <c r="IA16">
        <v>226</v>
      </c>
      <c r="IB16" s="13">
        <v>-1.3100436681222738E-2</v>
      </c>
      <c r="IC16" s="34">
        <v>329040.67740022682</v>
      </c>
      <c r="ID16" s="13">
        <v>4.8949733113197169E-3</v>
      </c>
      <c r="IE16">
        <v>249</v>
      </c>
      <c r="IF16" s="13">
        <v>0.10176991150442483</v>
      </c>
    </row>
    <row r="17" spans="1:240" x14ac:dyDescent="0.3">
      <c r="A17" s="23" t="s">
        <v>33</v>
      </c>
      <c r="B17" s="22">
        <v>190530.90349770486</v>
      </c>
      <c r="C17">
        <v>305</v>
      </c>
      <c r="D17" s="22">
        <v>190825.56306072729</v>
      </c>
      <c r="E17">
        <v>275</v>
      </c>
      <c r="F17" s="22">
        <v>190666.98879366866</v>
      </c>
      <c r="G17">
        <v>169</v>
      </c>
      <c r="H17" s="22">
        <v>191350.59546143512</v>
      </c>
      <c r="I17">
        <v>206</v>
      </c>
      <c r="J17" s="22">
        <v>191052.20327828452</v>
      </c>
      <c r="K17">
        <v>246</v>
      </c>
      <c r="L17" s="22">
        <v>192405.76801745195</v>
      </c>
      <c r="M17">
        <v>244</v>
      </c>
      <c r="N17" s="22">
        <v>196218.9179516008</v>
      </c>
      <c r="O17" s="28">
        <v>263</v>
      </c>
      <c r="P17" s="35">
        <v>198196.54047124195</v>
      </c>
      <c r="Q17" s="28">
        <v>288</v>
      </c>
      <c r="R17" s="35">
        <v>206383.4141496318</v>
      </c>
      <c r="S17">
        <v>297</v>
      </c>
      <c r="T17" s="46">
        <v>212559.84339883394</v>
      </c>
      <c r="U17" s="47">
        <v>272</v>
      </c>
      <c r="V17" s="56">
        <v>214418.75167172879</v>
      </c>
      <c r="W17" s="47">
        <v>233</v>
      </c>
      <c r="X17" s="56">
        <v>218897.828174592</v>
      </c>
      <c r="Y17" s="47">
        <v>241</v>
      </c>
      <c r="Z17" s="34">
        <v>224492.98277083359</v>
      </c>
      <c r="AA17" s="81">
        <v>259</v>
      </c>
      <c r="AB17" s="1">
        <v>228943.40179483639</v>
      </c>
      <c r="AC17">
        <v>279</v>
      </c>
      <c r="AD17" s="1">
        <v>231293.2468128714</v>
      </c>
      <c r="AE17">
        <v>261</v>
      </c>
      <c r="AF17" s="13">
        <f t="shared" si="19"/>
        <v>5.6626503522880345E-2</v>
      </c>
      <c r="AG17" s="85">
        <f t="shared" si="0"/>
        <v>7.215924799557645E-2</v>
      </c>
      <c r="AH17" s="35" t="e">
        <f>#REF!*AG17</f>
        <v>#REF!</v>
      </c>
      <c r="AI17" s="87" t="e">
        <f t="shared" si="20"/>
        <v>#REF!</v>
      </c>
      <c r="AL17" s="1">
        <v>238396.23351053931</v>
      </c>
      <c r="AR17" s="90">
        <v>281</v>
      </c>
      <c r="AS17">
        <v>297</v>
      </c>
      <c r="AT17" s="1">
        <v>238323</v>
      </c>
      <c r="AU17" s="13">
        <f t="shared" si="21"/>
        <v>-3.0719239755139238E-4</v>
      </c>
      <c r="AV17" s="35">
        <v>326</v>
      </c>
      <c r="AW17" s="1">
        <v>238549.93446106819</v>
      </c>
      <c r="AX17" s="61">
        <v>343</v>
      </c>
      <c r="AY17" s="121">
        <v>240395.99998671189</v>
      </c>
      <c r="AZ17" s="122">
        <v>307</v>
      </c>
      <c r="BA17" s="119">
        <v>246292.63289702329</v>
      </c>
      <c r="BB17" s="35">
        <v>320</v>
      </c>
      <c r="BC17" s="125">
        <f t="shared" si="22"/>
        <v>2.4528831222804692E-2</v>
      </c>
      <c r="BD17">
        <v>335</v>
      </c>
      <c r="BE17" s="1">
        <v>250881.18443107259</v>
      </c>
      <c r="BF17" s="13">
        <f t="shared" si="1"/>
        <v>1.8630486344948016E-2</v>
      </c>
      <c r="BG17">
        <v>323</v>
      </c>
      <c r="BH17" s="1">
        <v>258227.8826276325</v>
      </c>
      <c r="BI17" s="13">
        <f t="shared" si="23"/>
        <v>2.928357586169783E-2</v>
      </c>
      <c r="BJ17">
        <v>336</v>
      </c>
      <c r="BK17" s="1">
        <v>267356.46938435029</v>
      </c>
      <c r="BL17" s="13">
        <f t="shared" si="2"/>
        <v>3.5350894968539492E-2</v>
      </c>
      <c r="BM17" s="1">
        <v>272450.79696736718</v>
      </c>
      <c r="BN17" s="109">
        <f t="shared" si="3"/>
        <v>1.9054439171596327E-2</v>
      </c>
      <c r="BO17">
        <v>295</v>
      </c>
      <c r="BP17" s="13">
        <f t="shared" si="4"/>
        <v>-0.12202380952380953</v>
      </c>
      <c r="BQ17" s="1">
        <v>271832.53411885968</v>
      </c>
      <c r="BR17" s="13">
        <f t="shared" si="5"/>
        <v>-2.2692642318882239E-3</v>
      </c>
      <c r="BS17">
        <v>322</v>
      </c>
      <c r="BT17" s="13">
        <f t="shared" si="6"/>
        <v>9.1525423728813449E-2</v>
      </c>
      <c r="BU17" s="1">
        <v>278630.02338736528</v>
      </c>
      <c r="BV17" s="13">
        <f t="shared" si="7"/>
        <v>2.5006165250011536E-2</v>
      </c>
      <c r="BW17">
        <v>315</v>
      </c>
      <c r="BX17" s="13">
        <f t="shared" si="8"/>
        <v>-2.1739130434782594E-2</v>
      </c>
      <c r="BY17" s="1">
        <v>278090.37817521091</v>
      </c>
      <c r="BZ17" s="13">
        <f t="shared" si="9"/>
        <v>-1.9367805579376673E-3</v>
      </c>
      <c r="CA17">
        <v>283</v>
      </c>
      <c r="CB17" s="13">
        <f t="shared" si="10"/>
        <v>-0.10158730158730156</v>
      </c>
      <c r="CC17" s="1">
        <v>274413.5923315988</v>
      </c>
      <c r="CD17" s="13">
        <f t="shared" si="11"/>
        <v>-1.3221550014562378E-2</v>
      </c>
      <c r="CE17">
        <v>312</v>
      </c>
      <c r="CF17" s="13">
        <f t="shared" si="12"/>
        <v>0.10247349823321561</v>
      </c>
      <c r="CG17" s="1">
        <v>268330.89003693109</v>
      </c>
      <c r="CH17" s="13">
        <f t="shared" si="13"/>
        <v>-2.2166184418873192E-2</v>
      </c>
      <c r="CI17">
        <v>325</v>
      </c>
      <c r="CJ17" s="13">
        <f t="shared" si="14"/>
        <v>4.1666666666666741E-2</v>
      </c>
      <c r="CK17" s="1">
        <v>265901.39135841199</v>
      </c>
      <c r="CL17" s="13">
        <f t="shared" si="15"/>
        <v>-9.0541147841186609E-3</v>
      </c>
      <c r="CM17">
        <v>351</v>
      </c>
      <c r="CN17" s="13">
        <f t="shared" si="16"/>
        <v>8.0000000000000071E-2</v>
      </c>
      <c r="CO17" s="1">
        <v>264557.52340474911</v>
      </c>
      <c r="CP17" s="13">
        <v>-5.0540087315732452E-3</v>
      </c>
      <c r="CQ17">
        <v>360</v>
      </c>
      <c r="CR17" s="13">
        <v>2.564102564102555E-2</v>
      </c>
      <c r="CS17" s="1">
        <v>263311.87269340712</v>
      </c>
      <c r="CT17" s="13">
        <f t="shared" si="24"/>
        <v>-4.708430496744076E-3</v>
      </c>
      <c r="CU17">
        <v>397</v>
      </c>
      <c r="CV17" s="13">
        <f t="shared" si="25"/>
        <v>0.10277777777777786</v>
      </c>
      <c r="CW17" s="1">
        <v>255173.19939482189</v>
      </c>
      <c r="CX17" s="13">
        <f t="shared" si="26"/>
        <v>-3.0908873251080715E-2</v>
      </c>
      <c r="CY17">
        <v>397</v>
      </c>
      <c r="CZ17" s="13">
        <f t="shared" si="27"/>
        <v>0</v>
      </c>
      <c r="DA17" s="1">
        <v>253934.265373412</v>
      </c>
      <c r="DB17" s="13">
        <f t="shared" si="28"/>
        <v>-4.8552670278391163E-3</v>
      </c>
      <c r="DC17">
        <v>413</v>
      </c>
      <c r="DD17" s="13">
        <f t="shared" si="29"/>
        <v>4.0302267002518821E-2</v>
      </c>
      <c r="DE17" s="1">
        <v>254395.08668558521</v>
      </c>
      <c r="DF17" s="13">
        <f t="shared" si="30"/>
        <v>1.8147267817345547E-3</v>
      </c>
      <c r="DG17" s="1">
        <v>384</v>
      </c>
      <c r="DH17" s="13">
        <f t="shared" si="31"/>
        <v>-7.021791767554475E-2</v>
      </c>
      <c r="DI17" s="1">
        <v>256552.10822454441</v>
      </c>
      <c r="DJ17" s="13">
        <f t="shared" si="32"/>
        <v>8.479022008884618E-3</v>
      </c>
      <c r="DK17" s="1">
        <v>380</v>
      </c>
      <c r="DL17" s="13">
        <f t="shared" si="33"/>
        <v>-1.041666666666663E-2</v>
      </c>
      <c r="DM17" s="1">
        <v>260465.70922734769</v>
      </c>
      <c r="DN17" s="13">
        <f t="shared" si="34"/>
        <v>1.525460472684137E-2</v>
      </c>
      <c r="DO17" s="1">
        <v>376</v>
      </c>
      <c r="DP17" s="13">
        <f t="shared" si="35"/>
        <v>-1.0526315789473717E-2</v>
      </c>
      <c r="DQ17" s="1">
        <v>262734.54457783332</v>
      </c>
      <c r="DR17" s="13">
        <f t="shared" si="36"/>
        <v>8.7106873193250056E-3</v>
      </c>
      <c r="DS17">
        <v>385</v>
      </c>
      <c r="DT17" s="13">
        <f t="shared" si="37"/>
        <v>2.3936170212766061E-2</v>
      </c>
      <c r="DU17" s="1">
        <v>263791.40924289939</v>
      </c>
      <c r="DV17" s="13">
        <f t="shared" si="38"/>
        <v>4.022556937703925E-3</v>
      </c>
      <c r="DW17">
        <v>315</v>
      </c>
      <c r="DX17" s="13">
        <f t="shared" si="39"/>
        <v>-0.18181818181818177</v>
      </c>
      <c r="DY17" s="1">
        <v>260346.8003658712</v>
      </c>
      <c r="DZ17" s="13">
        <f t="shared" si="40"/>
        <v>-1.3058078301012466E-2</v>
      </c>
      <c r="EA17" s="1">
        <v>314</v>
      </c>
      <c r="EB17" s="13">
        <f t="shared" si="41"/>
        <v>-3.1746031746031633E-3</v>
      </c>
      <c r="EC17" s="1">
        <v>262937.22031534539</v>
      </c>
      <c r="ED17" s="13">
        <f t="shared" si="42"/>
        <v>9.9498820259509291E-3</v>
      </c>
      <c r="EE17" s="1">
        <f>IFERROR(VLOOKUP($A17,[1]Москва_продажа_районы!$C$2:$F$148,2,0),"")</f>
        <v>305</v>
      </c>
      <c r="EF17" s="13">
        <v>-2.8662420382165599E-2</v>
      </c>
      <c r="EG17" s="1">
        <v>263868.62568968348</v>
      </c>
      <c r="EH17" s="13">
        <f t="shared" si="43"/>
        <v>3.5423108726144736E-3</v>
      </c>
      <c r="EI17" s="1">
        <f>IFERROR(VLOOKUP($A17,[2]Москва_продажа_районы!$C$2:$F$150,2,0),"")</f>
        <v>298</v>
      </c>
      <c r="EJ17" s="13">
        <v>-2.2950819672131195E-2</v>
      </c>
      <c r="EK17" s="1">
        <v>273512.88518138562</v>
      </c>
      <c r="EL17" s="13">
        <f t="shared" si="44"/>
        <v>3.654947406685638E-2</v>
      </c>
      <c r="EM17">
        <v>312</v>
      </c>
      <c r="EN17" s="13">
        <f t="shared" si="45"/>
        <v>4.6979865771812124E-2</v>
      </c>
      <c r="EO17" s="1">
        <v>278358.32397369063</v>
      </c>
      <c r="EP17" s="13">
        <f t="shared" si="46"/>
        <v>1.7715577783809611E-2</v>
      </c>
      <c r="EQ17">
        <v>291</v>
      </c>
      <c r="ER17" s="13">
        <f t="shared" si="47"/>
        <v>-6.7307692307692291E-2</v>
      </c>
      <c r="ES17" s="183">
        <v>280249.42706664809</v>
      </c>
      <c r="ET17" s="13">
        <f t="shared" si="48"/>
        <v>6.7937723792883542E-3</v>
      </c>
      <c r="EU17">
        <v>265</v>
      </c>
      <c r="EV17" s="13">
        <f t="shared" si="49"/>
        <v>-8.9347079037800703E-2</v>
      </c>
      <c r="EW17" s="183">
        <v>286423.42785010132</v>
      </c>
      <c r="EX17" s="13">
        <f t="shared" si="50"/>
        <v>2.2030377896133713E-2</v>
      </c>
      <c r="EY17">
        <v>273</v>
      </c>
      <c r="EZ17" s="13">
        <f t="shared" si="51"/>
        <v>3.0188679245283012E-2</v>
      </c>
      <c r="FA17" s="1">
        <v>286657.57944771863</v>
      </c>
      <c r="FB17" s="13">
        <f t="shared" si="52"/>
        <v>8.175015548652631E-4</v>
      </c>
      <c r="FC17" s="1">
        <v>244</v>
      </c>
      <c r="FD17" s="13">
        <f t="shared" si="53"/>
        <v>-0.10622710622710618</v>
      </c>
      <c r="FE17" s="1">
        <v>292963.37005899538</v>
      </c>
      <c r="FF17" s="13">
        <f t="shared" si="54"/>
        <v>2.1997641309277949E-2</v>
      </c>
      <c r="FG17" s="1">
        <v>247</v>
      </c>
      <c r="FH17" s="13">
        <f t="shared" si="55"/>
        <v>1.2295081967213184E-2</v>
      </c>
      <c r="FI17" s="1">
        <v>296073.33157636528</v>
      </c>
      <c r="FJ17" s="13">
        <f t="shared" si="56"/>
        <v>1.0615530251251615E-2</v>
      </c>
      <c r="FK17" s="1">
        <v>274</v>
      </c>
      <c r="FL17" s="13">
        <f t="shared" si="57"/>
        <v>0.10931174089068829</v>
      </c>
      <c r="FM17" s="1">
        <v>294069.51688205492</v>
      </c>
      <c r="FN17" s="13">
        <f t="shared" si="58"/>
        <v>-6.7679675289955554E-3</v>
      </c>
      <c r="FO17" s="1">
        <v>297</v>
      </c>
      <c r="FP17" s="13">
        <f t="shared" si="59"/>
        <v>8.3941605839416011E-2</v>
      </c>
      <c r="FQ17" s="1">
        <v>292044.5659851291</v>
      </c>
      <c r="FR17" s="13">
        <f t="shared" si="60"/>
        <v>-6.8859598859339899E-3</v>
      </c>
      <c r="FS17">
        <v>307</v>
      </c>
      <c r="FT17" s="13">
        <f t="shared" si="61"/>
        <v>3.3670033670033739E-2</v>
      </c>
      <c r="FU17" s="1">
        <v>290214.98536851839</v>
      </c>
      <c r="FV17" s="13">
        <f t="shared" si="62"/>
        <v>-6.2647308996801598E-3</v>
      </c>
      <c r="FW17" s="1">
        <v>323</v>
      </c>
      <c r="FX17" s="13">
        <f t="shared" si="63"/>
        <v>5.2117263843648232E-2</v>
      </c>
      <c r="FY17" s="1">
        <v>289694.19257262902</v>
      </c>
      <c r="FZ17" s="13">
        <f t="shared" si="64"/>
        <v>-1.7945069074501996E-3</v>
      </c>
      <c r="GA17" s="1">
        <v>350</v>
      </c>
      <c r="GB17" s="13">
        <f t="shared" si="65"/>
        <v>8.3591331269349922E-2</v>
      </c>
      <c r="GC17" s="1">
        <v>286406.82621457119</v>
      </c>
      <c r="GD17" s="13">
        <f t="shared" si="66"/>
        <v>-1.1347712319892844E-2</v>
      </c>
      <c r="GE17" s="1">
        <v>347</v>
      </c>
      <c r="GF17" s="13">
        <f t="shared" si="67"/>
        <v>-8.5714285714285632E-3</v>
      </c>
      <c r="GG17" s="1">
        <f>IFERROR(VLOOKUP(A17,[3]Москва_продажа_районы!$C$2:$F$149,3,0),"")</f>
        <v>287361.82554156432</v>
      </c>
      <c r="GH17" s="13">
        <v>3.3344153825358713E-3</v>
      </c>
      <c r="GI17" s="1">
        <v>330</v>
      </c>
      <c r="GJ17" s="13">
        <f t="shared" si="68"/>
        <v>-4.8991354466858761E-2</v>
      </c>
      <c r="GK17" s="1">
        <v>285933.25521094818</v>
      </c>
      <c r="GL17" s="13">
        <f t="shared" si="69"/>
        <v>-4.9713295352430409E-3</v>
      </c>
      <c r="GM17" s="1">
        <v>346</v>
      </c>
      <c r="GN17" s="13">
        <f t="shared" si="70"/>
        <v>4.8484848484848575E-2</v>
      </c>
      <c r="GO17" s="1">
        <v>287087.11725295999</v>
      </c>
      <c r="GP17" s="13">
        <f t="shared" si="71"/>
        <v>4.0354244250482285E-3</v>
      </c>
      <c r="GQ17" s="1">
        <v>348.82</v>
      </c>
      <c r="GR17" s="13">
        <f t="shared" si="72"/>
        <v>8.1502890173410503E-3</v>
      </c>
      <c r="GS17" s="1">
        <v>286391.65592350683</v>
      </c>
      <c r="GT17" s="13">
        <f t="shared" si="17"/>
        <v>-2.4224748783846506E-3</v>
      </c>
      <c r="GU17">
        <v>328</v>
      </c>
      <c r="GV17" s="13">
        <f t="shared" si="18"/>
        <v>-5.9686944555931376E-2</v>
      </c>
      <c r="GW17">
        <v>290694.82312291907</v>
      </c>
      <c r="GX17" s="13">
        <f t="shared" si="73"/>
        <v>1.502546289463691E-2</v>
      </c>
      <c r="GY17">
        <v>293</v>
      </c>
      <c r="GZ17" s="13">
        <f t="shared" si="74"/>
        <v>-0.10670731707317072</v>
      </c>
      <c r="HA17">
        <v>291391.26992526843</v>
      </c>
      <c r="HB17" s="13">
        <v>2.3958004991884163E-3</v>
      </c>
      <c r="HC17">
        <v>274</v>
      </c>
      <c r="HD17" s="13">
        <v>-6.4846416382252525E-2</v>
      </c>
      <c r="HE17">
        <v>297913.11669163062</v>
      </c>
      <c r="HF17" s="13">
        <v>2.2381750723124982E-2</v>
      </c>
      <c r="HG17">
        <v>283</v>
      </c>
      <c r="HH17" s="13">
        <v>3.2846715328467058E-2</v>
      </c>
      <c r="HI17">
        <f>VLOOKUP(A17,[4]Москва_продажа_районы!$C$4:$F$151,3,0)</f>
        <v>298023.32787249278</v>
      </c>
      <c r="HJ17" s="13">
        <f t="shared" si="75"/>
        <v>3.6994403632184536E-4</v>
      </c>
      <c r="HK17">
        <f>VLOOKUP(A17,[4]Москва_продажа_районы!$C$4:$F$151,2,0)</f>
        <v>271</v>
      </c>
      <c r="HL17" s="13">
        <f t="shared" si="76"/>
        <v>-4.2402826855123643E-2</v>
      </c>
      <c r="HM17" s="1">
        <f>VLOOKUP(A17,Лист3!$C$4:$F$149,3,0)</f>
        <v>297825.39211746462</v>
      </c>
      <c r="HN17" s="13">
        <f t="shared" si="77"/>
        <v>-6.6416195148599755E-4</v>
      </c>
      <c r="HO17">
        <f>VLOOKUP(A17,Лист3!$C$4:$F$149,2,0)</f>
        <v>261</v>
      </c>
      <c r="HP17" s="13">
        <f t="shared" si="78"/>
        <v>-3.6900369003690092E-2</v>
      </c>
      <c r="HQ17" s="1">
        <v>301131.05073269177</v>
      </c>
      <c r="HR17" s="13">
        <v>1.1099317595872904E-2</v>
      </c>
      <c r="HS17">
        <v>241</v>
      </c>
      <c r="HT17" s="13">
        <v>-7.6628352490421436E-2</v>
      </c>
      <c r="HU17" s="34">
        <v>296411.43844456581</v>
      </c>
      <c r="HV17" s="13">
        <v>-1.5672951283643877E-2</v>
      </c>
      <c r="HW17">
        <v>236</v>
      </c>
      <c r="HX17" s="13">
        <v>-2.0746887966805017E-2</v>
      </c>
      <c r="HY17">
        <v>297915.59733482188</v>
      </c>
      <c r="HZ17" s="13">
        <v>5.0745642548386538E-3</v>
      </c>
      <c r="IA17">
        <v>261</v>
      </c>
      <c r="IB17" s="13">
        <v>0.10593220338983045</v>
      </c>
      <c r="IC17" s="34">
        <v>302569.94003916183</v>
      </c>
      <c r="ID17" s="13">
        <v>1.5623024594811685E-2</v>
      </c>
      <c r="IE17">
        <v>274</v>
      </c>
      <c r="IF17" s="13">
        <v>4.9808429118773923E-2</v>
      </c>
    </row>
    <row r="18" spans="1:240" x14ac:dyDescent="0.3">
      <c r="A18" s="23" t="s">
        <v>34</v>
      </c>
      <c r="B18" s="22">
        <v>200637.40989488381</v>
      </c>
      <c r="C18">
        <v>430</v>
      </c>
      <c r="D18" s="22">
        <v>204761.58160430382</v>
      </c>
      <c r="E18">
        <v>395</v>
      </c>
      <c r="F18" s="22">
        <v>207432.33304189186</v>
      </c>
      <c r="G18">
        <v>296</v>
      </c>
      <c r="H18" s="22">
        <v>205185.44526460255</v>
      </c>
      <c r="I18">
        <v>312</v>
      </c>
      <c r="J18" s="22">
        <v>206573.92661665843</v>
      </c>
      <c r="K18">
        <v>396</v>
      </c>
      <c r="L18" s="22">
        <v>206349.48729919823</v>
      </c>
      <c r="M18">
        <v>391</v>
      </c>
      <c r="N18" s="22">
        <v>210894.47545165263</v>
      </c>
      <c r="O18" s="28">
        <v>382</v>
      </c>
      <c r="P18" s="35">
        <v>212592</v>
      </c>
      <c r="Q18" s="28">
        <v>421</v>
      </c>
      <c r="R18" s="35">
        <v>226224.21983636002</v>
      </c>
      <c r="S18">
        <v>398</v>
      </c>
      <c r="T18" s="46">
        <v>228222.59088434931</v>
      </c>
      <c r="U18" s="47">
        <v>340</v>
      </c>
      <c r="V18" s="56">
        <v>226634.81285623609</v>
      </c>
      <c r="W18" s="47">
        <v>290</v>
      </c>
      <c r="X18" s="56">
        <v>228470.47758373301</v>
      </c>
      <c r="Y18" s="47">
        <v>281</v>
      </c>
      <c r="Z18" s="34">
        <v>228039</v>
      </c>
      <c r="AA18" s="81">
        <v>289</v>
      </c>
      <c r="AB18" s="1">
        <v>229632.32816564399</v>
      </c>
      <c r="AC18">
        <v>309</v>
      </c>
      <c r="AD18" s="1">
        <v>249474.43739098409</v>
      </c>
      <c r="AE18">
        <v>270</v>
      </c>
      <c r="AF18" s="13">
        <f t="shared" si="19"/>
        <v>9.1932927305906631E-2</v>
      </c>
      <c r="AG18" s="85">
        <f t="shared" si="0"/>
        <v>7.4647497926458389E-2</v>
      </c>
      <c r="AH18" s="35" t="e">
        <f>#REF!*AG18</f>
        <v>#REF!</v>
      </c>
      <c r="AI18" s="87" t="e">
        <f t="shared" si="20"/>
        <v>#REF!</v>
      </c>
      <c r="AL18" s="1">
        <v>253889.6656840698</v>
      </c>
      <c r="AR18" s="90">
        <v>268</v>
      </c>
      <c r="AS18">
        <v>298</v>
      </c>
      <c r="AT18" s="1">
        <v>256428.6487333652</v>
      </c>
      <c r="AU18" s="13">
        <f t="shared" si="21"/>
        <v>1.0000340275585717E-2</v>
      </c>
      <c r="AV18" s="35">
        <v>273</v>
      </c>
      <c r="AW18" s="1">
        <v>260088.7132479366</v>
      </c>
      <c r="AX18" s="61">
        <v>291</v>
      </c>
      <c r="AY18" s="121">
        <v>261806.58619040131</v>
      </c>
      <c r="AZ18" s="122">
        <v>311</v>
      </c>
      <c r="BA18" s="119">
        <v>269914.48007172381</v>
      </c>
      <c r="BB18" s="35">
        <v>329</v>
      </c>
      <c r="BC18" s="125">
        <f t="shared" si="22"/>
        <v>3.0969021823713527E-2</v>
      </c>
      <c r="BD18">
        <v>370</v>
      </c>
      <c r="BE18" s="1">
        <v>277684.11405573587</v>
      </c>
      <c r="BF18" s="13">
        <f t="shared" si="1"/>
        <v>2.8785539708530816E-2</v>
      </c>
      <c r="BG18">
        <v>366</v>
      </c>
      <c r="BH18" s="1">
        <v>285085.78219477332</v>
      </c>
      <c r="BI18" s="13">
        <f t="shared" si="23"/>
        <v>2.6654993081641765E-2</v>
      </c>
      <c r="BJ18">
        <v>355</v>
      </c>
      <c r="BK18" s="1">
        <v>291348.14440861827</v>
      </c>
      <c r="BL18" s="13">
        <f t="shared" si="2"/>
        <v>2.1966589023252103E-2</v>
      </c>
      <c r="BM18" s="1">
        <v>298232.26194248861</v>
      </c>
      <c r="BN18" s="109">
        <f t="shared" si="3"/>
        <v>2.3628492804866896E-2</v>
      </c>
      <c r="BO18">
        <v>358</v>
      </c>
      <c r="BP18" s="13">
        <f t="shared" si="4"/>
        <v>8.4507042253521014E-3</v>
      </c>
      <c r="BQ18" s="1">
        <v>295051.30997010338</v>
      </c>
      <c r="BR18" s="13">
        <f t="shared" si="5"/>
        <v>-1.0666022353405413E-2</v>
      </c>
      <c r="BS18">
        <v>366</v>
      </c>
      <c r="BT18" s="13">
        <f t="shared" si="6"/>
        <v>2.2346368715083775E-2</v>
      </c>
      <c r="BU18" s="1">
        <v>302878.53848126868</v>
      </c>
      <c r="BV18" s="13">
        <f t="shared" si="7"/>
        <v>2.6528363869858573E-2</v>
      </c>
      <c r="BW18">
        <v>312</v>
      </c>
      <c r="BX18" s="13">
        <f t="shared" si="8"/>
        <v>-0.14754098360655743</v>
      </c>
      <c r="BY18" s="1">
        <v>311932.65331160172</v>
      </c>
      <c r="BZ18" s="13">
        <f t="shared" si="9"/>
        <v>2.9893550318003115E-2</v>
      </c>
      <c r="CA18">
        <v>293</v>
      </c>
      <c r="CB18" s="13">
        <f t="shared" si="10"/>
        <v>-6.0897435897435903E-2</v>
      </c>
      <c r="CC18" s="1">
        <v>302396.13061899261</v>
      </c>
      <c r="CD18" s="13">
        <f t="shared" si="11"/>
        <v>-3.0572377054359556E-2</v>
      </c>
      <c r="CE18">
        <v>330</v>
      </c>
      <c r="CF18" s="13">
        <f t="shared" si="12"/>
        <v>0.12627986348122877</v>
      </c>
      <c r="CG18" s="1">
        <v>296736.90418134071</v>
      </c>
      <c r="CH18" s="13">
        <f t="shared" si="13"/>
        <v>-1.8714612604558423E-2</v>
      </c>
      <c r="CI18">
        <v>351</v>
      </c>
      <c r="CJ18" s="13">
        <f t="shared" si="14"/>
        <v>6.3636363636363713E-2</v>
      </c>
      <c r="CK18" s="1">
        <v>288722.63396364078</v>
      </c>
      <c r="CL18" s="13">
        <f t="shared" si="15"/>
        <v>-2.7007999695252916E-2</v>
      </c>
      <c r="CM18">
        <v>404</v>
      </c>
      <c r="CN18" s="13">
        <f t="shared" si="16"/>
        <v>0.15099715099715105</v>
      </c>
      <c r="CO18" s="1">
        <v>284173.41821464588</v>
      </c>
      <c r="CP18" s="13">
        <v>-1.5756353031774362E-2</v>
      </c>
      <c r="CQ18">
        <v>409</v>
      </c>
      <c r="CR18" s="13">
        <v>1.2376237623762387E-2</v>
      </c>
      <c r="CS18" s="1">
        <v>284295.68193461752</v>
      </c>
      <c r="CT18" s="13">
        <f t="shared" si="24"/>
        <v>4.30243337817382E-4</v>
      </c>
      <c r="CU18">
        <v>460</v>
      </c>
      <c r="CV18" s="13">
        <f t="shared" si="25"/>
        <v>0.12469437652811743</v>
      </c>
      <c r="CW18" s="1">
        <v>277456.99144618842</v>
      </c>
      <c r="CX18" s="13">
        <f t="shared" si="26"/>
        <v>-2.4054851772253971E-2</v>
      </c>
      <c r="CY18">
        <v>471</v>
      </c>
      <c r="CZ18" s="13">
        <f t="shared" si="27"/>
        <v>2.3913043478260843E-2</v>
      </c>
      <c r="DA18" s="1">
        <v>277900.7999250603</v>
      </c>
      <c r="DB18" s="13">
        <f t="shared" si="28"/>
        <v>1.5995577424761098E-3</v>
      </c>
      <c r="DC18">
        <v>467</v>
      </c>
      <c r="DD18" s="13">
        <f t="shared" si="29"/>
        <v>-8.4925690021231404E-3</v>
      </c>
      <c r="DE18" s="1">
        <v>278069.65777448221</v>
      </c>
      <c r="DF18" s="13">
        <f t="shared" si="30"/>
        <v>6.0761915571116987E-4</v>
      </c>
      <c r="DG18" s="1">
        <v>433</v>
      </c>
      <c r="DH18" s="13">
        <f t="shared" si="31"/>
        <v>-7.2805139186295498E-2</v>
      </c>
      <c r="DI18" s="1">
        <v>277958.86144084041</v>
      </c>
      <c r="DJ18" s="13">
        <f t="shared" si="32"/>
        <v>-3.9844812457623391E-4</v>
      </c>
      <c r="DK18" s="1">
        <v>411</v>
      </c>
      <c r="DL18" s="13">
        <f t="shared" si="33"/>
        <v>-5.0808314087759765E-2</v>
      </c>
      <c r="DM18" s="1">
        <v>276839.64329080703</v>
      </c>
      <c r="DN18" s="13">
        <f t="shared" si="34"/>
        <v>-4.0265604206023431E-3</v>
      </c>
      <c r="DO18" s="1">
        <v>425</v>
      </c>
      <c r="DP18" s="13">
        <f t="shared" si="35"/>
        <v>3.4063260340632562E-2</v>
      </c>
      <c r="DQ18" s="1">
        <v>278458.80330246018</v>
      </c>
      <c r="DR18" s="13">
        <f t="shared" si="36"/>
        <v>5.8487288612500965E-3</v>
      </c>
      <c r="DS18">
        <v>434</v>
      </c>
      <c r="DT18" s="13">
        <f t="shared" si="37"/>
        <v>2.1176470588235352E-2</v>
      </c>
      <c r="DU18" s="1">
        <v>276757.92045395728</v>
      </c>
      <c r="DV18" s="13">
        <f t="shared" si="38"/>
        <v>-6.1082028232930519E-3</v>
      </c>
      <c r="DW18">
        <v>393</v>
      </c>
      <c r="DX18" s="13">
        <f t="shared" si="39"/>
        <v>-9.4470046082949288E-2</v>
      </c>
      <c r="DY18" s="1">
        <v>283424.18428615981</v>
      </c>
      <c r="DZ18" s="13">
        <f t="shared" si="40"/>
        <v>2.4086984832333069E-2</v>
      </c>
      <c r="EA18" s="1">
        <v>419</v>
      </c>
      <c r="EB18" s="13">
        <f t="shared" si="41"/>
        <v>6.61577608142494E-2</v>
      </c>
      <c r="EC18" s="1">
        <v>289454.35586656741</v>
      </c>
      <c r="ED18" s="13">
        <f t="shared" si="42"/>
        <v>2.1276136317002647E-2</v>
      </c>
      <c r="EE18" s="1">
        <f>IFERROR(VLOOKUP($A18,[1]Москва_продажа_районы!$C$2:$F$148,2,0),"")</f>
        <v>407</v>
      </c>
      <c r="EF18" s="13">
        <v>-2.863961813842486E-2</v>
      </c>
      <c r="EG18" s="1">
        <v>288514.2942457879</v>
      </c>
      <c r="EH18" s="13">
        <f t="shared" si="43"/>
        <v>-3.2477024502366447E-3</v>
      </c>
      <c r="EI18" s="1">
        <f>IFERROR(VLOOKUP($A18,[2]Москва_продажа_районы!$C$2:$F$150,2,0),"")</f>
        <v>386</v>
      </c>
      <c r="EJ18" s="13">
        <v>-5.1597051597051635E-2</v>
      </c>
      <c r="EK18" s="1">
        <v>296401.15311351721</v>
      </c>
      <c r="EL18" s="13">
        <f t="shared" si="44"/>
        <v>2.7336111329757662E-2</v>
      </c>
      <c r="EM18">
        <v>368</v>
      </c>
      <c r="EN18" s="13">
        <f t="shared" si="45"/>
        <v>-4.6632124352331661E-2</v>
      </c>
      <c r="EO18" s="1">
        <v>298215.12369834021</v>
      </c>
      <c r="EP18" s="13">
        <f t="shared" si="46"/>
        <v>6.1199849115576299E-3</v>
      </c>
      <c r="EQ18">
        <v>347</v>
      </c>
      <c r="ER18" s="13">
        <f t="shared" si="47"/>
        <v>-5.7065217391304324E-2</v>
      </c>
      <c r="ES18" s="183">
        <v>296066.92687472532</v>
      </c>
      <c r="ET18" s="13">
        <f t="shared" si="48"/>
        <v>-7.2035140169077749E-3</v>
      </c>
      <c r="EU18">
        <v>331</v>
      </c>
      <c r="EV18" s="13">
        <f t="shared" si="49"/>
        <v>-4.6109510086455363E-2</v>
      </c>
      <c r="EW18" s="183">
        <v>296140.87708026287</v>
      </c>
      <c r="EX18" s="13">
        <f t="shared" si="50"/>
        <v>2.4977530019376637E-4</v>
      </c>
      <c r="EY18">
        <v>307</v>
      </c>
      <c r="EZ18" s="13">
        <f t="shared" si="51"/>
        <v>-7.2507552870090586E-2</v>
      </c>
      <c r="FA18" s="1">
        <v>298573.81252732838</v>
      </c>
      <c r="FB18" s="13">
        <f t="shared" si="52"/>
        <v>8.2154664734315208E-3</v>
      </c>
      <c r="FC18" s="1">
        <v>316</v>
      </c>
      <c r="FD18" s="13">
        <f t="shared" si="53"/>
        <v>2.931596091205213E-2</v>
      </c>
      <c r="FE18" s="1">
        <v>304136.94965900568</v>
      </c>
      <c r="FF18" s="13">
        <f t="shared" si="54"/>
        <v>1.8632367938055783E-2</v>
      </c>
      <c r="FG18" s="1">
        <v>328</v>
      </c>
      <c r="FH18" s="13">
        <f t="shared" si="55"/>
        <v>3.7974683544303778E-2</v>
      </c>
      <c r="FI18" s="1">
        <v>306078.0263041383</v>
      </c>
      <c r="FJ18" s="13">
        <f t="shared" si="56"/>
        <v>6.3822453907982357E-3</v>
      </c>
      <c r="FK18" s="1">
        <v>376</v>
      </c>
      <c r="FL18" s="13">
        <f t="shared" si="57"/>
        <v>0.14634146341463405</v>
      </c>
      <c r="FM18" s="1">
        <v>308992.34943103389</v>
      </c>
      <c r="FN18" s="13">
        <f t="shared" si="58"/>
        <v>9.5215039187417361E-3</v>
      </c>
      <c r="FO18" s="1">
        <v>371</v>
      </c>
      <c r="FP18" s="13">
        <f t="shared" si="59"/>
        <v>-1.3297872340425565E-2</v>
      </c>
      <c r="FQ18" s="1">
        <v>309276.2921161729</v>
      </c>
      <c r="FR18" s="13">
        <f t="shared" si="60"/>
        <v>9.1893111807417327E-4</v>
      </c>
      <c r="FS18">
        <v>390</v>
      </c>
      <c r="FT18" s="13">
        <f t="shared" si="61"/>
        <v>5.1212938005390729E-2</v>
      </c>
      <c r="FU18" s="1">
        <v>308657.55319043482</v>
      </c>
      <c r="FV18" s="13">
        <f t="shared" si="62"/>
        <v>-2.0006025082118795E-3</v>
      </c>
      <c r="FW18" s="1">
        <v>396</v>
      </c>
      <c r="FX18" s="13">
        <f t="shared" si="63"/>
        <v>1.538461538461533E-2</v>
      </c>
      <c r="FY18" s="1">
        <v>307784.70588719111</v>
      </c>
      <c r="FZ18" s="13">
        <f t="shared" si="64"/>
        <v>-2.8278825326694124E-3</v>
      </c>
      <c r="GA18" s="1">
        <v>397</v>
      </c>
      <c r="GB18" s="13">
        <f t="shared" si="65"/>
        <v>2.525252525252597E-3</v>
      </c>
      <c r="GC18" s="1">
        <v>304171.79412786377</v>
      </c>
      <c r="GD18" s="13">
        <f t="shared" si="66"/>
        <v>-1.1738438233677373E-2</v>
      </c>
      <c r="GE18" s="1">
        <v>395</v>
      </c>
      <c r="GF18" s="13">
        <f t="shared" si="67"/>
        <v>-5.0377833753149082E-3</v>
      </c>
      <c r="GG18" s="1">
        <f>IFERROR(VLOOKUP(A18,[3]Москва_продажа_районы!$C$2:$F$149,3,0),"")</f>
        <v>304456.49752875092</v>
      </c>
      <c r="GH18" s="13">
        <v>9.3599540254363234E-4</v>
      </c>
      <c r="GI18" s="1">
        <v>390</v>
      </c>
      <c r="GJ18" s="13">
        <f t="shared" si="68"/>
        <v>-1.2658227848101222E-2</v>
      </c>
      <c r="GK18" s="1">
        <v>313788.97303688922</v>
      </c>
      <c r="GL18" s="13">
        <f t="shared" si="69"/>
        <v>3.0652903071175297E-2</v>
      </c>
      <c r="GM18" s="1">
        <v>409</v>
      </c>
      <c r="GN18" s="13">
        <f t="shared" si="70"/>
        <v>4.8717948717948767E-2</v>
      </c>
      <c r="GO18" s="1">
        <v>317526.12467468868</v>
      </c>
      <c r="GP18" s="13">
        <f t="shared" si="71"/>
        <v>1.1909760886849696E-2</v>
      </c>
      <c r="GQ18" s="1">
        <v>425.86000000000007</v>
      </c>
      <c r="GR18" s="13">
        <f t="shared" si="72"/>
        <v>4.1222493887530742E-2</v>
      </c>
      <c r="GS18" s="1">
        <v>316434.18252336571</v>
      </c>
      <c r="GT18" s="13">
        <f t="shared" si="17"/>
        <v>-3.4389049166951846E-3</v>
      </c>
      <c r="GU18">
        <v>438</v>
      </c>
      <c r="GV18" s="13">
        <f t="shared" si="18"/>
        <v>2.8507021086741968E-2</v>
      </c>
      <c r="GW18">
        <v>318976.29376885702</v>
      </c>
      <c r="GX18" s="13">
        <f t="shared" si="73"/>
        <v>8.033617687000616E-3</v>
      </c>
      <c r="GY18">
        <v>421</v>
      </c>
      <c r="GZ18" s="13">
        <f t="shared" si="74"/>
        <v>-3.8812785388127824E-2</v>
      </c>
      <c r="HA18">
        <v>321917.35422419902</v>
      </c>
      <c r="HB18" s="13">
        <v>9.2203104518895351E-3</v>
      </c>
      <c r="HC18">
        <v>392</v>
      </c>
      <c r="HD18" s="13">
        <v>-6.8883610451306421E-2</v>
      </c>
      <c r="HE18">
        <v>325205.41604903428</v>
      </c>
      <c r="HF18" s="13">
        <v>1.021399369027276E-2</v>
      </c>
      <c r="HG18">
        <v>392</v>
      </c>
      <c r="HH18" s="13">
        <v>0</v>
      </c>
      <c r="HI18">
        <f>VLOOKUP(A18,[4]Москва_продажа_районы!$C$4:$F$151,3,0)</f>
        <v>328151.55921170302</v>
      </c>
      <c r="HJ18" s="13">
        <f t="shared" si="75"/>
        <v>9.0593299412471406E-3</v>
      </c>
      <c r="HK18">
        <f>VLOOKUP(A18,[4]Москва_продажа_районы!$C$4:$F$151,2,0)</f>
        <v>411</v>
      </c>
      <c r="HL18" s="13">
        <f t="shared" si="76"/>
        <v>4.8469387755102122E-2</v>
      </c>
      <c r="HM18" s="1">
        <f>VLOOKUP(A18,Лист3!$C$4:$F$149,3,0)</f>
        <v>331161.19254535588</v>
      </c>
      <c r="HN18" s="13">
        <f t="shared" si="77"/>
        <v>9.1714735132837344E-3</v>
      </c>
      <c r="HO18">
        <f>VLOOKUP(A18,Лист3!$C$4:$F$149,2,0)</f>
        <v>404</v>
      </c>
      <c r="HP18" s="13">
        <f t="shared" si="78"/>
        <v>-1.7031630170316281E-2</v>
      </c>
      <c r="HQ18" s="1">
        <v>332615.15418598679</v>
      </c>
      <c r="HR18" s="13">
        <v>4.39049524328472E-3</v>
      </c>
      <c r="HS18">
        <v>359</v>
      </c>
      <c r="HT18" s="13">
        <v>-0.11138613861386137</v>
      </c>
      <c r="HU18" s="34">
        <v>331803.02854543162</v>
      </c>
      <c r="HV18" s="13">
        <v>-2.4416375211246955E-3</v>
      </c>
      <c r="HW18">
        <v>343</v>
      </c>
      <c r="HX18" s="13">
        <v>-4.4568245125348183E-2</v>
      </c>
      <c r="HY18">
        <v>334417.32698591182</v>
      </c>
      <c r="HZ18" s="13">
        <v>7.8790674453479426E-3</v>
      </c>
      <c r="IA18">
        <v>372</v>
      </c>
      <c r="IB18" s="13">
        <v>8.4548104956268189E-2</v>
      </c>
      <c r="IC18" s="34">
        <v>339186.60998781282</v>
      </c>
      <c r="ID18" s="13">
        <v>1.4261470973667256E-2</v>
      </c>
      <c r="IE18">
        <v>349</v>
      </c>
      <c r="IF18" s="13">
        <v>-6.1827956989247257E-2</v>
      </c>
    </row>
    <row r="19" spans="1:240" ht="15" thickBot="1" x14ac:dyDescent="0.35">
      <c r="A19" s="29" t="s">
        <v>35</v>
      </c>
      <c r="B19" s="30">
        <v>254802.65420234899</v>
      </c>
      <c r="C19" s="31">
        <v>298</v>
      </c>
      <c r="D19" s="30">
        <v>258483.96910242434</v>
      </c>
      <c r="E19" s="31">
        <v>330</v>
      </c>
      <c r="F19" s="30">
        <v>265314.7679652893</v>
      </c>
      <c r="G19" s="31">
        <v>242</v>
      </c>
      <c r="H19" s="30">
        <v>261814.25770553912</v>
      </c>
      <c r="I19" s="31">
        <v>257</v>
      </c>
      <c r="J19" s="30">
        <v>263930.07037700934</v>
      </c>
      <c r="K19" s="31">
        <v>308</v>
      </c>
      <c r="L19" s="30">
        <v>263121.4166903228</v>
      </c>
      <c r="M19" s="31">
        <v>314</v>
      </c>
      <c r="N19" s="30">
        <v>263638.52090532577</v>
      </c>
      <c r="O19" s="32">
        <v>319</v>
      </c>
      <c r="P19" s="37">
        <v>268385.34250689065</v>
      </c>
      <c r="Q19" s="32">
        <v>337</v>
      </c>
      <c r="R19" s="37">
        <v>268668.68809314392</v>
      </c>
      <c r="S19" s="31">
        <v>325</v>
      </c>
      <c r="T19" s="48">
        <v>274454.78245765372</v>
      </c>
      <c r="U19" s="49">
        <v>308</v>
      </c>
      <c r="V19" s="57">
        <v>276349.77281059459</v>
      </c>
      <c r="W19" s="49">
        <v>293</v>
      </c>
      <c r="X19" s="57">
        <v>277299.05201951897</v>
      </c>
      <c r="Y19" s="49">
        <v>250</v>
      </c>
      <c r="Z19" s="34">
        <v>283947.74973963556</v>
      </c>
      <c r="AA19" s="81">
        <v>270</v>
      </c>
      <c r="AB19" s="1">
        <v>283130.06151350419</v>
      </c>
      <c r="AC19">
        <v>290</v>
      </c>
      <c r="AD19" s="1">
        <v>290403.58937304572</v>
      </c>
      <c r="AE19">
        <v>280</v>
      </c>
      <c r="AF19" s="13">
        <f t="shared" si="19"/>
        <v>4.7257779130829292E-2</v>
      </c>
      <c r="AG19" s="85">
        <f t="shared" si="0"/>
        <v>7.7412220071882781E-2</v>
      </c>
      <c r="AH19" s="35" t="e">
        <f>#REF!*AG19</f>
        <v>#REF!</v>
      </c>
      <c r="AI19" s="88" t="e">
        <f t="shared" si="20"/>
        <v>#REF!</v>
      </c>
      <c r="AL19" s="1">
        <v>293050.64069865231</v>
      </c>
      <c r="AR19" s="91">
        <v>266</v>
      </c>
      <c r="AS19">
        <v>266</v>
      </c>
      <c r="AT19" s="1">
        <v>286356</v>
      </c>
      <c r="AU19" s="13">
        <f t="shared" si="21"/>
        <v>-2.284465470777286E-2</v>
      </c>
      <c r="AV19" s="35">
        <v>194</v>
      </c>
      <c r="AW19" s="1">
        <v>286838.77082797902</v>
      </c>
      <c r="AX19" s="61">
        <v>214</v>
      </c>
      <c r="AY19" s="123">
        <v>285768.89028474799</v>
      </c>
      <c r="AZ19" s="124">
        <v>188</v>
      </c>
      <c r="BA19" s="119">
        <v>286146.56908175099</v>
      </c>
      <c r="BB19" s="35">
        <v>192</v>
      </c>
      <c r="BC19" s="125">
        <f t="shared" si="22"/>
        <v>1.3216232061743494E-3</v>
      </c>
      <c r="BD19">
        <v>210</v>
      </c>
      <c r="BE19" s="1">
        <v>327808.76901618089</v>
      </c>
      <c r="BF19" s="13">
        <f t="shared" si="1"/>
        <v>0.14559741208194299</v>
      </c>
      <c r="BG19">
        <v>201</v>
      </c>
      <c r="BH19" s="1">
        <v>332820.25026902987</v>
      </c>
      <c r="BI19" s="13">
        <f t="shared" si="23"/>
        <v>1.5287819382896473E-2</v>
      </c>
      <c r="BJ19">
        <v>219</v>
      </c>
      <c r="BK19" s="1">
        <v>329554.37143892609</v>
      </c>
      <c r="BL19" s="13">
        <f t="shared" si="2"/>
        <v>-9.8127407435811831E-3</v>
      </c>
      <c r="BM19" s="1">
        <v>333146.00370946422</v>
      </c>
      <c r="BN19" s="109">
        <f t="shared" si="3"/>
        <v>1.0898451308219759E-2</v>
      </c>
      <c r="BO19">
        <v>217</v>
      </c>
      <c r="BP19" s="13">
        <f t="shared" si="4"/>
        <v>-9.1324200913242004E-3</v>
      </c>
      <c r="BQ19" s="1">
        <v>338519.58096432628</v>
      </c>
      <c r="BR19" s="13">
        <f t="shared" si="5"/>
        <v>1.612979653073765E-2</v>
      </c>
      <c r="BS19">
        <v>243</v>
      </c>
      <c r="BT19" s="13">
        <f t="shared" si="6"/>
        <v>0.1198156682027649</v>
      </c>
      <c r="BU19" s="1">
        <v>345820.87359250552</v>
      </c>
      <c r="BV19" s="13">
        <f t="shared" si="7"/>
        <v>2.1568302215725144E-2</v>
      </c>
      <c r="BW19">
        <v>225</v>
      </c>
      <c r="BX19" s="13">
        <f t="shared" si="8"/>
        <v>-7.407407407407407E-2</v>
      </c>
      <c r="BY19" s="1">
        <v>339120.2715858483</v>
      </c>
      <c r="BZ19" s="13">
        <f t="shared" si="9"/>
        <v>-1.9375932797373041E-2</v>
      </c>
      <c r="CA19">
        <v>168</v>
      </c>
      <c r="CB19" s="13">
        <f t="shared" si="10"/>
        <v>-0.2533333333333333</v>
      </c>
      <c r="CC19" s="1">
        <v>343179.43875848089</v>
      </c>
      <c r="CD19" s="13">
        <f t="shared" si="11"/>
        <v>1.1969697811488711E-2</v>
      </c>
      <c r="CE19">
        <v>181</v>
      </c>
      <c r="CF19" s="13">
        <f t="shared" si="12"/>
        <v>7.7380952380952328E-2</v>
      </c>
      <c r="CG19" s="1">
        <v>355930.14189612522</v>
      </c>
      <c r="CH19" s="13">
        <f t="shared" si="13"/>
        <v>3.7154624367277123E-2</v>
      </c>
      <c r="CI19">
        <v>218</v>
      </c>
      <c r="CJ19" s="13">
        <f t="shared" si="14"/>
        <v>0.20441988950276246</v>
      </c>
      <c r="CK19" s="1">
        <v>354842.36189984612</v>
      </c>
      <c r="CL19" s="13">
        <f t="shared" si="15"/>
        <v>-3.0561614997938191E-3</v>
      </c>
      <c r="CM19">
        <v>224</v>
      </c>
      <c r="CN19" s="13">
        <f t="shared" si="16"/>
        <v>2.7522935779816571E-2</v>
      </c>
      <c r="CO19" s="1">
        <v>343764.80559162219</v>
      </c>
      <c r="CP19" s="13">
        <v>-3.121824645996063E-2</v>
      </c>
      <c r="CQ19">
        <v>233</v>
      </c>
      <c r="CR19" s="13">
        <v>4.0178571428571397E-2</v>
      </c>
      <c r="CS19" s="1">
        <v>340025.2733922216</v>
      </c>
      <c r="CT19" s="13">
        <f t="shared" si="24"/>
        <v>-1.0878170593888514E-2</v>
      </c>
      <c r="CU19">
        <v>259</v>
      </c>
      <c r="CV19" s="13">
        <f t="shared" si="25"/>
        <v>0.11158798283261806</v>
      </c>
      <c r="CW19" s="1">
        <v>329110.92729270097</v>
      </c>
      <c r="CX19" s="13">
        <f t="shared" si="26"/>
        <v>-3.2098631935899791E-2</v>
      </c>
      <c r="CY19">
        <v>292</v>
      </c>
      <c r="CZ19" s="13">
        <f t="shared" si="27"/>
        <v>0.12741312741312738</v>
      </c>
      <c r="DA19" s="1">
        <v>323324.50327272131</v>
      </c>
      <c r="DB19" s="13">
        <f t="shared" si="28"/>
        <v>-1.758198692331292E-2</v>
      </c>
      <c r="DC19">
        <v>287</v>
      </c>
      <c r="DD19" s="13">
        <f t="shared" si="29"/>
        <v>-1.7123287671232834E-2</v>
      </c>
      <c r="DE19" s="1">
        <v>321279.38072422758</v>
      </c>
      <c r="DF19" s="13">
        <f t="shared" si="30"/>
        <v>-6.3252940244021838E-3</v>
      </c>
      <c r="DG19" s="1">
        <v>285</v>
      </c>
      <c r="DH19" s="13">
        <f t="shared" si="31"/>
        <v>-6.9686411149826322E-3</v>
      </c>
      <c r="DI19" s="1">
        <v>318723.42421309039</v>
      </c>
      <c r="DJ19" s="13">
        <f t="shared" si="32"/>
        <v>-7.9555572641343275E-3</v>
      </c>
      <c r="DK19" s="1">
        <v>264</v>
      </c>
      <c r="DL19" s="13">
        <f t="shared" si="33"/>
        <v>-7.3684210526315796E-2</v>
      </c>
      <c r="DM19" s="1">
        <v>322126.43269994768</v>
      </c>
      <c r="DN19" s="13">
        <f t="shared" si="34"/>
        <v>1.0676995251475807E-2</v>
      </c>
      <c r="DO19" s="1">
        <v>278</v>
      </c>
      <c r="DP19" s="13">
        <f t="shared" si="35"/>
        <v>5.3030303030302983E-2</v>
      </c>
      <c r="DQ19" s="1">
        <v>322136.73046071088</v>
      </c>
      <c r="DR19" s="13">
        <f t="shared" si="36"/>
        <v>3.1968071284582678E-5</v>
      </c>
      <c r="DS19">
        <v>295</v>
      </c>
      <c r="DT19" s="13">
        <f t="shared" si="37"/>
        <v>6.1151079136690711E-2</v>
      </c>
      <c r="DU19" s="1">
        <v>319767.82366830308</v>
      </c>
      <c r="DV19" s="13">
        <f t="shared" si="38"/>
        <v>-7.3537307869855351E-3</v>
      </c>
      <c r="DW19">
        <v>287</v>
      </c>
      <c r="DX19" s="13">
        <f t="shared" si="39"/>
        <v>-2.7118644067796627E-2</v>
      </c>
      <c r="DY19" s="1">
        <v>327117.50902251701</v>
      </c>
      <c r="DZ19" s="13">
        <f t="shared" si="40"/>
        <v>2.2984443118447606E-2</v>
      </c>
      <c r="EA19" s="1">
        <v>287</v>
      </c>
      <c r="EB19" s="13">
        <f t="shared" si="41"/>
        <v>0</v>
      </c>
      <c r="EC19" s="1">
        <v>329083.21062836988</v>
      </c>
      <c r="ED19" s="13">
        <f t="shared" si="42"/>
        <v>6.0091604748602201E-3</v>
      </c>
      <c r="EE19" s="1">
        <f>IFERROR(VLOOKUP($A19,[1]Москва_продажа_районы!$C$2:$F$148,2,0),"")</f>
        <v>276</v>
      </c>
      <c r="EF19" s="13">
        <v>-3.8327526132404199E-2</v>
      </c>
      <c r="EG19" s="1">
        <v>329596.05194237741</v>
      </c>
      <c r="EH19" s="13">
        <f t="shared" si="43"/>
        <v>1.5583940396968199E-3</v>
      </c>
      <c r="EI19" s="1">
        <f>IFERROR(VLOOKUP($A19,[2]Москва_продажа_районы!$C$2:$F$150,2,0),"")</f>
        <v>263</v>
      </c>
      <c r="EJ19" s="13">
        <v>-4.7101449275362306E-2</v>
      </c>
      <c r="EK19" s="1">
        <v>337876.33908306592</v>
      </c>
      <c r="EL19" s="13">
        <f t="shared" si="44"/>
        <v>2.5122531328549247E-2</v>
      </c>
      <c r="EM19">
        <v>247</v>
      </c>
      <c r="EN19" s="13">
        <f t="shared" si="45"/>
        <v>-6.0836501901140649E-2</v>
      </c>
      <c r="EO19" s="1">
        <v>351892.26088807889</v>
      </c>
      <c r="EP19" s="13">
        <f t="shared" si="46"/>
        <v>4.1482401055515261E-2</v>
      </c>
      <c r="EQ19">
        <v>250</v>
      </c>
      <c r="ER19" s="13">
        <f t="shared" si="47"/>
        <v>1.2145748987854255E-2</v>
      </c>
      <c r="ES19" s="183">
        <v>357226.56993129011</v>
      </c>
      <c r="ET19" s="13">
        <f t="shared" si="48"/>
        <v>1.5158926853773069E-2</v>
      </c>
      <c r="EU19">
        <v>250</v>
      </c>
      <c r="EV19" s="13">
        <f t="shared" si="49"/>
        <v>0</v>
      </c>
      <c r="EW19" s="183">
        <v>359146.33008744672</v>
      </c>
      <c r="EX19" s="13">
        <f t="shared" si="50"/>
        <v>5.3740687780470253E-3</v>
      </c>
      <c r="EY19">
        <v>251</v>
      </c>
      <c r="EZ19" s="13">
        <f t="shared" si="51"/>
        <v>4.0000000000000036E-3</v>
      </c>
      <c r="FA19" s="1">
        <v>363016.53452903772</v>
      </c>
      <c r="FB19" s="13">
        <f t="shared" si="52"/>
        <v>1.0776121367156E-2</v>
      </c>
      <c r="FC19" s="1">
        <v>225</v>
      </c>
      <c r="FD19" s="13">
        <f t="shared" si="53"/>
        <v>-0.10358565737051795</v>
      </c>
      <c r="FE19" s="1">
        <v>380788.24471774983</v>
      </c>
      <c r="FF19" s="13">
        <f t="shared" si="54"/>
        <v>4.8955649394230472E-2</v>
      </c>
      <c r="FG19" s="1">
        <v>233</v>
      </c>
      <c r="FH19" s="13">
        <f t="shared" si="55"/>
        <v>3.5555555555555562E-2</v>
      </c>
      <c r="FI19" s="1">
        <v>379998.00946528191</v>
      </c>
      <c r="FJ19" s="13">
        <f t="shared" si="56"/>
        <v>-2.0752616800281398E-3</v>
      </c>
      <c r="FK19" s="1">
        <v>246</v>
      </c>
      <c r="FL19" s="13">
        <f t="shared" si="57"/>
        <v>5.579399141630903E-2</v>
      </c>
      <c r="FM19" s="1">
        <v>385307.59592259448</v>
      </c>
      <c r="FN19" s="13">
        <f t="shared" si="58"/>
        <v>1.3972669132619853E-2</v>
      </c>
      <c r="FO19" s="1">
        <v>230</v>
      </c>
      <c r="FP19" s="13">
        <f t="shared" si="59"/>
        <v>-6.5040650406504086E-2</v>
      </c>
      <c r="FQ19" s="1">
        <v>393334.67211386218</v>
      </c>
      <c r="FR19" s="13">
        <f t="shared" si="60"/>
        <v>2.0832904090684723E-2</v>
      </c>
      <c r="FS19">
        <v>226</v>
      </c>
      <c r="FT19" s="13">
        <f t="shared" si="61"/>
        <v>-1.7391304347826098E-2</v>
      </c>
      <c r="FU19" s="1">
        <v>402022.32209749782</v>
      </c>
      <c r="FV19" s="13">
        <f t="shared" si="62"/>
        <v>2.2087170543462209E-2</v>
      </c>
      <c r="FW19" s="1">
        <v>226</v>
      </c>
      <c r="FX19" s="13">
        <f t="shared" si="63"/>
        <v>0</v>
      </c>
      <c r="FY19" s="1">
        <v>378359.07068769122</v>
      </c>
      <c r="FZ19" s="13">
        <f t="shared" si="64"/>
        <v>-5.8860541092212837E-2</v>
      </c>
      <c r="GA19" s="1">
        <v>206</v>
      </c>
      <c r="GB19" s="13">
        <f t="shared" si="65"/>
        <v>-8.8495575221238965E-2</v>
      </c>
      <c r="GC19" s="1">
        <v>379785.83135162038</v>
      </c>
      <c r="GD19" s="13">
        <f t="shared" si="66"/>
        <v>3.7709170321618135E-3</v>
      </c>
      <c r="GE19" s="1">
        <v>207</v>
      </c>
      <c r="GF19" s="13">
        <f t="shared" si="67"/>
        <v>4.8543689320388328E-3</v>
      </c>
      <c r="GG19" s="1">
        <f>IFERROR(VLOOKUP(A19,[3]Москва_продажа_районы!$C$2:$F$149,3,0),"")</f>
        <v>383449.14743942168</v>
      </c>
      <c r="GH19" s="13">
        <v>9.6457418507791548E-3</v>
      </c>
      <c r="GI19" s="1">
        <v>234</v>
      </c>
      <c r="GJ19" s="13">
        <f t="shared" si="68"/>
        <v>0.13043478260869557</v>
      </c>
      <c r="GK19" s="1">
        <v>387220.02503450389</v>
      </c>
      <c r="GL19" s="13">
        <f t="shared" si="69"/>
        <v>9.8341008716884559E-3</v>
      </c>
      <c r="GM19" s="1">
        <v>251</v>
      </c>
      <c r="GN19" s="13">
        <f t="shared" si="70"/>
        <v>7.2649572649572614E-2</v>
      </c>
      <c r="GO19" s="1">
        <v>388156.34461145959</v>
      </c>
      <c r="GP19" s="13">
        <f t="shared" si="71"/>
        <v>2.418055669699104E-3</v>
      </c>
      <c r="GQ19" s="1">
        <v>247.17000000000002</v>
      </c>
      <c r="GR19" s="13">
        <f t="shared" si="72"/>
        <v>-1.5258964143426201E-2</v>
      </c>
      <c r="GS19" s="1">
        <v>387001.96964283509</v>
      </c>
      <c r="GT19" s="13">
        <f t="shared" si="17"/>
        <v>-2.9739948467930599E-3</v>
      </c>
      <c r="GU19">
        <v>253</v>
      </c>
      <c r="GV19" s="13">
        <f t="shared" si="18"/>
        <v>2.3587004895416097E-2</v>
      </c>
      <c r="GW19">
        <v>382554.68298357457</v>
      </c>
      <c r="GX19" s="13">
        <f t="shared" si="73"/>
        <v>-1.1491638307073559E-2</v>
      </c>
      <c r="GY19">
        <v>235</v>
      </c>
      <c r="GZ19" s="13">
        <f t="shared" si="74"/>
        <v>-7.1146245059288571E-2</v>
      </c>
      <c r="HA19">
        <v>389261.19149757281</v>
      </c>
      <c r="HB19" s="13">
        <v>1.7530849346016675E-2</v>
      </c>
      <c r="HC19">
        <v>210</v>
      </c>
      <c r="HD19" s="13">
        <v>-0.1063829787234043</v>
      </c>
      <c r="HE19">
        <v>390178.08459561883</v>
      </c>
      <c r="HF19" s="13">
        <v>2.3554701009842471E-3</v>
      </c>
      <c r="HG19">
        <v>221</v>
      </c>
      <c r="HH19" s="13">
        <v>5.2380952380952417E-2</v>
      </c>
      <c r="HI19">
        <f>VLOOKUP(A19,[4]Москва_продажа_районы!$C$4:$F$151,3,0)</f>
        <v>388017.29873859067</v>
      </c>
      <c r="HJ19" s="13">
        <f t="shared" si="75"/>
        <v>-5.5379477790701293E-3</v>
      </c>
      <c r="HK19">
        <f>VLOOKUP(A19,[4]Москва_продажа_районы!$C$4:$F$151,2,0)</f>
        <v>216</v>
      </c>
      <c r="HL19" s="13">
        <f t="shared" si="76"/>
        <v>-2.2624434389140302E-2</v>
      </c>
      <c r="HM19" s="1">
        <f>VLOOKUP(A19,Лист3!$C$4:$F$149,3,0)</f>
        <v>394922.41589011322</v>
      </c>
      <c r="HN19" s="13">
        <f t="shared" si="77"/>
        <v>1.7795900270350051E-2</v>
      </c>
      <c r="HO19">
        <f>VLOOKUP(A19,Лист3!$C$4:$F$149,2,0)</f>
        <v>207</v>
      </c>
      <c r="HP19" s="13">
        <f t="shared" si="78"/>
        <v>-4.166666666666663E-2</v>
      </c>
      <c r="HQ19" s="1">
        <v>410744.86400057352</v>
      </c>
      <c r="HR19" s="13">
        <v>4.0064699986193997E-2</v>
      </c>
      <c r="HS19">
        <v>235</v>
      </c>
      <c r="HT19" s="13">
        <v>0.13526570048309172</v>
      </c>
      <c r="HU19" s="34">
        <v>409807.621094773</v>
      </c>
      <c r="HV19" s="13">
        <v>-2.281812842824027E-3</v>
      </c>
      <c r="HW19">
        <v>233</v>
      </c>
      <c r="HX19" s="13">
        <v>-8.5106382978723527E-3</v>
      </c>
      <c r="HY19">
        <v>416911.01552339521</v>
      </c>
      <c r="HZ19" s="13">
        <v>1.7333485428226103E-2</v>
      </c>
      <c r="IA19">
        <v>239</v>
      </c>
      <c r="IB19" s="13">
        <v>2.5751072961373467E-2</v>
      </c>
      <c r="IC19" s="34">
        <v>407675.85526858811</v>
      </c>
      <c r="ID19" s="13">
        <v>-2.2151394208697384E-2</v>
      </c>
      <c r="IE19">
        <v>187</v>
      </c>
      <c r="IF19" s="13">
        <v>-0.21757322175732219</v>
      </c>
    </row>
    <row r="20" spans="1:240" ht="15.6" thickTop="1" thickBot="1" x14ac:dyDescent="0.35">
      <c r="A20" s="228" t="s">
        <v>159</v>
      </c>
      <c r="B20" s="228"/>
      <c r="C20" s="228"/>
      <c r="D20" s="228"/>
      <c r="E20" s="228"/>
      <c r="F20" s="228"/>
      <c r="G20" s="228"/>
      <c r="H20" s="228"/>
      <c r="I20" s="228"/>
      <c r="J20" s="228"/>
      <c r="K20" s="228"/>
      <c r="L20" s="228"/>
      <c r="M20" s="228"/>
      <c r="N20" s="228"/>
      <c r="O20" s="228"/>
      <c r="P20" s="228"/>
      <c r="Q20" s="228"/>
      <c r="U20" s="13"/>
      <c r="V20" s="1"/>
      <c r="AA20" s="81"/>
      <c r="AF20" s="13"/>
      <c r="AK20">
        <f>AK21-AJ21</f>
        <v>300</v>
      </c>
      <c r="AL20" s="35"/>
      <c r="BA20" s="119"/>
      <c r="BF20" s="13"/>
      <c r="BI20" s="13"/>
      <c r="BL20" s="13"/>
      <c r="BM20" s="34"/>
      <c r="BN20" s="109"/>
      <c r="BP20" s="13"/>
      <c r="BR20" s="13" t="str">
        <f t="shared" si="5"/>
        <v/>
      </c>
      <c r="BT20" s="13" t="str">
        <f t="shared" si="6"/>
        <v/>
      </c>
      <c r="BV20" s="13"/>
      <c r="BX20" s="13"/>
      <c r="BZ20" s="13"/>
      <c r="CB20" s="13"/>
      <c r="CC20" s="1"/>
      <c r="CG20" s="1"/>
      <c r="CH20" s="13"/>
      <c r="CJ20" s="13"/>
      <c r="CK20" s="1"/>
      <c r="CL20" s="13"/>
      <c r="CN20" s="13"/>
      <c r="CO20" s="1" t="s">
        <v>184</v>
      </c>
      <c r="CP20" s="13" t="s">
        <v>184</v>
      </c>
      <c r="CQ20" t="s">
        <v>184</v>
      </c>
      <c r="CR20" s="13" t="s">
        <v>184</v>
      </c>
      <c r="CS20" s="1" t="s">
        <v>184</v>
      </c>
      <c r="CT20" s="13" t="str">
        <f t="shared" si="24"/>
        <v/>
      </c>
      <c r="CU20" t="s">
        <v>184</v>
      </c>
      <c r="CV20" s="13" t="str">
        <f t="shared" si="25"/>
        <v/>
      </c>
      <c r="CW20" s="1" t="s">
        <v>184</v>
      </c>
      <c r="CX20" s="13" t="str">
        <f t="shared" si="26"/>
        <v/>
      </c>
      <c r="CY20" t="s">
        <v>184</v>
      </c>
      <c r="CZ20" s="13" t="str">
        <f t="shared" si="27"/>
        <v/>
      </c>
      <c r="DA20" s="1" t="s">
        <v>184</v>
      </c>
      <c r="DB20" s="13" t="str">
        <f t="shared" si="28"/>
        <v/>
      </c>
      <c r="DC20" t="s">
        <v>184</v>
      </c>
      <c r="DD20" s="13" t="str">
        <f t="shared" si="29"/>
        <v/>
      </c>
      <c r="DE20" s="1" t="s">
        <v>184</v>
      </c>
      <c r="DF20" s="13" t="str">
        <f t="shared" si="30"/>
        <v/>
      </c>
      <c r="DG20" s="1" t="s">
        <v>184</v>
      </c>
      <c r="DH20" s="13" t="str">
        <f t="shared" si="31"/>
        <v/>
      </c>
      <c r="DI20" s="1" t="s">
        <v>184</v>
      </c>
      <c r="DJ20" s="13" t="str">
        <f t="shared" si="32"/>
        <v/>
      </c>
      <c r="DK20" s="1" t="s">
        <v>184</v>
      </c>
      <c r="DL20" s="13" t="str">
        <f t="shared" si="33"/>
        <v/>
      </c>
      <c r="DM20" s="1" t="s">
        <v>184</v>
      </c>
      <c r="DN20" s="13" t="str">
        <f t="shared" si="34"/>
        <v/>
      </c>
      <c r="DO20" s="1" t="s">
        <v>184</v>
      </c>
      <c r="DP20" s="13" t="str">
        <f t="shared" si="35"/>
        <v/>
      </c>
      <c r="DQ20" s="1" t="s">
        <v>184</v>
      </c>
      <c r="DR20" s="13" t="str">
        <f t="shared" si="36"/>
        <v/>
      </c>
      <c r="DS20" t="s">
        <v>184</v>
      </c>
      <c r="DT20" s="13" t="str">
        <f t="shared" si="37"/>
        <v/>
      </c>
      <c r="DU20" s="1" t="s">
        <v>184</v>
      </c>
      <c r="DV20" s="13" t="str">
        <f t="shared" si="38"/>
        <v/>
      </c>
      <c r="DW20" t="s">
        <v>184</v>
      </c>
      <c r="DX20" s="13" t="str">
        <f t="shared" si="39"/>
        <v/>
      </c>
      <c r="DY20" s="1" t="s">
        <v>184</v>
      </c>
      <c r="DZ20" s="13" t="str">
        <f t="shared" si="40"/>
        <v/>
      </c>
      <c r="EA20" s="1" t="s">
        <v>184</v>
      </c>
      <c r="EB20" s="13" t="str">
        <f t="shared" si="41"/>
        <v/>
      </c>
      <c r="EC20" s="1" t="s">
        <v>184</v>
      </c>
      <c r="ED20" s="13" t="str">
        <f t="shared" si="42"/>
        <v/>
      </c>
      <c r="EE20" s="1" t="str">
        <f>IFERROR(VLOOKUP($A20,[1]Москва_продажа_районы!$C$2:$F$148,2,0),"")</f>
        <v/>
      </c>
      <c r="EF20" s="13" t="s">
        <v>184</v>
      </c>
      <c r="EG20" s="1" t="s">
        <v>184</v>
      </c>
      <c r="EH20" s="13" t="str">
        <f t="shared" si="43"/>
        <v/>
      </c>
      <c r="EI20" s="1" t="str">
        <f>IFERROR(VLOOKUP($A20,[2]Москва_продажа_районы!$C$2:$F$150,2,0),"")</f>
        <v/>
      </c>
      <c r="EJ20" s="13" t="s">
        <v>184</v>
      </c>
      <c r="EK20" s="1" t="s">
        <v>184</v>
      </c>
      <c r="EL20" s="13" t="str">
        <f t="shared" si="44"/>
        <v/>
      </c>
      <c r="EM20" t="s">
        <v>184</v>
      </c>
      <c r="EN20" s="13" t="str">
        <f t="shared" si="45"/>
        <v/>
      </c>
      <c r="EO20" s="1" t="s">
        <v>184</v>
      </c>
      <c r="EP20" s="13" t="str">
        <f t="shared" si="46"/>
        <v/>
      </c>
      <c r="EQ20" t="s">
        <v>184</v>
      </c>
      <c r="ER20" s="13" t="str">
        <f t="shared" si="47"/>
        <v/>
      </c>
      <c r="ES20" s="183" t="s">
        <v>184</v>
      </c>
      <c r="ET20" s="13" t="str">
        <f t="shared" si="48"/>
        <v/>
      </c>
      <c r="EU20" t="s">
        <v>184</v>
      </c>
      <c r="EV20" s="13" t="str">
        <f t="shared" si="49"/>
        <v/>
      </c>
      <c r="EW20" s="183" t="s">
        <v>184</v>
      </c>
      <c r="EX20" s="13" t="str">
        <f t="shared" si="50"/>
        <v/>
      </c>
      <c r="EY20" t="s">
        <v>184</v>
      </c>
      <c r="EZ20" s="13" t="str">
        <f t="shared" si="51"/>
        <v/>
      </c>
      <c r="FA20" s="1" t="s">
        <v>184</v>
      </c>
      <c r="FB20" s="13" t="str">
        <f t="shared" si="52"/>
        <v/>
      </c>
      <c r="FC20" s="1" t="s">
        <v>184</v>
      </c>
      <c r="FD20" s="13" t="str">
        <f t="shared" si="53"/>
        <v/>
      </c>
      <c r="FE20" s="1" t="s">
        <v>184</v>
      </c>
      <c r="FF20" s="13" t="str">
        <f t="shared" si="54"/>
        <v/>
      </c>
      <c r="FG20" s="1" t="s">
        <v>184</v>
      </c>
      <c r="FH20" s="13" t="str">
        <f t="shared" si="55"/>
        <v/>
      </c>
      <c r="FI20" s="1" t="s">
        <v>184</v>
      </c>
      <c r="FJ20" s="13" t="str">
        <f t="shared" si="56"/>
        <v/>
      </c>
      <c r="FK20" s="1" t="s">
        <v>184</v>
      </c>
      <c r="FL20" s="13" t="str">
        <f t="shared" si="57"/>
        <v/>
      </c>
      <c r="FM20" s="1" t="s">
        <v>184</v>
      </c>
      <c r="FN20" s="13" t="str">
        <f t="shared" si="58"/>
        <v/>
      </c>
      <c r="FO20" s="1" t="s">
        <v>184</v>
      </c>
      <c r="FP20" s="13" t="str">
        <f t="shared" si="59"/>
        <v/>
      </c>
      <c r="FQ20" s="1" t="s">
        <v>184</v>
      </c>
      <c r="FR20" s="13" t="str">
        <f t="shared" si="60"/>
        <v/>
      </c>
      <c r="FS20" t="s">
        <v>184</v>
      </c>
      <c r="FT20" s="13" t="str">
        <f t="shared" si="61"/>
        <v/>
      </c>
      <c r="FU20" s="1" t="s">
        <v>184</v>
      </c>
      <c r="FV20" s="13" t="str">
        <f t="shared" si="62"/>
        <v/>
      </c>
      <c r="FW20" s="1" t="s">
        <v>184</v>
      </c>
      <c r="FX20" s="13" t="str">
        <f t="shared" si="63"/>
        <v/>
      </c>
      <c r="FY20" s="1" t="s">
        <v>184</v>
      </c>
      <c r="FZ20" s="13" t="str">
        <f t="shared" si="64"/>
        <v/>
      </c>
      <c r="GA20" s="1" t="s">
        <v>184</v>
      </c>
      <c r="GB20" s="13" t="str">
        <f t="shared" si="65"/>
        <v/>
      </c>
      <c r="GC20" s="1" t="s">
        <v>184</v>
      </c>
      <c r="GD20" s="13" t="str">
        <f t="shared" si="66"/>
        <v/>
      </c>
      <c r="GE20" s="1" t="s">
        <v>184</v>
      </c>
      <c r="GF20" s="13" t="str">
        <f t="shared" si="67"/>
        <v/>
      </c>
      <c r="GG20" s="1" t="str">
        <f>IFERROR(VLOOKUP(A20,[3]Москва_продажа_районы!$C$2:$F$149,3,0),"")</f>
        <v/>
      </c>
      <c r="GH20" s="13" t="s">
        <v>184</v>
      </c>
      <c r="GI20" s="1" t="s">
        <v>184</v>
      </c>
      <c r="GJ20" s="13" t="str">
        <f t="shared" si="68"/>
        <v/>
      </c>
      <c r="GK20" s="1" t="s">
        <v>184</v>
      </c>
      <c r="GL20" s="13" t="str">
        <f t="shared" si="69"/>
        <v/>
      </c>
      <c r="GM20" s="1" t="s">
        <v>184</v>
      </c>
      <c r="GN20" s="13" t="str">
        <f t="shared" si="70"/>
        <v/>
      </c>
      <c r="GO20" s="1" t="s">
        <v>184</v>
      </c>
      <c r="GP20" s="13" t="str">
        <f t="shared" si="71"/>
        <v/>
      </c>
      <c r="GQ20" s="1" t="s">
        <v>184</v>
      </c>
      <c r="GR20" s="13" t="str">
        <f t="shared" si="72"/>
        <v/>
      </c>
      <c r="GT20" s="13"/>
      <c r="GV20" s="13"/>
      <c r="GX20" s="13"/>
      <c r="GZ20" s="13"/>
      <c r="HB20" s="13"/>
      <c r="HD20" s="13"/>
      <c r="HE20" t="e">
        <v>#N/A</v>
      </c>
      <c r="HF20" s="13" t="e">
        <v>#N/A</v>
      </c>
      <c r="HG20" t="e">
        <v>#N/A</v>
      </c>
      <c r="HH20" s="13" t="e">
        <v>#N/A</v>
      </c>
      <c r="HI20" t="e">
        <f>VLOOKUP(A20,[4]Москва_продажа_районы!$C$4:$F$151,3,0)</f>
        <v>#N/A</v>
      </c>
      <c r="HJ20" s="13" t="e">
        <f t="shared" si="75"/>
        <v>#N/A</v>
      </c>
      <c r="HK20" t="e">
        <f>VLOOKUP(A20,[4]Москва_продажа_районы!$C$4:$F$151,2,0)</f>
        <v>#N/A</v>
      </c>
      <c r="HL20" s="13" t="e">
        <f t="shared" si="76"/>
        <v>#N/A</v>
      </c>
      <c r="HM20" s="1" t="e">
        <f>VLOOKUP(A20,Лист3!$C$4:$F$149,3,0)</f>
        <v>#N/A</v>
      </c>
      <c r="HN20" s="13" t="e">
        <f t="shared" si="77"/>
        <v>#N/A</v>
      </c>
      <c r="HO20" t="e">
        <f>VLOOKUP(A20,Лист3!$C$4:$F$149,2,0)</f>
        <v>#N/A</v>
      </c>
      <c r="HP20" s="13" t="e">
        <f t="shared" si="78"/>
        <v>#N/A</v>
      </c>
      <c r="HQ20" s="1" t="e">
        <v>#N/A</v>
      </c>
      <c r="HR20" s="13" t="e">
        <v>#N/A</v>
      </c>
      <c r="HS20" t="e">
        <v>#N/A</v>
      </c>
      <c r="HT20" s="13" t="e">
        <v>#N/A</v>
      </c>
      <c r="HU20" s="34" t="e">
        <v>#N/A</v>
      </c>
      <c r="HV20" s="13" t="e">
        <v>#N/A</v>
      </c>
      <c r="HW20" t="e">
        <v>#N/A</v>
      </c>
      <c r="HX20" s="13" t="e">
        <v>#N/A</v>
      </c>
      <c r="HY20" t="e">
        <v>#N/A</v>
      </c>
      <c r="HZ20" s="13" t="e">
        <v>#N/A</v>
      </c>
      <c r="IA20" t="e">
        <v>#N/A</v>
      </c>
      <c r="IB20" s="13" t="e">
        <v>#N/A</v>
      </c>
      <c r="IC20" s="34" t="e">
        <v>#N/A</v>
      </c>
      <c r="ID20" s="13" t="e">
        <v>#N/A</v>
      </c>
      <c r="IE20" t="e">
        <v>#N/A</v>
      </c>
      <c r="IF20" s="13" t="e">
        <v>#N/A</v>
      </c>
    </row>
    <row r="21" spans="1:240" ht="15" thickTop="1" x14ac:dyDescent="0.3">
      <c r="A21" s="24" t="s">
        <v>36</v>
      </c>
      <c r="B21" s="25">
        <v>131591.4164967273</v>
      </c>
      <c r="C21" s="26">
        <v>55</v>
      </c>
      <c r="D21" s="25">
        <v>129503.45385469386</v>
      </c>
      <c r="E21" s="26">
        <v>49</v>
      </c>
      <c r="F21" s="25">
        <v>137171.28015736843</v>
      </c>
      <c r="G21" s="26">
        <v>38</v>
      </c>
      <c r="H21" s="25">
        <v>137624.41055944789</v>
      </c>
      <c r="I21" s="26">
        <v>44</v>
      </c>
      <c r="J21" s="25">
        <v>135854.08290078468</v>
      </c>
      <c r="K21" s="26">
        <v>56</v>
      </c>
      <c r="L21" s="25">
        <v>139113.2142708911</v>
      </c>
      <c r="M21" s="26">
        <v>56</v>
      </c>
      <c r="N21" s="25">
        <v>139841.29095150539</v>
      </c>
      <c r="O21" s="27">
        <v>50</v>
      </c>
      <c r="P21" s="38">
        <v>144163.1409747742</v>
      </c>
      <c r="Q21" s="27">
        <v>40</v>
      </c>
      <c r="R21" s="38">
        <v>139269.280651465</v>
      </c>
      <c r="S21" s="26">
        <v>31</v>
      </c>
      <c r="T21" s="50">
        <v>145713.71929193445</v>
      </c>
      <c r="U21" s="45">
        <v>36</v>
      </c>
      <c r="V21" s="55"/>
      <c r="W21" s="45"/>
      <c r="X21" s="55">
        <v>162871.20930724111</v>
      </c>
      <c r="Y21" s="45">
        <v>48</v>
      </c>
      <c r="Z21" s="1">
        <v>166060.73659045191</v>
      </c>
      <c r="AA21" s="81">
        <v>44</v>
      </c>
      <c r="AB21" s="1">
        <v>168545.29034047099</v>
      </c>
      <c r="AC21">
        <v>54</v>
      </c>
      <c r="AD21" s="1">
        <v>174385.91159945729</v>
      </c>
      <c r="AE21">
        <v>38</v>
      </c>
      <c r="AF21" s="13">
        <f t="shared" si="19"/>
        <v>7.0698205908785283E-2</v>
      </c>
      <c r="AG21" s="85">
        <f>AE21/$AJ$21</f>
        <v>8.4726867335562991E-3</v>
      </c>
      <c r="AH21" s="35">
        <f>$AK$20*AG21</f>
        <v>2.5418060200668897</v>
      </c>
      <c r="AI21" s="86">
        <f>AH21+AE21</f>
        <v>40.541806020066886</v>
      </c>
      <c r="AJ21">
        <f>SUM(AE21:AE33)</f>
        <v>4485</v>
      </c>
      <c r="AK21">
        <v>4785</v>
      </c>
      <c r="AL21" s="1">
        <v>176531.90243763491</v>
      </c>
      <c r="AM21">
        <v>32</v>
      </c>
      <c r="AN21" s="13">
        <f>AM21/SUM($AM$21:$AM$33)</f>
        <v>7.1604385768628325E-3</v>
      </c>
      <c r="AO21" s="99">
        <v>4742</v>
      </c>
      <c r="AP21" s="35">
        <f>AO21-SUM(AM21:AM33)</f>
        <v>273</v>
      </c>
      <c r="AQ21" s="35">
        <f>$AP$21*AN21</f>
        <v>1.9547997314835532</v>
      </c>
      <c r="AR21" s="86">
        <f>AM21+AQ21</f>
        <v>33.954799731483554</v>
      </c>
      <c r="AS21">
        <v>32</v>
      </c>
      <c r="AT21" s="1">
        <v>175251.95500981301</v>
      </c>
      <c r="AU21" s="13">
        <f>AT21/AL21-1</f>
        <v>-7.2505162531405487E-3</v>
      </c>
      <c r="AV21">
        <v>34</v>
      </c>
      <c r="AW21" s="1">
        <v>185769.19455728389</v>
      </c>
      <c r="AX21" s="61">
        <v>35</v>
      </c>
      <c r="AY21" s="119">
        <v>194621.18740188339</v>
      </c>
      <c r="AZ21" s="120">
        <v>42</v>
      </c>
      <c r="BA21" s="119">
        <v>195028.14696802819</v>
      </c>
      <c r="BB21" s="35">
        <v>46</v>
      </c>
      <c r="BC21" s="125">
        <f>BA21/AY21-1</f>
        <v>2.091034237215128E-3</v>
      </c>
      <c r="BD21">
        <v>53</v>
      </c>
      <c r="BE21" s="1">
        <v>205966.1796527649</v>
      </c>
      <c r="BF21" s="13">
        <f t="shared" ref="BF21:BF33" si="79">BE21/BA21-1</f>
        <v>5.6084379894814962E-2</v>
      </c>
      <c r="BG21">
        <v>48</v>
      </c>
      <c r="BH21" s="1">
        <v>202983.9746120777</v>
      </c>
      <c r="BI21" s="13">
        <f t="shared" si="23"/>
        <v>-1.4479100625718555E-2</v>
      </c>
      <c r="BJ21">
        <v>44</v>
      </c>
      <c r="BK21" s="1">
        <v>211155.4016437961</v>
      </c>
      <c r="BL21" s="13">
        <f t="shared" ref="BL21:BL33" si="80">BK21/BH21-1</f>
        <v>4.0256513093384738E-2</v>
      </c>
      <c r="BM21" s="1">
        <v>208538.791556618</v>
      </c>
      <c r="BN21" s="109">
        <f t="shared" ref="BN21:BN33" si="81">BM21/BK21-1</f>
        <v>-1.239186905382661E-2</v>
      </c>
      <c r="BO21">
        <v>36</v>
      </c>
      <c r="BP21" s="13">
        <f t="shared" ref="BP21:BP33" si="82">BO21/BJ21-1</f>
        <v>-0.18181818181818177</v>
      </c>
      <c r="BQ21" s="1">
        <v>219608.5305043429</v>
      </c>
      <c r="BR21" s="13">
        <f t="shared" si="5"/>
        <v>5.3082397117082625E-2</v>
      </c>
      <c r="BS21">
        <v>38</v>
      </c>
      <c r="BT21" s="13">
        <f t="shared" si="6"/>
        <v>5.555555555555558E-2</v>
      </c>
      <c r="BU21" s="1">
        <v>215724.93515703731</v>
      </c>
      <c r="BV21" s="13">
        <f t="shared" ref="BV21:BV33" si="83">BU21/BQ21-1</f>
        <v>-1.7684173462600428E-2</v>
      </c>
      <c r="BW21">
        <v>43</v>
      </c>
      <c r="BX21" s="13">
        <f t="shared" ref="BX21:BX33" si="84">BW21/BS21-1</f>
        <v>0.13157894736842102</v>
      </c>
      <c r="BY21" s="1">
        <v>214766.86128504551</v>
      </c>
      <c r="BZ21" s="13">
        <f t="shared" ref="BZ21:BZ33" si="85">BY21/BU21-1</f>
        <v>-4.441182802045418E-3</v>
      </c>
      <c r="CA21">
        <v>49</v>
      </c>
      <c r="CB21" s="13">
        <f t="shared" ref="CB21:CB33" si="86">CA21/BW21-1</f>
        <v>0.13953488372093026</v>
      </c>
      <c r="CC21" s="1">
        <v>217234.56270084079</v>
      </c>
      <c r="CD21" s="13">
        <f t="shared" ref="CD21:CD33" si="87">CC21/BY21-1</f>
        <v>1.1490140522750769E-2</v>
      </c>
      <c r="CE21">
        <v>43</v>
      </c>
      <c r="CF21" s="13">
        <f t="shared" ref="CF21:CF33" si="88">CE21/CA21-1</f>
        <v>-0.12244897959183676</v>
      </c>
      <c r="CG21" s="1">
        <v>209886.51764013609</v>
      </c>
      <c r="CH21" s="13">
        <f t="shared" ref="CH21:CH33" si="89">CG21/CC21-1</f>
        <v>-3.3825395781167056E-2</v>
      </c>
      <c r="CI21">
        <v>58</v>
      </c>
      <c r="CJ21" s="13">
        <f t="shared" ref="CJ21:CJ33" si="90">CI21/CE21-1</f>
        <v>0.34883720930232553</v>
      </c>
      <c r="CK21" s="1">
        <v>207325.78909469541</v>
      </c>
      <c r="CL21" s="13">
        <f t="shared" ref="CL21:CL33" si="91">CK21/CG21-1</f>
        <v>-1.2200538530212857E-2</v>
      </c>
      <c r="CM21">
        <v>77</v>
      </c>
      <c r="CN21" s="13">
        <f t="shared" ref="CN21:CN33" si="92">CM21/CI21-1</f>
        <v>0.32758620689655182</v>
      </c>
      <c r="CO21" s="1">
        <v>204738.16232187109</v>
      </c>
      <c r="CP21" s="13">
        <v>-1.2480969126529851E-2</v>
      </c>
      <c r="CQ21">
        <v>70</v>
      </c>
      <c r="CR21" s="13">
        <v>-9.0909090909090939E-2</v>
      </c>
      <c r="CS21" s="1">
        <v>205060.73774522901</v>
      </c>
      <c r="CT21" s="13">
        <f t="shared" si="24"/>
        <v>1.5755510340607071E-3</v>
      </c>
      <c r="CU21">
        <v>74</v>
      </c>
      <c r="CV21" s="13">
        <f t="shared" si="25"/>
        <v>5.7142857142857162E-2</v>
      </c>
      <c r="CW21" s="1">
        <v>216674.70400037299</v>
      </c>
      <c r="CX21" s="13">
        <f t="shared" si="26"/>
        <v>5.6636713506675207E-2</v>
      </c>
      <c r="CY21">
        <v>71</v>
      </c>
      <c r="CZ21" s="13">
        <f t="shared" si="27"/>
        <v>-4.0540540540540571E-2</v>
      </c>
      <c r="DA21" s="1">
        <v>210330.34391652761</v>
      </c>
      <c r="DB21" s="13">
        <f t="shared" si="28"/>
        <v>-2.9280575751170601E-2</v>
      </c>
      <c r="DC21">
        <v>59</v>
      </c>
      <c r="DD21" s="13">
        <f t="shared" si="29"/>
        <v>-0.16901408450704225</v>
      </c>
      <c r="DE21" s="1">
        <v>215196.91844377131</v>
      </c>
      <c r="DF21" s="13">
        <f t="shared" si="30"/>
        <v>2.3137767174360002E-2</v>
      </c>
      <c r="DG21" s="1">
        <v>60</v>
      </c>
      <c r="DH21" s="13">
        <f t="shared" si="31"/>
        <v>1.6949152542372836E-2</v>
      </c>
      <c r="DI21" s="1">
        <v>213034.51548303029</v>
      </c>
      <c r="DJ21" s="13">
        <f t="shared" si="32"/>
        <v>-1.0048484784906608E-2</v>
      </c>
      <c r="DK21" s="1">
        <v>46</v>
      </c>
      <c r="DL21" s="13">
        <f t="shared" si="33"/>
        <v>-0.23333333333333328</v>
      </c>
      <c r="DM21" s="1">
        <v>203519.17281471839</v>
      </c>
      <c r="DN21" s="13">
        <f t="shared" si="34"/>
        <v>-4.4665732436535044E-2</v>
      </c>
      <c r="DO21" s="1">
        <v>57</v>
      </c>
      <c r="DP21" s="13">
        <f t="shared" si="35"/>
        <v>0.23913043478260865</v>
      </c>
      <c r="DQ21" s="1">
        <v>203592.28744418069</v>
      </c>
      <c r="DR21" s="13">
        <f t="shared" si="36"/>
        <v>3.5925180144502633E-4</v>
      </c>
      <c r="DS21">
        <v>61</v>
      </c>
      <c r="DT21" s="13">
        <f t="shared" si="37"/>
        <v>7.0175438596491224E-2</v>
      </c>
      <c r="DU21" s="1">
        <v>207333.56384411911</v>
      </c>
      <c r="DV21" s="13">
        <f t="shared" si="38"/>
        <v>1.8376316936682402E-2</v>
      </c>
      <c r="DW21">
        <v>55</v>
      </c>
      <c r="DX21" s="13">
        <f t="shared" si="39"/>
        <v>-9.8360655737704916E-2</v>
      </c>
      <c r="DY21" s="1">
        <v>200201.17607549159</v>
      </c>
      <c r="DZ21" s="13">
        <f t="shared" si="40"/>
        <v>-3.4400545846932529E-2</v>
      </c>
      <c r="EA21" s="1">
        <v>51</v>
      </c>
      <c r="EB21" s="13">
        <f t="shared" si="41"/>
        <v>-7.2727272727272751E-2</v>
      </c>
      <c r="EC21" s="1">
        <v>204107.61985931051</v>
      </c>
      <c r="ED21" s="13">
        <f t="shared" si="42"/>
        <v>1.9512591586104744E-2</v>
      </c>
      <c r="EE21" s="1">
        <f>IFERROR(VLOOKUP($A21,[1]Москва_продажа_районы!$C$2:$F$148,2,0),"")</f>
        <v>53</v>
      </c>
      <c r="EF21" s="13">
        <v>3.9215686274509887E-2</v>
      </c>
      <c r="EG21" s="1">
        <v>210976.77121694401</v>
      </c>
      <c r="EH21" s="13">
        <f t="shared" si="43"/>
        <v>3.3654556171730965E-2</v>
      </c>
      <c r="EI21" s="1">
        <f>IFERROR(VLOOKUP($A21,[2]Москва_продажа_районы!$C$2:$F$150,2,0),"")</f>
        <v>43</v>
      </c>
      <c r="EJ21" s="13">
        <v>-0.18867924528301883</v>
      </c>
      <c r="EK21" s="1">
        <v>287934.34321270138</v>
      </c>
      <c r="EL21" s="13">
        <f t="shared" si="44"/>
        <v>0.36476798631363616</v>
      </c>
      <c r="EM21">
        <v>55</v>
      </c>
      <c r="EN21" s="13">
        <f t="shared" si="45"/>
        <v>0.27906976744186052</v>
      </c>
      <c r="EO21" s="1">
        <v>293562.7797541871</v>
      </c>
      <c r="EP21" s="13">
        <f t="shared" si="46"/>
        <v>1.954763880780952E-2</v>
      </c>
      <c r="EQ21">
        <v>49</v>
      </c>
      <c r="ER21" s="13">
        <f t="shared" si="47"/>
        <v>-0.10909090909090913</v>
      </c>
      <c r="ES21" s="183">
        <v>218377.9304883272</v>
      </c>
      <c r="ET21" s="13">
        <f t="shared" si="48"/>
        <v>-0.25611165464782504</v>
      </c>
      <c r="EU21">
        <v>49</v>
      </c>
      <c r="EV21" s="13">
        <f t="shared" si="49"/>
        <v>0</v>
      </c>
      <c r="EW21" s="183">
        <v>216028.94605104771</v>
      </c>
      <c r="EX21" s="13">
        <f t="shared" si="50"/>
        <v>-1.0756510202412861E-2</v>
      </c>
      <c r="EY21">
        <v>47</v>
      </c>
      <c r="EZ21" s="13">
        <f t="shared" si="51"/>
        <v>-4.081632653061229E-2</v>
      </c>
      <c r="FA21" s="1">
        <v>222359.29351939671</v>
      </c>
      <c r="FB21" s="13">
        <f t="shared" si="52"/>
        <v>2.9303237293270668E-2</v>
      </c>
      <c r="FC21" s="1">
        <v>37</v>
      </c>
      <c r="FD21" s="13">
        <f t="shared" si="53"/>
        <v>-0.21276595744680848</v>
      </c>
      <c r="FE21" s="1">
        <v>222011.75357116869</v>
      </c>
      <c r="FF21" s="13">
        <f t="shared" si="54"/>
        <v>-1.5629656972160344E-3</v>
      </c>
      <c r="FG21" s="1">
        <v>43</v>
      </c>
      <c r="FH21" s="13">
        <f t="shared" si="55"/>
        <v>0.16216216216216206</v>
      </c>
      <c r="FI21" s="1">
        <v>228417.02096499669</v>
      </c>
      <c r="FJ21" s="13">
        <f t="shared" si="56"/>
        <v>2.8851028338797935E-2</v>
      </c>
      <c r="FK21" s="1">
        <v>50</v>
      </c>
      <c r="FL21" s="13">
        <f t="shared" si="57"/>
        <v>0.16279069767441867</v>
      </c>
      <c r="FM21" s="1">
        <v>229613.8419917443</v>
      </c>
      <c r="FN21" s="13">
        <f t="shared" si="58"/>
        <v>5.2396315374896307E-3</v>
      </c>
      <c r="FO21" s="1">
        <v>59</v>
      </c>
      <c r="FP21" s="13">
        <f t="shared" si="59"/>
        <v>0.17999999999999994</v>
      </c>
      <c r="FQ21" s="1">
        <v>230804.2201251635</v>
      </c>
      <c r="FR21" s="13">
        <f t="shared" si="60"/>
        <v>5.1842612060906124E-3</v>
      </c>
      <c r="FS21">
        <v>71</v>
      </c>
      <c r="FT21" s="13">
        <f t="shared" si="61"/>
        <v>0.20338983050847448</v>
      </c>
      <c r="FU21" s="1">
        <v>235272.14903670241</v>
      </c>
      <c r="FV21" s="13">
        <f t="shared" si="62"/>
        <v>1.9358090199199873E-2</v>
      </c>
      <c r="FW21" s="1">
        <v>67</v>
      </c>
      <c r="FX21" s="13">
        <f t="shared" si="63"/>
        <v>-5.633802816901412E-2</v>
      </c>
      <c r="FY21" s="1">
        <v>230786.1441483708</v>
      </c>
      <c r="FZ21" s="13">
        <f t="shared" si="64"/>
        <v>-1.9067301024363048E-2</v>
      </c>
      <c r="GA21" s="1">
        <v>59</v>
      </c>
      <c r="GB21" s="13">
        <f t="shared" si="65"/>
        <v>-0.11940298507462688</v>
      </c>
      <c r="GC21" s="1">
        <v>226470.6272217209</v>
      </c>
      <c r="GD21" s="13">
        <f t="shared" si="66"/>
        <v>-1.8699202859750019E-2</v>
      </c>
      <c r="GE21" s="1">
        <v>66</v>
      </c>
      <c r="GF21" s="13">
        <f t="shared" si="67"/>
        <v>0.11864406779661008</v>
      </c>
      <c r="GG21" s="1">
        <f>IFERROR(VLOOKUP(A21,[3]Москва_продажа_районы!$C$2:$F$149,3,0),"")</f>
        <v>224488.93311464891</v>
      </c>
      <c r="GH21" s="13">
        <v>-8.7503361092909904E-3</v>
      </c>
      <c r="GI21" s="1">
        <v>76</v>
      </c>
      <c r="GJ21" s="13">
        <f t="shared" si="68"/>
        <v>0.1515151515151516</v>
      </c>
      <c r="GK21" s="1">
        <v>222662.45394297189</v>
      </c>
      <c r="GL21" s="13">
        <f t="shared" si="69"/>
        <v>-8.1361657625421691E-3</v>
      </c>
      <c r="GM21" s="1">
        <v>75</v>
      </c>
      <c r="GN21" s="13">
        <f t="shared" si="70"/>
        <v>-1.3157894736842146E-2</v>
      </c>
      <c r="GO21" s="1">
        <v>222873.32502931621</v>
      </c>
      <c r="GP21" s="13">
        <f t="shared" si="71"/>
        <v>9.4704375439214061E-4</v>
      </c>
      <c r="GQ21" s="1">
        <v>80.25</v>
      </c>
      <c r="GR21" s="13">
        <f t="shared" si="72"/>
        <v>7.0000000000000062E-2</v>
      </c>
      <c r="GS21" s="1">
        <v>216861.21669791741</v>
      </c>
      <c r="GT21" s="13">
        <f t="shared" ref="GT21:GT33" si="93">GS21/GO21-1</f>
        <v>-2.6975450429556735E-2</v>
      </c>
      <c r="GU21">
        <v>81</v>
      </c>
      <c r="GV21" s="13">
        <f t="shared" ref="GV21:GV33" si="94">GU21/GQ21-1</f>
        <v>9.3457943925232545E-3</v>
      </c>
      <c r="GW21">
        <v>215715.91903397939</v>
      </c>
      <c r="GX21" s="13">
        <f t="shared" si="73"/>
        <v>-5.2812470638001763E-3</v>
      </c>
      <c r="GY21">
        <v>83</v>
      </c>
      <c r="GZ21" s="13">
        <f t="shared" si="74"/>
        <v>2.4691358024691468E-2</v>
      </c>
      <c r="HA21">
        <v>215546.955565185</v>
      </c>
      <c r="HB21" s="13">
        <v>-7.8326842799103513E-4</v>
      </c>
      <c r="HC21">
        <v>77</v>
      </c>
      <c r="HD21" s="13">
        <v>-7.2289156626506035E-2</v>
      </c>
      <c r="HE21">
        <v>215598.45966004441</v>
      </c>
      <c r="HF21" s="13">
        <v>2.3894605574170669E-4</v>
      </c>
      <c r="HG21">
        <v>77</v>
      </c>
      <c r="HH21" s="13">
        <v>0</v>
      </c>
      <c r="HI21">
        <f>VLOOKUP(A21,[4]Москва_продажа_районы!$C$4:$F$151,3,0)</f>
        <v>211604.78817011791</v>
      </c>
      <c r="HJ21" s="13">
        <f t="shared" si="75"/>
        <v>-1.8523655021579044E-2</v>
      </c>
      <c r="HK21">
        <f>VLOOKUP(A21,[4]Москва_продажа_районы!$C$4:$F$151,2,0)</f>
        <v>77</v>
      </c>
      <c r="HL21" s="13">
        <f t="shared" si="76"/>
        <v>0</v>
      </c>
      <c r="HM21" s="1">
        <f>VLOOKUP(A21,Лист3!$C$4:$F$149,3,0)</f>
        <v>210813.913085065</v>
      </c>
      <c r="HN21" s="13">
        <f t="shared" si="77"/>
        <v>-3.7375103460187686E-3</v>
      </c>
      <c r="HO21">
        <f>VLOOKUP(A21,Лист3!$C$4:$F$149,2,0)</f>
        <v>67</v>
      </c>
      <c r="HP21" s="13">
        <f t="shared" si="78"/>
        <v>-0.12987012987012991</v>
      </c>
      <c r="HQ21" s="1">
        <v>215261.43652302571</v>
      </c>
      <c r="HR21" s="13">
        <v>2.1096916104233143E-2</v>
      </c>
      <c r="HS21">
        <v>73</v>
      </c>
      <c r="HT21" s="13">
        <v>8.9552238805970186E-2</v>
      </c>
      <c r="HU21" s="34">
        <v>216364.36377065381</v>
      </c>
      <c r="HV21" s="13">
        <v>5.1236638825928882E-3</v>
      </c>
      <c r="HW21">
        <v>63</v>
      </c>
      <c r="HX21" s="13">
        <v>-0.13698630136986301</v>
      </c>
      <c r="HY21">
        <v>215955.63275873219</v>
      </c>
      <c r="HZ21" s="13">
        <v>-1.8890865611995711E-3</v>
      </c>
      <c r="IA21">
        <v>65</v>
      </c>
      <c r="IB21" s="13">
        <v>3.1746031746031855E-2</v>
      </c>
      <c r="IC21" s="34">
        <v>212699.95348708579</v>
      </c>
      <c r="ID21" s="13">
        <v>-1.5075685825169827E-2</v>
      </c>
      <c r="IE21">
        <v>79</v>
      </c>
      <c r="IF21" s="13">
        <v>0.21538461538461529</v>
      </c>
    </row>
    <row r="22" spans="1:240" x14ac:dyDescent="0.3">
      <c r="A22" s="23" t="s">
        <v>37</v>
      </c>
      <c r="B22" s="22">
        <v>358360.52060287888</v>
      </c>
      <c r="C22">
        <v>660</v>
      </c>
      <c r="D22" s="22">
        <v>373927.83438631427</v>
      </c>
      <c r="E22">
        <v>643</v>
      </c>
      <c r="F22" s="22">
        <v>390273.94020923693</v>
      </c>
      <c r="G22">
        <v>498</v>
      </c>
      <c r="H22" s="22">
        <v>379697.11753810733</v>
      </c>
      <c r="I22">
        <v>508</v>
      </c>
      <c r="J22" s="22">
        <v>376296.98632950685</v>
      </c>
      <c r="K22">
        <v>563</v>
      </c>
      <c r="L22" s="22">
        <v>375116.53357736417</v>
      </c>
      <c r="M22">
        <v>535</v>
      </c>
      <c r="N22" s="22">
        <v>379273.64946385502</v>
      </c>
      <c r="O22" s="28">
        <v>544</v>
      </c>
      <c r="P22" s="39">
        <v>392491.98883582919</v>
      </c>
      <c r="Q22" s="28">
        <v>529</v>
      </c>
      <c r="R22" s="39">
        <v>403943.82871736313</v>
      </c>
      <c r="S22">
        <v>498</v>
      </c>
      <c r="T22" s="46">
        <v>415532.20860769594</v>
      </c>
      <c r="U22" s="47">
        <v>445</v>
      </c>
      <c r="V22" s="56">
        <v>399320.6295893552</v>
      </c>
      <c r="W22" s="47">
        <v>414</v>
      </c>
      <c r="X22" s="56">
        <v>402240.28316994553</v>
      </c>
      <c r="Y22" s="47">
        <v>400</v>
      </c>
      <c r="Z22" s="1">
        <v>405597.99413206172</v>
      </c>
      <c r="AA22" s="81">
        <v>431</v>
      </c>
      <c r="AB22" s="1">
        <v>411083.9619752685</v>
      </c>
      <c r="AC22">
        <v>443</v>
      </c>
      <c r="AD22" s="1">
        <v>412434.16516935022</v>
      </c>
      <c r="AE22">
        <v>405</v>
      </c>
      <c r="AF22" s="13">
        <f t="shared" si="19"/>
        <v>2.5342767559403789E-2</v>
      </c>
      <c r="AG22" s="85">
        <f t="shared" ref="AG22:AG33" si="95">AE22/$AJ$21</f>
        <v>9.0301003344481601E-2</v>
      </c>
      <c r="AH22" s="35">
        <f t="shared" ref="AH22:AH33" si="96">$AK$20*AG22</f>
        <v>27.090301003344479</v>
      </c>
      <c r="AI22" s="87">
        <f t="shared" ref="AI22:AI33" si="97">AH22+AE22</f>
        <v>432.09030100334451</v>
      </c>
      <c r="AL22" s="1">
        <v>415024.48751044978</v>
      </c>
      <c r="AM22">
        <v>408</v>
      </c>
      <c r="AN22" s="13">
        <f t="shared" ref="AN22:AN33" si="98">AM22/SUM($AM$21:$AM$33)</f>
        <v>9.1295591855001121E-2</v>
      </c>
      <c r="AQ22" s="35">
        <f t="shared" ref="AQ22:AQ33" si="99">$AP$21*AN22</f>
        <v>24.923696576415306</v>
      </c>
      <c r="AR22" s="87">
        <f>AM22+AQ22</f>
        <v>432.9236965764153</v>
      </c>
      <c r="AS22">
        <v>409</v>
      </c>
      <c r="AT22" s="1">
        <v>416903.77658013999</v>
      </c>
      <c r="AU22" s="13">
        <f t="shared" ref="AU22:AU33" si="100">AT22/AL22-1</f>
        <v>4.5281402091796874E-3</v>
      </c>
      <c r="AV22" s="35">
        <v>405</v>
      </c>
      <c r="AW22" s="1">
        <v>415925.11523343</v>
      </c>
      <c r="AX22" s="61">
        <v>423</v>
      </c>
      <c r="AY22" s="121">
        <v>449699.26485195191</v>
      </c>
      <c r="AZ22" s="122">
        <v>380</v>
      </c>
      <c r="BA22" s="119">
        <v>450314.01237444568</v>
      </c>
      <c r="BB22" s="35">
        <v>427</v>
      </c>
      <c r="BC22" s="125">
        <f t="shared" ref="BC22:BC33" si="101">BA22/AY22-1</f>
        <v>1.3670191849126656E-3</v>
      </c>
      <c r="BD22">
        <v>417</v>
      </c>
      <c r="BE22" s="1">
        <v>447601.33657210669</v>
      </c>
      <c r="BF22" s="13">
        <f t="shared" si="79"/>
        <v>-6.023964895152667E-3</v>
      </c>
      <c r="BG22">
        <v>402</v>
      </c>
      <c r="BH22" s="1">
        <v>456856.21733569133</v>
      </c>
      <c r="BI22" s="13">
        <f t="shared" si="23"/>
        <v>2.0676615567017498E-2</v>
      </c>
      <c r="BJ22">
        <v>366</v>
      </c>
      <c r="BK22" s="1">
        <v>466931.87961446121</v>
      </c>
      <c r="BL22" s="13">
        <f t="shared" si="80"/>
        <v>2.2054339847949134E-2</v>
      </c>
      <c r="BM22" s="1">
        <v>481533.98736120103</v>
      </c>
      <c r="BN22" s="109">
        <f t="shared" si="81"/>
        <v>3.1272458326890407E-2</v>
      </c>
      <c r="BO22">
        <v>329</v>
      </c>
      <c r="BP22" s="13">
        <f t="shared" si="82"/>
        <v>-0.10109289617486339</v>
      </c>
      <c r="BQ22" s="1">
        <v>487232.94667592319</v>
      </c>
      <c r="BR22" s="13">
        <f t="shared" si="5"/>
        <v>1.1835009499438165E-2</v>
      </c>
      <c r="BS22">
        <v>353</v>
      </c>
      <c r="BT22" s="13">
        <f t="shared" si="6"/>
        <v>7.2948328267477214E-2</v>
      </c>
      <c r="BU22" s="1">
        <v>505150.38031832117</v>
      </c>
      <c r="BV22" s="13">
        <f t="shared" si="83"/>
        <v>3.6773854815519202E-2</v>
      </c>
      <c r="BW22">
        <v>359</v>
      </c>
      <c r="BX22" s="13">
        <f t="shared" si="84"/>
        <v>1.6997167138810276E-2</v>
      </c>
      <c r="BY22" s="1">
        <v>511786.84921012458</v>
      </c>
      <c r="BZ22" s="13">
        <f t="shared" si="85"/>
        <v>1.3137610403502809E-2</v>
      </c>
      <c r="CA22">
        <v>346</v>
      </c>
      <c r="CB22" s="13">
        <f t="shared" si="86"/>
        <v>-3.6211699164345412E-2</v>
      </c>
      <c r="CC22" s="1">
        <v>503994.18966742977</v>
      </c>
      <c r="CD22" s="13">
        <f t="shared" si="87"/>
        <v>-1.5226377064439522E-2</v>
      </c>
      <c r="CE22">
        <v>364</v>
      </c>
      <c r="CF22" s="13">
        <f t="shared" si="88"/>
        <v>5.2023121387283267E-2</v>
      </c>
      <c r="CG22" s="1">
        <v>485685.51440394169</v>
      </c>
      <c r="CH22" s="13">
        <f t="shared" si="89"/>
        <v>-3.6327155429250912E-2</v>
      </c>
      <c r="CI22">
        <v>415</v>
      </c>
      <c r="CJ22" s="13">
        <f t="shared" si="90"/>
        <v>0.14010989010989006</v>
      </c>
      <c r="CK22" s="1">
        <v>490596.11766607797</v>
      </c>
      <c r="CL22" s="13">
        <f t="shared" si="91"/>
        <v>1.011066444541342E-2</v>
      </c>
      <c r="CM22">
        <v>459</v>
      </c>
      <c r="CN22" s="13">
        <f t="shared" si="92"/>
        <v>0.10602409638554211</v>
      </c>
      <c r="CO22" s="1">
        <v>479180.00992895628</v>
      </c>
      <c r="CP22" s="13">
        <v>-2.3269869707554514E-2</v>
      </c>
      <c r="CQ22">
        <v>452</v>
      </c>
      <c r="CR22" s="13">
        <v>-1.5250544662309351E-2</v>
      </c>
      <c r="CS22" s="1">
        <v>471781.75317601027</v>
      </c>
      <c r="CT22" s="13">
        <f t="shared" si="24"/>
        <v>-1.5439410241764651E-2</v>
      </c>
      <c r="CU22">
        <v>467</v>
      </c>
      <c r="CV22" s="13">
        <f t="shared" si="25"/>
        <v>3.3185840707964598E-2</v>
      </c>
      <c r="CW22" s="1">
        <v>462849.29919645691</v>
      </c>
      <c r="CX22" s="13">
        <f t="shared" si="26"/>
        <v>-1.8933445219999623E-2</v>
      </c>
      <c r="CY22">
        <v>489</v>
      </c>
      <c r="CZ22" s="13">
        <f t="shared" si="27"/>
        <v>4.7109207708779355E-2</v>
      </c>
      <c r="DA22" s="1">
        <v>458374.19726478762</v>
      </c>
      <c r="DB22" s="13">
        <f t="shared" si="28"/>
        <v>-9.668593945023618E-3</v>
      </c>
      <c r="DC22">
        <v>490</v>
      </c>
      <c r="DD22" s="13">
        <f t="shared" si="29"/>
        <v>2.044989775051187E-3</v>
      </c>
      <c r="DE22" s="1">
        <v>453030.78930881509</v>
      </c>
      <c r="DF22" s="13">
        <f t="shared" si="30"/>
        <v>-1.1657305293050424E-2</v>
      </c>
      <c r="DG22" s="1">
        <v>478</v>
      </c>
      <c r="DH22" s="13">
        <f t="shared" si="31"/>
        <v>-2.4489795918367308E-2</v>
      </c>
      <c r="DI22" s="1">
        <v>457319.29955045547</v>
      </c>
      <c r="DJ22" s="13">
        <f t="shared" si="32"/>
        <v>9.466266626564801E-3</v>
      </c>
      <c r="DK22" s="1">
        <v>455</v>
      </c>
      <c r="DL22" s="13">
        <f t="shared" si="33"/>
        <v>-4.8117154811715523E-2</v>
      </c>
      <c r="DM22" s="1">
        <v>446329.40711763932</v>
      </c>
      <c r="DN22" s="13">
        <f t="shared" si="34"/>
        <v>-2.4031114461207315E-2</v>
      </c>
      <c r="DO22" s="1">
        <v>468</v>
      </c>
      <c r="DP22" s="13">
        <f t="shared" si="35"/>
        <v>2.857142857142847E-2</v>
      </c>
      <c r="DQ22" s="1">
        <v>454671.56357617548</v>
      </c>
      <c r="DR22" s="13">
        <f t="shared" si="36"/>
        <v>1.8690582169813119E-2</v>
      </c>
      <c r="DS22">
        <v>480</v>
      </c>
      <c r="DT22" s="13">
        <f t="shared" si="37"/>
        <v>2.564102564102555E-2</v>
      </c>
      <c r="DU22" s="1">
        <v>449505.89623581362</v>
      </c>
      <c r="DV22" s="13">
        <f t="shared" si="38"/>
        <v>-1.1361316066770932E-2</v>
      </c>
      <c r="DW22">
        <v>446</v>
      </c>
      <c r="DX22" s="13">
        <f t="shared" si="39"/>
        <v>-7.0833333333333304E-2</v>
      </c>
      <c r="DY22" s="1">
        <v>453661.66474663152</v>
      </c>
      <c r="DZ22" s="13">
        <f t="shared" si="40"/>
        <v>9.2451924337779712E-3</v>
      </c>
      <c r="EA22" s="1">
        <v>451</v>
      </c>
      <c r="EB22" s="13">
        <f t="shared" si="41"/>
        <v>1.1210762331838486E-2</v>
      </c>
      <c r="EC22" s="1">
        <v>455231.02804330608</v>
      </c>
      <c r="ED22" s="13">
        <f t="shared" si="42"/>
        <v>3.4593253488832687E-3</v>
      </c>
      <c r="EE22" s="1">
        <f>IFERROR(VLOOKUP($A22,[1]Москва_продажа_районы!$C$2:$F$148,2,0),"")</f>
        <v>428</v>
      </c>
      <c r="EF22" s="13">
        <v>-5.0997782705099803E-2</v>
      </c>
      <c r="EG22" s="1">
        <v>469922.88708269713</v>
      </c>
      <c r="EH22" s="13">
        <f t="shared" si="43"/>
        <v>3.2273413133854678E-2</v>
      </c>
      <c r="EI22" s="1">
        <f>IFERROR(VLOOKUP($A22,[2]Москва_продажа_районы!$C$2:$F$150,2,0),"")</f>
        <v>414</v>
      </c>
      <c r="EJ22" s="13">
        <v>-3.2710280373831724E-2</v>
      </c>
      <c r="EK22" s="1">
        <v>478023.17135091667</v>
      </c>
      <c r="EL22" s="13">
        <f t="shared" si="44"/>
        <v>1.723747553243582E-2</v>
      </c>
      <c r="EM22">
        <v>418</v>
      </c>
      <c r="EN22" s="13">
        <f t="shared" si="45"/>
        <v>9.6618357487923134E-3</v>
      </c>
      <c r="EO22" s="1">
        <v>485593.46019015531</v>
      </c>
      <c r="EP22" s="13">
        <f t="shared" si="46"/>
        <v>1.5836656657970405E-2</v>
      </c>
      <c r="EQ22">
        <v>407</v>
      </c>
      <c r="ER22" s="13">
        <f t="shared" si="47"/>
        <v>-2.6315789473684181E-2</v>
      </c>
      <c r="ES22" s="183">
        <v>502611.08752986492</v>
      </c>
      <c r="ET22" s="13">
        <f t="shared" si="48"/>
        <v>3.5045009323324994E-2</v>
      </c>
      <c r="EU22">
        <v>375</v>
      </c>
      <c r="EV22" s="13">
        <f t="shared" si="49"/>
        <v>-7.8624078624078608E-2</v>
      </c>
      <c r="EW22" s="183">
        <v>503374.14097486099</v>
      </c>
      <c r="EX22" s="13">
        <f t="shared" si="50"/>
        <v>1.5181786950744236E-3</v>
      </c>
      <c r="EY22">
        <v>352</v>
      </c>
      <c r="EZ22" s="13">
        <f t="shared" si="51"/>
        <v>-6.1333333333333351E-2</v>
      </c>
      <c r="FA22" s="1">
        <v>517258.53545737412</v>
      </c>
      <c r="FB22" s="13">
        <f t="shared" si="52"/>
        <v>2.7582653442673744E-2</v>
      </c>
      <c r="FC22" s="1">
        <v>343</v>
      </c>
      <c r="FD22" s="13">
        <f t="shared" si="53"/>
        <v>-2.5568181818181768E-2</v>
      </c>
      <c r="FE22" s="1">
        <v>519142.5277641578</v>
      </c>
      <c r="FF22" s="13">
        <f t="shared" si="54"/>
        <v>3.6422643178188885E-3</v>
      </c>
      <c r="FG22" s="1">
        <v>343</v>
      </c>
      <c r="FH22" s="13">
        <f t="shared" si="55"/>
        <v>0</v>
      </c>
      <c r="FI22" s="1">
        <v>520801.10992764338</v>
      </c>
      <c r="FJ22" s="13">
        <f t="shared" si="56"/>
        <v>3.1948493424893698E-3</v>
      </c>
      <c r="FK22" s="1">
        <v>356</v>
      </c>
      <c r="FL22" s="13">
        <f t="shared" si="57"/>
        <v>3.790087463556846E-2</v>
      </c>
      <c r="FM22" s="1">
        <v>518606.93982131319</v>
      </c>
      <c r="FN22" s="13">
        <f t="shared" si="58"/>
        <v>-4.2130672621550902E-3</v>
      </c>
      <c r="FO22" s="1">
        <v>358</v>
      </c>
      <c r="FP22" s="13">
        <f t="shared" si="59"/>
        <v>5.6179775280897903E-3</v>
      </c>
      <c r="FQ22" s="1">
        <v>520168.75768269948</v>
      </c>
      <c r="FR22" s="13">
        <f t="shared" si="60"/>
        <v>3.0115637517778016E-3</v>
      </c>
      <c r="FS22">
        <v>371</v>
      </c>
      <c r="FT22" s="13">
        <f t="shared" si="61"/>
        <v>3.6312849162011274E-2</v>
      </c>
      <c r="FU22" s="1">
        <v>521507.28484107391</v>
      </c>
      <c r="FV22" s="13">
        <f t="shared" si="62"/>
        <v>2.5732555802417956E-3</v>
      </c>
      <c r="FW22" s="1">
        <v>346</v>
      </c>
      <c r="FX22" s="13">
        <f t="shared" si="63"/>
        <v>-6.7385444743935263E-2</v>
      </c>
      <c r="FY22" s="1">
        <v>515810.7930580767</v>
      </c>
      <c r="FZ22" s="13">
        <f t="shared" si="64"/>
        <v>-1.0923129836495349E-2</v>
      </c>
      <c r="GA22" s="1">
        <v>374</v>
      </c>
      <c r="GB22" s="13">
        <f t="shared" si="65"/>
        <v>8.092485549132955E-2</v>
      </c>
      <c r="GC22" s="1">
        <v>523023.05560538941</v>
      </c>
      <c r="GD22" s="13">
        <f t="shared" si="66"/>
        <v>1.3982380059466282E-2</v>
      </c>
      <c r="GE22" s="1">
        <v>352</v>
      </c>
      <c r="GF22" s="13">
        <f t="shared" si="67"/>
        <v>-5.8823529411764719E-2</v>
      </c>
      <c r="GG22" s="1">
        <f>IFERROR(VLOOKUP(A22,[3]Москва_продажа_районы!$C$2:$F$149,3,0),"")</f>
        <v>515941.91165271832</v>
      </c>
      <c r="GH22" s="13">
        <v>-1.353887534551379E-2</v>
      </c>
      <c r="GI22" s="1">
        <v>360</v>
      </c>
      <c r="GJ22" s="13">
        <f t="shared" si="68"/>
        <v>2.2727272727272707E-2</v>
      </c>
      <c r="GK22" s="1">
        <v>509950.90414925612</v>
      </c>
      <c r="GL22" s="13">
        <f t="shared" si="69"/>
        <v>-1.1611786846839389E-2</v>
      </c>
      <c r="GM22" s="1">
        <v>376</v>
      </c>
      <c r="GN22" s="13">
        <f t="shared" si="70"/>
        <v>4.4444444444444509E-2</v>
      </c>
      <c r="GO22" s="1">
        <v>519289.1152075706</v>
      </c>
      <c r="GP22" s="13">
        <f t="shared" si="71"/>
        <v>1.8311980589373222E-2</v>
      </c>
      <c r="GQ22" s="1">
        <v>371.29000000000008</v>
      </c>
      <c r="GR22" s="13">
        <f t="shared" si="72"/>
        <v>-1.2526595744680624E-2</v>
      </c>
      <c r="GS22" s="1">
        <v>525321.32346718211</v>
      </c>
      <c r="GT22" s="13">
        <f t="shared" si="93"/>
        <v>1.1616280955937919E-2</v>
      </c>
      <c r="GU22">
        <v>365</v>
      </c>
      <c r="GV22" s="13">
        <f t="shared" si="94"/>
        <v>-1.6940935656764466E-2</v>
      </c>
      <c r="GW22">
        <v>525578.39391761518</v>
      </c>
      <c r="GX22" s="13">
        <f t="shared" si="73"/>
        <v>4.893584915539595E-4</v>
      </c>
      <c r="GY22">
        <v>329</v>
      </c>
      <c r="GZ22" s="13">
        <f t="shared" si="74"/>
        <v>-9.8630136986301409E-2</v>
      </c>
      <c r="HA22">
        <v>531191.41514282941</v>
      </c>
      <c r="HB22" s="13">
        <v>1.0679703142618235E-2</v>
      </c>
      <c r="HC22">
        <v>299</v>
      </c>
      <c r="HD22" s="13">
        <v>-9.1185410334346462E-2</v>
      </c>
      <c r="HE22">
        <v>547718.72662067751</v>
      </c>
      <c r="HF22" s="13">
        <v>3.1113664503414684E-2</v>
      </c>
      <c r="HG22">
        <v>310</v>
      </c>
      <c r="HH22" s="13">
        <v>3.6789297658862852E-2</v>
      </c>
      <c r="HI22">
        <f>VLOOKUP(A22,[4]Москва_продажа_районы!$C$4:$F$151,3,0)</f>
        <v>553821.97665336996</v>
      </c>
      <c r="HJ22" s="13">
        <f t="shared" si="75"/>
        <v>1.1143036993364053E-2</v>
      </c>
      <c r="HK22">
        <f>VLOOKUP(A22,[4]Москва_продажа_районы!$C$4:$F$151,2,0)</f>
        <v>323</v>
      </c>
      <c r="HL22" s="13">
        <f t="shared" si="76"/>
        <v>4.1935483870967794E-2</v>
      </c>
      <c r="HM22" s="1">
        <f>VLOOKUP(A22,Лист3!$C$4:$F$149,3,0)</f>
        <v>568132.92209945049</v>
      </c>
      <c r="HN22" s="13">
        <f t="shared" si="77"/>
        <v>2.584033507041128E-2</v>
      </c>
      <c r="HO22">
        <f>VLOOKUP(A22,Лист3!$C$4:$F$149,2,0)</f>
        <v>348</v>
      </c>
      <c r="HP22" s="13">
        <f t="shared" si="78"/>
        <v>7.7399380804953566E-2</v>
      </c>
      <c r="HQ22" s="1">
        <v>571287.53149344202</v>
      </c>
      <c r="HR22" s="13">
        <v>5.5525903732775994E-3</v>
      </c>
      <c r="HS22">
        <v>355</v>
      </c>
      <c r="HT22" s="13">
        <v>2.0114942528735691E-2</v>
      </c>
      <c r="HU22" s="34">
        <v>618041.67794409592</v>
      </c>
      <c r="HV22" s="13">
        <v>8.1839956017297766E-2</v>
      </c>
      <c r="HW22">
        <v>353</v>
      </c>
      <c r="HX22" s="13">
        <v>-5.6338028169014009E-3</v>
      </c>
      <c r="HY22">
        <v>573541.43911803386</v>
      </c>
      <c r="HZ22" s="13">
        <v>-7.2002003123949998E-2</v>
      </c>
      <c r="IA22">
        <v>343</v>
      </c>
      <c r="IB22" s="13">
        <v>-2.8328611898016942E-2</v>
      </c>
      <c r="IC22" s="34">
        <v>614190.08320132247</v>
      </c>
      <c r="ID22" s="13">
        <v>7.087307265155296E-2</v>
      </c>
      <c r="IE22">
        <v>362</v>
      </c>
      <c r="IF22" s="13">
        <v>5.5393586005830997E-2</v>
      </c>
    </row>
    <row r="23" spans="1:240" x14ac:dyDescent="0.3">
      <c r="A23" s="23" t="s">
        <v>38</v>
      </c>
      <c r="B23" s="22">
        <v>267479.65054657153</v>
      </c>
      <c r="C23">
        <v>350</v>
      </c>
      <c r="D23" s="22">
        <v>275772.57498974353</v>
      </c>
      <c r="E23">
        <v>351</v>
      </c>
      <c r="F23" s="22">
        <v>388759.99874430371</v>
      </c>
      <c r="G23">
        <v>237</v>
      </c>
      <c r="H23" s="22">
        <v>299008.26122965891</v>
      </c>
      <c r="I23">
        <v>262</v>
      </c>
      <c r="J23" s="22">
        <v>286747.91723523324</v>
      </c>
      <c r="K23">
        <v>315</v>
      </c>
      <c r="L23" s="22">
        <v>283293.25506545737</v>
      </c>
      <c r="M23">
        <v>324</v>
      </c>
      <c r="N23" s="22">
        <v>289908.31882497127</v>
      </c>
      <c r="O23" s="28">
        <v>318</v>
      </c>
      <c r="P23" s="39">
        <v>289267.19030612998</v>
      </c>
      <c r="Q23" s="28">
        <v>299</v>
      </c>
      <c r="R23" s="39">
        <v>297908.59794951242</v>
      </c>
      <c r="S23">
        <v>276</v>
      </c>
      <c r="T23" s="46">
        <v>311796.68153947545</v>
      </c>
      <c r="U23" s="47">
        <v>237</v>
      </c>
      <c r="V23" s="56">
        <v>309886.88056095579</v>
      </c>
      <c r="W23" s="47">
        <v>201</v>
      </c>
      <c r="X23" s="56">
        <v>309326.39635078597</v>
      </c>
      <c r="Y23" s="47">
        <v>195</v>
      </c>
      <c r="Z23" s="1">
        <v>320363.02806830773</v>
      </c>
      <c r="AA23" s="81">
        <v>208</v>
      </c>
      <c r="AB23" s="1">
        <v>327115.33649149159</v>
      </c>
      <c r="AC23">
        <v>199</v>
      </c>
      <c r="AD23" s="1">
        <v>330465.40995270299</v>
      </c>
      <c r="AE23">
        <v>189</v>
      </c>
      <c r="AF23" s="13">
        <f t="shared" si="19"/>
        <v>6.8338860993759853E-2</v>
      </c>
      <c r="AG23" s="85">
        <f t="shared" si="95"/>
        <v>4.2140468227424746E-2</v>
      </c>
      <c r="AH23" s="35">
        <f t="shared" si="96"/>
        <v>12.642140468227424</v>
      </c>
      <c r="AI23" s="87">
        <f t="shared" si="97"/>
        <v>201.64214046822741</v>
      </c>
      <c r="AL23" s="1">
        <v>330754.21363499312</v>
      </c>
      <c r="AM23">
        <v>202</v>
      </c>
      <c r="AN23" s="13">
        <f t="shared" si="98"/>
        <v>4.520026851644663E-2</v>
      </c>
      <c r="AQ23" s="35">
        <f t="shared" si="99"/>
        <v>12.33967330498993</v>
      </c>
      <c r="AR23" s="87">
        <f t="shared" ref="AR23:AR32" si="102">AM23+AQ23</f>
        <v>214.33967330498993</v>
      </c>
      <c r="AS23">
        <v>199</v>
      </c>
      <c r="AT23" s="1">
        <v>331758.59419082152</v>
      </c>
      <c r="AU23" s="13">
        <f t="shared" si="100"/>
        <v>3.0366372200982816E-3</v>
      </c>
      <c r="AV23" s="35">
        <v>213</v>
      </c>
      <c r="AW23" s="1">
        <v>332471.79815877188</v>
      </c>
      <c r="AX23" s="61">
        <v>222</v>
      </c>
      <c r="AY23" s="121">
        <v>337567.24842139671</v>
      </c>
      <c r="AZ23" s="122">
        <v>202</v>
      </c>
      <c r="BA23" s="119">
        <v>340676.38173538528</v>
      </c>
      <c r="BB23" s="35">
        <v>204</v>
      </c>
      <c r="BC23" s="125">
        <f t="shared" si="101"/>
        <v>9.2104116395419489E-3</v>
      </c>
      <c r="BD23">
        <v>243</v>
      </c>
      <c r="BE23" s="1">
        <v>346454.11005282222</v>
      </c>
      <c r="BF23" s="13">
        <f t="shared" si="79"/>
        <v>1.695957990397079E-2</v>
      </c>
      <c r="BG23">
        <v>239</v>
      </c>
      <c r="BH23" s="1">
        <v>347011.84317652899</v>
      </c>
      <c r="BI23" s="13">
        <f t="shared" si="23"/>
        <v>1.6098326084852399E-3</v>
      </c>
      <c r="BJ23">
        <v>249</v>
      </c>
      <c r="BK23" s="1">
        <v>358101.22720724728</v>
      </c>
      <c r="BL23" s="13">
        <f t="shared" si="80"/>
        <v>3.1956788359747801E-2</v>
      </c>
      <c r="BM23" s="1">
        <v>365538.7968237524</v>
      </c>
      <c r="BN23" s="109">
        <f t="shared" si="81"/>
        <v>2.0769461402042833E-2</v>
      </c>
      <c r="BO23">
        <v>202</v>
      </c>
      <c r="BP23" s="13">
        <f t="shared" si="82"/>
        <v>-0.1887550200803213</v>
      </c>
      <c r="BQ23" s="1">
        <v>365541.95680741518</v>
      </c>
      <c r="BR23" s="13">
        <f t="shared" si="5"/>
        <v>8.6447285219115599E-6</v>
      </c>
      <c r="BS23">
        <v>220</v>
      </c>
      <c r="BT23" s="13">
        <f t="shared" si="6"/>
        <v>8.9108910891089188E-2</v>
      </c>
      <c r="BU23" s="1">
        <v>380742.26635104237</v>
      </c>
      <c r="BV23" s="13">
        <f t="shared" si="83"/>
        <v>4.1582940783006839E-2</v>
      </c>
      <c r="BW23">
        <v>218</v>
      </c>
      <c r="BX23" s="13">
        <f t="shared" si="84"/>
        <v>-9.0909090909090384E-3</v>
      </c>
      <c r="BY23" s="1">
        <v>387753.61506414862</v>
      </c>
      <c r="BZ23" s="13">
        <f t="shared" si="85"/>
        <v>1.841494715126224E-2</v>
      </c>
      <c r="CA23">
        <v>184</v>
      </c>
      <c r="CB23" s="13">
        <f t="shared" si="86"/>
        <v>-0.15596330275229353</v>
      </c>
      <c r="CC23" s="1">
        <v>383340.5363609959</v>
      </c>
      <c r="CD23" s="13">
        <f t="shared" si="87"/>
        <v>-1.1381141352924895E-2</v>
      </c>
      <c r="CE23">
        <v>192</v>
      </c>
      <c r="CF23" s="13">
        <f t="shared" si="88"/>
        <v>4.3478260869565188E-2</v>
      </c>
      <c r="CG23" s="1">
        <v>365814.62725091068</v>
      </c>
      <c r="CH23" s="13">
        <f t="shared" si="89"/>
        <v>-4.5718903814494838E-2</v>
      </c>
      <c r="CI23">
        <v>244</v>
      </c>
      <c r="CJ23" s="13">
        <f t="shared" si="90"/>
        <v>0.27083333333333326</v>
      </c>
      <c r="CK23" s="1">
        <v>356994.64277796663</v>
      </c>
      <c r="CL23" s="13">
        <f t="shared" si="91"/>
        <v>-2.4110529803649583E-2</v>
      </c>
      <c r="CM23">
        <v>245</v>
      </c>
      <c r="CN23" s="13">
        <f t="shared" si="92"/>
        <v>4.098360655737654E-3</v>
      </c>
      <c r="CO23" s="1">
        <v>355093.37866689119</v>
      </c>
      <c r="CP23" s="13">
        <v>-5.325749698316673E-3</v>
      </c>
      <c r="CQ23">
        <v>265</v>
      </c>
      <c r="CR23" s="13">
        <v>8.163265306122458E-2</v>
      </c>
      <c r="CS23" s="1">
        <v>347882.77689736482</v>
      </c>
      <c r="CT23" s="13">
        <f t="shared" si="24"/>
        <v>-2.0306212964591897E-2</v>
      </c>
      <c r="CU23">
        <v>269</v>
      </c>
      <c r="CV23" s="13">
        <f t="shared" si="25"/>
        <v>1.5094339622641506E-2</v>
      </c>
      <c r="CW23" s="1">
        <v>342840.90529631032</v>
      </c>
      <c r="CX23" s="13">
        <f t="shared" si="26"/>
        <v>-1.4493018728955365E-2</v>
      </c>
      <c r="CY23">
        <v>279</v>
      </c>
      <c r="CZ23" s="13">
        <f t="shared" si="27"/>
        <v>3.7174721189590976E-2</v>
      </c>
      <c r="DA23" s="1">
        <v>334332.46170807158</v>
      </c>
      <c r="DB23" s="13">
        <f t="shared" si="28"/>
        <v>-2.4817469143260662E-2</v>
      </c>
      <c r="DC23">
        <v>275</v>
      </c>
      <c r="DD23" s="13">
        <f t="shared" si="29"/>
        <v>-1.4336917562724039E-2</v>
      </c>
      <c r="DE23" s="1">
        <v>335094.49724988901</v>
      </c>
      <c r="DF23" s="13">
        <f t="shared" si="30"/>
        <v>2.279274761189054E-3</v>
      </c>
      <c r="DG23" s="1">
        <v>264</v>
      </c>
      <c r="DH23" s="13">
        <f t="shared" si="31"/>
        <v>-4.0000000000000036E-2</v>
      </c>
      <c r="DI23" s="1">
        <v>334762.77363499271</v>
      </c>
      <c r="DJ23" s="13">
        <f t="shared" si="32"/>
        <v>-9.8994050221279384E-4</v>
      </c>
      <c r="DK23" s="1">
        <v>255</v>
      </c>
      <c r="DL23" s="13">
        <f t="shared" si="33"/>
        <v>-3.4090909090909061E-2</v>
      </c>
      <c r="DM23" s="1">
        <v>330045.55229244882</v>
      </c>
      <c r="DN23" s="13">
        <f t="shared" si="34"/>
        <v>-1.4091236284495934E-2</v>
      </c>
      <c r="DO23" s="1">
        <v>268</v>
      </c>
      <c r="DP23" s="13">
        <f t="shared" si="35"/>
        <v>5.0980392156862786E-2</v>
      </c>
      <c r="DQ23" s="1">
        <v>327594.62264937261</v>
      </c>
      <c r="DR23" s="13">
        <f t="shared" si="36"/>
        <v>-7.426034455099928E-3</v>
      </c>
      <c r="DS23">
        <v>268</v>
      </c>
      <c r="DT23" s="13">
        <f t="shared" si="37"/>
        <v>0</v>
      </c>
      <c r="DU23" s="1">
        <v>328948.99279187218</v>
      </c>
      <c r="DV23" s="13">
        <f t="shared" si="38"/>
        <v>4.1342868559510748E-3</v>
      </c>
      <c r="DW23">
        <v>242</v>
      </c>
      <c r="DX23" s="13">
        <f t="shared" si="39"/>
        <v>-9.7014925373134275E-2</v>
      </c>
      <c r="DY23" s="1">
        <v>333842.83452868368</v>
      </c>
      <c r="DZ23" s="13">
        <f t="shared" si="40"/>
        <v>1.4877205414967953E-2</v>
      </c>
      <c r="EA23" s="1">
        <v>234</v>
      </c>
      <c r="EB23" s="13">
        <f t="shared" si="41"/>
        <v>-3.3057851239669422E-2</v>
      </c>
      <c r="EC23" s="1">
        <v>339988.84033484128</v>
      </c>
      <c r="ED23" s="13">
        <f t="shared" si="42"/>
        <v>1.8409877854153933E-2</v>
      </c>
      <c r="EE23" s="1">
        <f>IFERROR(VLOOKUP($A23,[1]Москва_продажа_районы!$C$2:$F$148,2,0),"")</f>
        <v>224</v>
      </c>
      <c r="EF23" s="13">
        <v>-4.2735042735042694E-2</v>
      </c>
      <c r="EG23" s="1">
        <v>339483.04714308621</v>
      </c>
      <c r="EH23" s="13">
        <f t="shared" si="43"/>
        <v>-1.4876758638810994E-3</v>
      </c>
      <c r="EI23" s="1">
        <f>IFERROR(VLOOKUP($A23,[2]Москва_продажа_районы!$C$2:$F$150,2,0),"")</f>
        <v>213</v>
      </c>
      <c r="EJ23" s="13">
        <v>-4.9107142857142905E-2</v>
      </c>
      <c r="EK23" s="1">
        <v>348954.5633795624</v>
      </c>
      <c r="EL23" s="13">
        <f t="shared" si="44"/>
        <v>2.7899820966565514E-2</v>
      </c>
      <c r="EM23">
        <v>192</v>
      </c>
      <c r="EN23" s="13">
        <f t="shared" si="45"/>
        <v>-9.8591549295774628E-2</v>
      </c>
      <c r="EO23" s="1">
        <v>353480.12921410508</v>
      </c>
      <c r="EP23" s="13">
        <f t="shared" si="46"/>
        <v>1.2968925784243579E-2</v>
      </c>
      <c r="EQ23">
        <v>202</v>
      </c>
      <c r="ER23" s="13">
        <f t="shared" si="47"/>
        <v>5.2083333333333259E-2</v>
      </c>
      <c r="ES23" s="183">
        <v>359281.53199553583</v>
      </c>
      <c r="ET23" s="13">
        <f t="shared" si="48"/>
        <v>1.6412245843434148E-2</v>
      </c>
      <c r="EU23">
        <v>203</v>
      </c>
      <c r="EV23" s="13">
        <f t="shared" si="49"/>
        <v>4.9504950495049549E-3</v>
      </c>
      <c r="EW23" s="183">
        <v>360959.47851511958</v>
      </c>
      <c r="EX23" s="13">
        <f t="shared" si="50"/>
        <v>4.6702832462999222E-3</v>
      </c>
      <c r="EY23">
        <v>207</v>
      </c>
      <c r="EZ23" s="13">
        <f t="shared" si="51"/>
        <v>1.9704433497536922E-2</v>
      </c>
      <c r="FA23" s="1">
        <v>364224.12046327657</v>
      </c>
      <c r="FB23" s="13">
        <f t="shared" si="52"/>
        <v>9.0443447048038639E-3</v>
      </c>
      <c r="FC23" s="1">
        <v>178</v>
      </c>
      <c r="FD23" s="13">
        <f t="shared" si="53"/>
        <v>-0.14009661835748788</v>
      </c>
      <c r="FE23" s="1">
        <v>361999.67694901337</v>
      </c>
      <c r="FF23" s="13">
        <f t="shared" si="54"/>
        <v>-6.1073481663812546E-3</v>
      </c>
      <c r="FG23" s="1">
        <v>191</v>
      </c>
      <c r="FH23" s="13">
        <f t="shared" si="55"/>
        <v>7.3033707865168607E-2</v>
      </c>
      <c r="FI23" s="1">
        <v>366169.75374229008</v>
      </c>
      <c r="FJ23" s="13">
        <f t="shared" si="56"/>
        <v>1.1519559432822568E-2</v>
      </c>
      <c r="FK23" s="1">
        <v>205</v>
      </c>
      <c r="FL23" s="13">
        <f t="shared" si="57"/>
        <v>7.3298429319371694E-2</v>
      </c>
      <c r="FM23" s="1">
        <v>362663.70874558802</v>
      </c>
      <c r="FN23" s="13">
        <f t="shared" si="58"/>
        <v>-9.5749169910128717E-3</v>
      </c>
      <c r="FO23" s="1">
        <v>205</v>
      </c>
      <c r="FP23" s="13">
        <f t="shared" si="59"/>
        <v>0</v>
      </c>
      <c r="FQ23" s="1">
        <v>363484.92921123229</v>
      </c>
      <c r="FR23" s="13">
        <f t="shared" si="60"/>
        <v>2.2644131349254248E-3</v>
      </c>
      <c r="FS23">
        <v>195</v>
      </c>
      <c r="FT23" s="13">
        <f t="shared" si="61"/>
        <v>-4.8780487804878092E-2</v>
      </c>
      <c r="FU23" s="1">
        <v>365808.86988975282</v>
      </c>
      <c r="FV23" s="13">
        <f t="shared" si="62"/>
        <v>6.3934994046754845E-3</v>
      </c>
      <c r="FW23" s="1">
        <v>193</v>
      </c>
      <c r="FX23" s="13">
        <f t="shared" si="63"/>
        <v>-1.025641025641022E-2</v>
      </c>
      <c r="FY23" s="1">
        <v>367988.09985856322</v>
      </c>
      <c r="FZ23" s="13">
        <f t="shared" si="64"/>
        <v>5.9572912200493988E-3</v>
      </c>
      <c r="GA23" s="1">
        <v>202</v>
      </c>
      <c r="GB23" s="13">
        <f t="shared" si="65"/>
        <v>4.663212435233155E-2</v>
      </c>
      <c r="GC23" s="1">
        <v>363905.13606736303</v>
      </c>
      <c r="GD23" s="13">
        <f t="shared" si="66"/>
        <v>-1.1095369096906893E-2</v>
      </c>
      <c r="GE23" s="1">
        <v>207</v>
      </c>
      <c r="GF23" s="13">
        <f t="shared" si="67"/>
        <v>2.4752475247524774E-2</v>
      </c>
      <c r="GG23" s="1">
        <f>IFERROR(VLOOKUP(A23,[3]Москва_продажа_районы!$C$2:$F$149,3,0),"")</f>
        <v>370122.77424991032</v>
      </c>
      <c r="GH23" s="13">
        <v>1.7085876417518797E-2</v>
      </c>
      <c r="GI23" s="1">
        <v>211</v>
      </c>
      <c r="GJ23" s="13">
        <f t="shared" si="68"/>
        <v>1.9323671497584627E-2</v>
      </c>
      <c r="GK23" s="1">
        <v>367133.34582968242</v>
      </c>
      <c r="GL23" s="13">
        <f t="shared" si="69"/>
        <v>-8.0768561899122737E-3</v>
      </c>
      <c r="GM23" s="1">
        <v>216</v>
      </c>
      <c r="GN23" s="13">
        <f t="shared" si="70"/>
        <v>2.3696682464454888E-2</v>
      </c>
      <c r="GO23" s="1">
        <v>373139.38744044187</v>
      </c>
      <c r="GP23" s="13">
        <f t="shared" si="71"/>
        <v>1.6359292009246573E-2</v>
      </c>
      <c r="GQ23" s="1">
        <v>210.79000000000002</v>
      </c>
      <c r="GR23" s="13">
        <f t="shared" si="72"/>
        <v>-2.4120370370370292E-2</v>
      </c>
      <c r="GS23" s="1">
        <v>364539.76821313758</v>
      </c>
      <c r="GT23" s="13">
        <f t="shared" si="93"/>
        <v>-2.3046667054618886E-2</v>
      </c>
      <c r="GU23">
        <v>230</v>
      </c>
      <c r="GV23" s="13">
        <f t="shared" si="94"/>
        <v>9.1133355472270861E-2</v>
      </c>
      <c r="GW23">
        <v>366343.56475582102</v>
      </c>
      <c r="GX23" s="13">
        <f t="shared" si="73"/>
        <v>4.9481474998602781E-3</v>
      </c>
      <c r="GY23">
        <v>215</v>
      </c>
      <c r="GZ23" s="13">
        <f t="shared" si="74"/>
        <v>-6.5217391304347783E-2</v>
      </c>
      <c r="HA23">
        <v>376861.05355625937</v>
      </c>
      <c r="HB23" s="13">
        <v>2.8709358679327668E-2</v>
      </c>
      <c r="HC23">
        <v>186</v>
      </c>
      <c r="HD23" s="13">
        <v>-0.1348837209302326</v>
      </c>
      <c r="HE23">
        <v>373858.58566689951</v>
      </c>
      <c r="HF23" s="13">
        <v>-7.9670421260753521E-3</v>
      </c>
      <c r="HG23">
        <v>197</v>
      </c>
      <c r="HH23" s="13">
        <v>5.9139784946236507E-2</v>
      </c>
      <c r="HI23">
        <f>VLOOKUP(A23,[4]Москва_продажа_районы!$C$4:$F$151,3,0)</f>
        <v>372798.77329507523</v>
      </c>
      <c r="HJ23" s="13">
        <f t="shared" si="75"/>
        <v>-2.8347947926186112E-3</v>
      </c>
      <c r="HK23">
        <f>VLOOKUP(A23,[4]Москва_продажа_районы!$C$4:$F$151,2,0)</f>
        <v>201</v>
      </c>
      <c r="HL23" s="13">
        <f t="shared" si="76"/>
        <v>2.0304568527918843E-2</v>
      </c>
      <c r="HM23" s="1">
        <f>VLOOKUP(A23,Лист3!$C$4:$F$149,3,0)</f>
        <v>382503.81622809009</v>
      </c>
      <c r="HN23" s="13">
        <f t="shared" si="77"/>
        <v>2.6032926147353974E-2</v>
      </c>
      <c r="HO23">
        <f>VLOOKUP(A23,Лист3!$C$4:$F$149,2,0)</f>
        <v>202</v>
      </c>
      <c r="HP23" s="13">
        <f t="shared" si="78"/>
        <v>4.9751243781095411E-3</v>
      </c>
      <c r="HQ23" s="1">
        <v>380632.15360293159</v>
      </c>
      <c r="HR23" s="13">
        <v>-4.8931868016772739E-3</v>
      </c>
      <c r="HS23">
        <v>204</v>
      </c>
      <c r="HT23" s="13">
        <v>9.9009900990099098E-3</v>
      </c>
      <c r="HU23" s="34">
        <v>380118.85850093089</v>
      </c>
      <c r="HV23" s="13">
        <v>-1.3485332154470342E-3</v>
      </c>
      <c r="HW23">
        <v>187</v>
      </c>
      <c r="HX23" s="13">
        <v>-8.333333333333337E-2</v>
      </c>
      <c r="HY23">
        <v>384374.72114866163</v>
      </c>
      <c r="HZ23" s="13">
        <v>1.1196136557166669E-2</v>
      </c>
      <c r="IA23">
        <v>192</v>
      </c>
      <c r="IB23" s="13">
        <v>2.673796791443861E-2</v>
      </c>
      <c r="IC23" s="34">
        <v>394071.86308054661</v>
      </c>
      <c r="ID23" s="13">
        <v>2.522835503569576E-2</v>
      </c>
      <c r="IE23">
        <v>189</v>
      </c>
      <c r="IF23" s="13">
        <v>-1.5625E-2</v>
      </c>
    </row>
    <row r="24" spans="1:240" x14ac:dyDescent="0.3">
      <c r="A24" s="23" t="s">
        <v>39</v>
      </c>
      <c r="B24" s="22">
        <v>240085.74587750642</v>
      </c>
      <c r="C24">
        <v>778</v>
      </c>
      <c r="D24" s="22">
        <v>238135.25428956532</v>
      </c>
      <c r="E24">
        <v>690</v>
      </c>
      <c r="F24" s="22">
        <v>246446.17020845658</v>
      </c>
      <c r="G24">
        <v>473</v>
      </c>
      <c r="H24" s="22">
        <v>244865.89749707517</v>
      </c>
      <c r="I24">
        <v>508</v>
      </c>
      <c r="J24" s="22">
        <v>238174.83420071026</v>
      </c>
      <c r="K24">
        <v>605</v>
      </c>
      <c r="L24" s="22">
        <v>236813.93937950031</v>
      </c>
      <c r="M24">
        <v>628</v>
      </c>
      <c r="N24" s="22">
        <v>237818.65839925496</v>
      </c>
      <c r="O24" s="28">
        <v>620</v>
      </c>
      <c r="P24" s="39">
        <v>239641.93231725867</v>
      </c>
      <c r="Q24" s="28">
        <v>584</v>
      </c>
      <c r="R24" s="39">
        <v>243965.20512848772</v>
      </c>
      <c r="S24">
        <v>536</v>
      </c>
      <c r="T24" s="46">
        <v>252845.27783441005</v>
      </c>
      <c r="U24" s="47">
        <v>478</v>
      </c>
      <c r="V24" s="56">
        <v>263320.45812537189</v>
      </c>
      <c r="W24" s="47">
        <v>422</v>
      </c>
      <c r="X24" s="56">
        <v>264868.06846272689</v>
      </c>
      <c r="Y24" s="47">
        <v>410</v>
      </c>
      <c r="Z24" s="1">
        <v>270410.52198178152</v>
      </c>
      <c r="AA24" s="81">
        <v>456</v>
      </c>
      <c r="AB24" s="1">
        <v>273144.55242014572</v>
      </c>
      <c r="AC24">
        <v>503</v>
      </c>
      <c r="AD24" s="1">
        <v>279751.41077072528</v>
      </c>
      <c r="AE24">
        <v>474</v>
      </c>
      <c r="AF24" s="13">
        <f t="shared" si="19"/>
        <v>5.6191531105958203E-2</v>
      </c>
      <c r="AG24" s="85">
        <f t="shared" si="95"/>
        <v>0.10568561872909699</v>
      </c>
      <c r="AH24" s="35">
        <f t="shared" si="96"/>
        <v>31.705685618729095</v>
      </c>
      <c r="AI24" s="87">
        <f t="shared" si="97"/>
        <v>505.70568561872909</v>
      </c>
      <c r="AL24" s="1">
        <v>283487.68180539348</v>
      </c>
      <c r="AM24">
        <v>446</v>
      </c>
      <c r="AN24" s="13">
        <f t="shared" si="98"/>
        <v>9.9798612665025738E-2</v>
      </c>
      <c r="AQ24" s="35">
        <f t="shared" si="99"/>
        <v>27.245021257552025</v>
      </c>
      <c r="AR24" s="87">
        <f t="shared" si="102"/>
        <v>473.24502125755203</v>
      </c>
      <c r="AS24">
        <v>436</v>
      </c>
      <c r="AT24" s="1">
        <v>283510.87960306852</v>
      </c>
      <c r="AU24" s="13">
        <f t="shared" si="100"/>
        <v>8.1830002373717292E-5</v>
      </c>
      <c r="AV24" s="35">
        <v>418</v>
      </c>
      <c r="AW24" s="1">
        <v>285305.76563253929</v>
      </c>
      <c r="AX24" s="61">
        <v>436</v>
      </c>
      <c r="AY24" s="121">
        <v>285169.89572697377</v>
      </c>
      <c r="AZ24" s="122">
        <v>415</v>
      </c>
      <c r="BA24" s="119">
        <v>292344.12519499479</v>
      </c>
      <c r="BB24" s="35">
        <v>440</v>
      </c>
      <c r="BC24" s="125">
        <f t="shared" si="101"/>
        <v>2.5157737810058922E-2</v>
      </c>
      <c r="BD24">
        <v>471</v>
      </c>
      <c r="BE24" s="1">
        <v>299432.24380161759</v>
      </c>
      <c r="BF24" s="13">
        <f t="shared" si="79"/>
        <v>2.4245804843504137E-2</v>
      </c>
      <c r="BG24">
        <v>417</v>
      </c>
      <c r="BH24" s="1">
        <v>300661.28757160919</v>
      </c>
      <c r="BI24" s="13">
        <f t="shared" si="23"/>
        <v>4.1045805701735993E-3</v>
      </c>
      <c r="BJ24">
        <v>374</v>
      </c>
      <c r="BK24" s="1">
        <v>305293.33719108743</v>
      </c>
      <c r="BL24" s="13">
        <f t="shared" si="80"/>
        <v>1.5406205623911706E-2</v>
      </c>
      <c r="BM24" s="1">
        <v>311660.7389716038</v>
      </c>
      <c r="BN24" s="109">
        <f t="shared" si="81"/>
        <v>2.0856668013461865E-2</v>
      </c>
      <c r="BO24">
        <v>382</v>
      </c>
      <c r="BP24" s="13">
        <f t="shared" si="82"/>
        <v>2.1390374331550888E-2</v>
      </c>
      <c r="BQ24" s="1">
        <v>318270.54539027042</v>
      </c>
      <c r="BR24" s="13">
        <f t="shared" si="5"/>
        <v>2.1208338401805804E-2</v>
      </c>
      <c r="BS24">
        <v>431</v>
      </c>
      <c r="BT24" s="13">
        <f t="shared" si="6"/>
        <v>0.12827225130890052</v>
      </c>
      <c r="BU24" s="1">
        <v>334330.45096624072</v>
      </c>
      <c r="BV24" s="13">
        <f t="shared" si="83"/>
        <v>5.0459917854720926E-2</v>
      </c>
      <c r="BW24">
        <v>403</v>
      </c>
      <c r="BX24" s="13">
        <f t="shared" si="84"/>
        <v>-6.4965197215777315E-2</v>
      </c>
      <c r="BY24" s="1">
        <v>336853.38400376262</v>
      </c>
      <c r="BZ24" s="13">
        <f t="shared" si="85"/>
        <v>7.5462256884779588E-3</v>
      </c>
      <c r="CA24">
        <v>354</v>
      </c>
      <c r="CB24" s="13">
        <f t="shared" si="86"/>
        <v>-0.12158808933002485</v>
      </c>
      <c r="CC24" s="1">
        <v>332228.5358610446</v>
      </c>
      <c r="CD24" s="13">
        <f t="shared" si="87"/>
        <v>-1.3729558206446169E-2</v>
      </c>
      <c r="CE24">
        <v>371</v>
      </c>
      <c r="CF24" s="13">
        <f t="shared" si="88"/>
        <v>4.8022598870056443E-2</v>
      </c>
      <c r="CG24" s="1">
        <v>327815.60437712009</v>
      </c>
      <c r="CH24" s="13">
        <f t="shared" si="89"/>
        <v>-1.3282818926096729E-2</v>
      </c>
      <c r="CI24">
        <v>431</v>
      </c>
      <c r="CJ24" s="13">
        <f t="shared" si="90"/>
        <v>0.16172506738544468</v>
      </c>
      <c r="CK24" s="1">
        <v>318349.39027477388</v>
      </c>
      <c r="CL24" s="13">
        <f t="shared" si="91"/>
        <v>-2.8876642770965355E-2</v>
      </c>
      <c r="CM24">
        <v>489</v>
      </c>
      <c r="CN24" s="13">
        <f t="shared" si="92"/>
        <v>0.13457076566125292</v>
      </c>
      <c r="CO24" s="1">
        <v>317751.70949496177</v>
      </c>
      <c r="CP24" s="13">
        <v>-1.8774365463563036E-3</v>
      </c>
      <c r="CQ24">
        <v>506</v>
      </c>
      <c r="CR24" s="13">
        <v>3.4764826175869068E-2</v>
      </c>
      <c r="CS24" s="1">
        <v>313578.73864971288</v>
      </c>
      <c r="CT24" s="13">
        <f t="shared" si="24"/>
        <v>-1.3132803760148026E-2</v>
      </c>
      <c r="CU24">
        <v>591</v>
      </c>
      <c r="CV24" s="13">
        <f t="shared" si="25"/>
        <v>0.16798418972332008</v>
      </c>
      <c r="CW24" s="1">
        <v>306165.22585125093</v>
      </c>
      <c r="CX24" s="13">
        <f t="shared" si="26"/>
        <v>-2.3641630903883826E-2</v>
      </c>
      <c r="CY24">
        <v>629</v>
      </c>
      <c r="CZ24" s="13">
        <f t="shared" si="27"/>
        <v>6.4297800338409372E-2</v>
      </c>
      <c r="DA24" s="1">
        <v>298170.99132883362</v>
      </c>
      <c r="DB24" s="13">
        <f t="shared" si="28"/>
        <v>-2.6110850767556704E-2</v>
      </c>
      <c r="DC24">
        <v>621</v>
      </c>
      <c r="DD24" s="13">
        <f t="shared" si="29"/>
        <v>-1.2718600953895098E-2</v>
      </c>
      <c r="DE24" s="1">
        <v>295471.23122468923</v>
      </c>
      <c r="DF24" s="13">
        <f t="shared" si="30"/>
        <v>-9.0544022814311731E-3</v>
      </c>
      <c r="DG24" s="1">
        <v>617</v>
      </c>
      <c r="DH24" s="13">
        <f t="shared" si="31"/>
        <v>-6.441223832528209E-3</v>
      </c>
      <c r="DI24" s="1">
        <v>296276.55536950659</v>
      </c>
      <c r="DJ24" s="13">
        <f t="shared" si="32"/>
        <v>2.7255585644645475E-3</v>
      </c>
      <c r="DK24" s="1">
        <v>598</v>
      </c>
      <c r="DL24" s="13">
        <f t="shared" si="33"/>
        <v>-3.0794165316045397E-2</v>
      </c>
      <c r="DM24" s="1">
        <v>295811.13346040732</v>
      </c>
      <c r="DN24" s="13">
        <f t="shared" si="34"/>
        <v>-1.5709036056491543E-3</v>
      </c>
      <c r="DO24" s="1">
        <v>598</v>
      </c>
      <c r="DP24" s="13">
        <f t="shared" si="35"/>
        <v>0</v>
      </c>
      <c r="DQ24" s="1">
        <v>296751.6805444053</v>
      </c>
      <c r="DR24" s="13">
        <f t="shared" si="36"/>
        <v>3.1795526861866374E-3</v>
      </c>
      <c r="DS24">
        <v>595</v>
      </c>
      <c r="DT24" s="13">
        <f t="shared" si="37"/>
        <v>-5.0167224080267525E-3</v>
      </c>
      <c r="DU24" s="1">
        <v>302074.22922238888</v>
      </c>
      <c r="DV24" s="13">
        <f t="shared" si="38"/>
        <v>1.7936035503553382E-2</v>
      </c>
      <c r="DW24">
        <v>580</v>
      </c>
      <c r="DX24" s="13">
        <f t="shared" si="39"/>
        <v>-2.5210084033613467E-2</v>
      </c>
      <c r="DY24" s="1">
        <v>305462.6055153482</v>
      </c>
      <c r="DZ24" s="13">
        <f t="shared" si="40"/>
        <v>1.1217031991381132E-2</v>
      </c>
      <c r="EA24" s="1">
        <v>588</v>
      </c>
      <c r="EB24" s="13">
        <f t="shared" si="41"/>
        <v>1.379310344827589E-2</v>
      </c>
      <c r="EC24" s="1">
        <v>307863.70909954159</v>
      </c>
      <c r="ED24" s="13">
        <f t="shared" si="42"/>
        <v>7.8605483644798024E-3</v>
      </c>
      <c r="EE24" s="1">
        <f>IFERROR(VLOOKUP($A24,[1]Москва_продажа_районы!$C$2:$F$148,2,0),"")</f>
        <v>584</v>
      </c>
      <c r="EF24" s="13">
        <v>-6.8027210884353817E-3</v>
      </c>
      <c r="EG24" s="1">
        <v>314051.36571548542</v>
      </c>
      <c r="EH24" s="13">
        <f t="shared" si="43"/>
        <v>2.0098687935781179E-2</v>
      </c>
      <c r="EI24" s="1">
        <f>IFERROR(VLOOKUP($A24,[2]Москва_продажа_районы!$C$2:$F$150,2,0),"")</f>
        <v>533</v>
      </c>
      <c r="EJ24" s="13">
        <v>-8.7328767123287632E-2</v>
      </c>
      <c r="EK24" s="1">
        <v>317130.30079649237</v>
      </c>
      <c r="EL24" s="13">
        <f t="shared" si="44"/>
        <v>9.8039219603214267E-3</v>
      </c>
      <c r="EM24">
        <v>488</v>
      </c>
      <c r="EN24" s="13">
        <f t="shared" si="45"/>
        <v>-8.4427767354596672E-2</v>
      </c>
      <c r="EO24" s="1">
        <v>336491.99372996279</v>
      </c>
      <c r="EP24" s="13">
        <f t="shared" si="46"/>
        <v>6.1052800331101498E-2</v>
      </c>
      <c r="EQ24">
        <v>484</v>
      </c>
      <c r="ER24" s="13">
        <f t="shared" si="47"/>
        <v>-8.1967213114754189E-3</v>
      </c>
      <c r="ES24" s="183">
        <v>333364.06789319788</v>
      </c>
      <c r="ET24" s="13">
        <f t="shared" si="48"/>
        <v>-9.2956917104990433E-3</v>
      </c>
      <c r="EU24">
        <v>478</v>
      </c>
      <c r="EV24" s="13">
        <f t="shared" si="49"/>
        <v>-1.2396694214875992E-2</v>
      </c>
      <c r="EW24" s="183">
        <v>337630.59767795668</v>
      </c>
      <c r="EX24" s="13">
        <f t="shared" si="50"/>
        <v>1.279840929384668E-2</v>
      </c>
      <c r="EY24">
        <v>494</v>
      </c>
      <c r="EZ24" s="13">
        <f t="shared" si="51"/>
        <v>3.3472803347280422E-2</v>
      </c>
      <c r="FA24" s="1">
        <v>329475.50546104618</v>
      </c>
      <c r="FB24" s="13">
        <f t="shared" si="52"/>
        <v>-2.4153889703708353E-2</v>
      </c>
      <c r="FC24" s="1">
        <v>464</v>
      </c>
      <c r="FD24" s="13">
        <f t="shared" si="53"/>
        <v>-6.0728744939271273E-2</v>
      </c>
      <c r="FE24" s="1">
        <v>334657.50802136707</v>
      </c>
      <c r="FF24" s="13">
        <f t="shared" si="54"/>
        <v>1.5728035846153565E-2</v>
      </c>
      <c r="FG24" s="1">
        <v>468</v>
      </c>
      <c r="FH24" s="13">
        <f t="shared" si="55"/>
        <v>8.6206896551723755E-3</v>
      </c>
      <c r="FI24" s="1">
        <v>340187.03362424858</v>
      </c>
      <c r="FJ24" s="13">
        <f t="shared" si="56"/>
        <v>1.6522939035715556E-2</v>
      </c>
      <c r="FK24" s="1">
        <v>522</v>
      </c>
      <c r="FL24" s="13">
        <f t="shared" si="57"/>
        <v>0.11538461538461542</v>
      </c>
      <c r="FM24" s="1">
        <v>334500.06128343678</v>
      </c>
      <c r="FN24" s="13">
        <f t="shared" si="58"/>
        <v>-1.6717193128216956E-2</v>
      </c>
      <c r="FO24" s="1">
        <v>518</v>
      </c>
      <c r="FP24" s="13">
        <f t="shared" si="59"/>
        <v>-7.6628352490420992E-3</v>
      </c>
      <c r="FQ24" s="1">
        <v>332531.58891964989</v>
      </c>
      <c r="FR24" s="13">
        <f t="shared" si="60"/>
        <v>-5.8848191424363261E-3</v>
      </c>
      <c r="FS24">
        <v>539</v>
      </c>
      <c r="FT24" s="13">
        <f t="shared" si="61"/>
        <v>4.0540540540540571E-2</v>
      </c>
      <c r="FU24" s="1">
        <v>331305.00071708579</v>
      </c>
      <c r="FV24" s="13">
        <f t="shared" si="62"/>
        <v>-3.6886366391509773E-3</v>
      </c>
      <c r="FW24" s="1">
        <v>522</v>
      </c>
      <c r="FX24" s="13">
        <f t="shared" si="63"/>
        <v>-3.153988868274582E-2</v>
      </c>
      <c r="FY24" s="1">
        <v>330803.79277091369</v>
      </c>
      <c r="FZ24" s="13">
        <f t="shared" si="64"/>
        <v>-1.5128294021740096E-3</v>
      </c>
      <c r="GA24" s="1">
        <v>521</v>
      </c>
      <c r="GB24" s="13">
        <f t="shared" si="65"/>
        <v>-1.9157088122605526E-3</v>
      </c>
      <c r="GC24" s="1">
        <v>330429.03165933402</v>
      </c>
      <c r="GD24" s="13">
        <f t="shared" si="66"/>
        <v>-1.1328803350183492E-3</v>
      </c>
      <c r="GE24" s="1">
        <v>504</v>
      </c>
      <c r="GF24" s="13">
        <f t="shared" si="67"/>
        <v>-3.2629558541266812E-2</v>
      </c>
      <c r="GG24" s="1">
        <f>IFERROR(VLOOKUP(A24,[3]Москва_продажа_районы!$C$2:$F$149,3,0),"")</f>
        <v>328218.84835742868</v>
      </c>
      <c r="GH24" s="13">
        <v>-6.6888290378310788E-3</v>
      </c>
      <c r="GI24" s="1">
        <v>508</v>
      </c>
      <c r="GJ24" s="13">
        <f t="shared" si="68"/>
        <v>7.9365079365079083E-3</v>
      </c>
      <c r="GK24" s="1">
        <v>329357.03580235818</v>
      </c>
      <c r="GL24" s="13">
        <f t="shared" si="69"/>
        <v>3.4677699060414735E-3</v>
      </c>
      <c r="GM24" s="1">
        <v>506</v>
      </c>
      <c r="GN24" s="13">
        <f t="shared" si="70"/>
        <v>-3.937007874015741E-3</v>
      </c>
      <c r="GO24" s="1">
        <v>330491.84711536427</v>
      </c>
      <c r="GP24" s="13">
        <f t="shared" si="71"/>
        <v>3.4455353602558247E-3</v>
      </c>
      <c r="GQ24" s="1">
        <v>516.81000000000006</v>
      </c>
      <c r="GR24" s="13">
        <f t="shared" si="72"/>
        <v>2.1363636363636473E-2</v>
      </c>
      <c r="GS24" s="1">
        <v>331795.69550120668</v>
      </c>
      <c r="GT24" s="13">
        <f t="shared" si="93"/>
        <v>3.9451756441883923E-3</v>
      </c>
      <c r="GU24">
        <v>506</v>
      </c>
      <c r="GV24" s="13">
        <f t="shared" si="94"/>
        <v>-2.0916777926123786E-2</v>
      </c>
      <c r="GW24">
        <v>333445.80461623141</v>
      </c>
      <c r="GX24" s="13">
        <f t="shared" si="73"/>
        <v>4.9732686029337891E-3</v>
      </c>
      <c r="GY24">
        <v>451</v>
      </c>
      <c r="GZ24" s="13">
        <f t="shared" si="74"/>
        <v>-0.10869565217391308</v>
      </c>
      <c r="HA24">
        <v>322649.63278854563</v>
      </c>
      <c r="HB24" s="13">
        <v>-3.2377590835522052E-2</v>
      </c>
      <c r="HC24">
        <v>469</v>
      </c>
      <c r="HD24" s="13">
        <v>3.9911308203991025E-2</v>
      </c>
      <c r="HE24">
        <v>323030.76969758183</v>
      </c>
      <c r="HF24" s="13">
        <v>1.1812717892847324E-3</v>
      </c>
      <c r="HG24">
        <v>476</v>
      </c>
      <c r="HH24" s="13">
        <v>1.4925373134328401E-2</v>
      </c>
      <c r="HI24">
        <f>VLOOKUP(A24,[4]Москва_продажа_районы!$C$4:$F$151,3,0)</f>
        <v>335456.55836490338</v>
      </c>
      <c r="HJ24" s="13">
        <f t="shared" si="75"/>
        <v>3.8466269572259071E-2</v>
      </c>
      <c r="HK24">
        <f>VLOOKUP(A24,[4]Москва_продажа_районы!$C$4:$F$151,2,0)</f>
        <v>420</v>
      </c>
      <c r="HL24" s="13">
        <f t="shared" si="76"/>
        <v>-0.11764705882352944</v>
      </c>
      <c r="HM24" s="1">
        <f>VLOOKUP(A24,Лист3!$C$4:$F$149,3,0)</f>
        <v>339893.66431780037</v>
      </c>
      <c r="HN24" s="13">
        <f t="shared" si="77"/>
        <v>1.3227065747423605E-2</v>
      </c>
      <c r="HO24">
        <f>VLOOKUP(A24,Лист3!$C$4:$F$149,2,0)</f>
        <v>418</v>
      </c>
      <c r="HP24" s="13">
        <f t="shared" si="78"/>
        <v>-4.761904761904745E-3</v>
      </c>
      <c r="HQ24" s="1">
        <v>342621.49864847271</v>
      </c>
      <c r="HR24" s="13">
        <v>8.0255521565761878E-3</v>
      </c>
      <c r="HS24">
        <v>411</v>
      </c>
      <c r="HT24" s="13">
        <v>-1.674641148325362E-2</v>
      </c>
      <c r="HU24" s="34">
        <v>348311.82190675061</v>
      </c>
      <c r="HV24" s="13">
        <v>1.6608190906654441E-2</v>
      </c>
      <c r="HW24">
        <v>408</v>
      </c>
      <c r="HX24" s="13">
        <v>-7.2992700729926918E-3</v>
      </c>
      <c r="HY24">
        <v>346819.52438306739</v>
      </c>
      <c r="HZ24" s="13">
        <v>-4.2843723061537498E-3</v>
      </c>
      <c r="IA24">
        <v>429</v>
      </c>
      <c r="IB24" s="13">
        <v>5.1470588235294157E-2</v>
      </c>
      <c r="IC24" s="34">
        <v>351768.99561591208</v>
      </c>
      <c r="ID24" s="13">
        <v>1.4271028257849538E-2</v>
      </c>
      <c r="IE24">
        <v>414</v>
      </c>
      <c r="IF24" s="13">
        <v>-3.4965034965035002E-2</v>
      </c>
    </row>
    <row r="25" spans="1:240" x14ac:dyDescent="0.3">
      <c r="A25" s="23" t="s">
        <v>40</v>
      </c>
      <c r="B25" s="22">
        <v>214125.79385172983</v>
      </c>
      <c r="C25">
        <v>792</v>
      </c>
      <c r="D25" s="22">
        <v>216640.46731399777</v>
      </c>
      <c r="E25">
        <v>808</v>
      </c>
      <c r="F25" s="22">
        <v>225374.15581255683</v>
      </c>
      <c r="G25">
        <v>618</v>
      </c>
      <c r="H25" s="22">
        <v>225113.14882502711</v>
      </c>
      <c r="I25">
        <v>679</v>
      </c>
      <c r="J25" s="22">
        <v>219520.79110979167</v>
      </c>
      <c r="K25">
        <v>777</v>
      </c>
      <c r="L25" s="22">
        <v>217473.18105683386</v>
      </c>
      <c r="M25">
        <v>741</v>
      </c>
      <c r="N25" s="22">
        <v>220401.32040646311</v>
      </c>
      <c r="O25" s="28">
        <v>741</v>
      </c>
      <c r="P25" s="39">
        <v>225052.20556030329</v>
      </c>
      <c r="Q25" s="28">
        <v>736</v>
      </c>
      <c r="R25" s="39">
        <v>230230.71288068042</v>
      </c>
      <c r="S25">
        <v>717</v>
      </c>
      <c r="T25" s="46">
        <v>234223.62775619334</v>
      </c>
      <c r="U25" s="47">
        <v>680</v>
      </c>
      <c r="V25" s="56">
        <v>240818.75893208521</v>
      </c>
      <c r="W25" s="47">
        <v>581</v>
      </c>
      <c r="X25" s="56">
        <v>244869.48015277999</v>
      </c>
      <c r="Y25" s="47">
        <v>576</v>
      </c>
      <c r="Z25" s="1">
        <v>249769.96516934791</v>
      </c>
      <c r="AA25" s="81">
        <v>646</v>
      </c>
      <c r="AB25" s="1">
        <v>250176.04924310339</v>
      </c>
      <c r="AC25">
        <v>723</v>
      </c>
      <c r="AD25" s="1">
        <v>251354.4304873037</v>
      </c>
      <c r="AE25">
        <v>645</v>
      </c>
      <c r="AF25" s="13">
        <f t="shared" si="19"/>
        <v>2.6483293591661905E-2</v>
      </c>
      <c r="AG25" s="85">
        <f t="shared" si="95"/>
        <v>0.14381270903010032</v>
      </c>
      <c r="AH25" s="35">
        <f t="shared" si="96"/>
        <v>43.143812709030094</v>
      </c>
      <c r="AI25" s="87">
        <f t="shared" si="97"/>
        <v>688.14381270903004</v>
      </c>
      <c r="AL25" s="1">
        <v>253692.0553192771</v>
      </c>
      <c r="AM25">
        <v>595</v>
      </c>
      <c r="AN25" s="13">
        <f t="shared" si="98"/>
        <v>0.1331394047885433</v>
      </c>
      <c r="AQ25" s="35">
        <f t="shared" si="99"/>
        <v>36.347057507272325</v>
      </c>
      <c r="AR25" s="87">
        <f t="shared" si="102"/>
        <v>631.34705750727232</v>
      </c>
      <c r="AS25">
        <v>606</v>
      </c>
      <c r="AT25" s="1">
        <v>252336.47927596499</v>
      </c>
      <c r="AU25" s="13">
        <f t="shared" si="100"/>
        <v>-5.3433917810555842E-3</v>
      </c>
      <c r="AV25" s="35">
        <v>603</v>
      </c>
      <c r="AW25" s="1">
        <v>252130.34164065</v>
      </c>
      <c r="AX25" s="61">
        <v>629</v>
      </c>
      <c r="AY25" s="121">
        <v>264893.67677431001</v>
      </c>
      <c r="AZ25" s="122">
        <v>613</v>
      </c>
      <c r="BA25" s="119">
        <v>268931.81563057448</v>
      </c>
      <c r="BB25" s="35">
        <v>653</v>
      </c>
      <c r="BC25" s="125">
        <f t="shared" si="101"/>
        <v>1.5244376179296193E-2</v>
      </c>
      <c r="BD25">
        <v>666</v>
      </c>
      <c r="BE25" s="1">
        <v>276929.7099490118</v>
      </c>
      <c r="BF25" s="13">
        <f t="shared" si="79"/>
        <v>2.9739487310879831E-2</v>
      </c>
      <c r="BG25">
        <v>616</v>
      </c>
      <c r="BH25" s="1">
        <v>276185.71881478652</v>
      </c>
      <c r="BI25" s="13">
        <f t="shared" si="23"/>
        <v>-2.6865703010423569E-3</v>
      </c>
      <c r="BJ25">
        <v>624</v>
      </c>
      <c r="BK25" s="1">
        <v>283197.19146450429</v>
      </c>
      <c r="BL25" s="13">
        <f t="shared" si="80"/>
        <v>2.5386803777568634E-2</v>
      </c>
      <c r="BM25" s="1">
        <v>293429.01824273862</v>
      </c>
      <c r="BN25" s="109">
        <f t="shared" si="81"/>
        <v>3.6129690147427729E-2</v>
      </c>
      <c r="BO25">
        <v>596</v>
      </c>
      <c r="BP25" s="13">
        <f t="shared" si="82"/>
        <v>-4.4871794871794823E-2</v>
      </c>
      <c r="BQ25" s="1">
        <v>296292.96010995627</v>
      </c>
      <c r="BR25" s="13">
        <f t="shared" si="5"/>
        <v>9.7602544028159155E-3</v>
      </c>
      <c r="BS25">
        <v>631</v>
      </c>
      <c r="BT25" s="13">
        <f t="shared" si="6"/>
        <v>5.8724832214765099E-2</v>
      </c>
      <c r="BU25" s="1">
        <v>302705.2829499332</v>
      </c>
      <c r="BV25" s="13">
        <f t="shared" si="83"/>
        <v>2.164183326393343E-2</v>
      </c>
      <c r="BW25">
        <v>561</v>
      </c>
      <c r="BX25" s="13">
        <f t="shared" si="84"/>
        <v>-0.11093502377179076</v>
      </c>
      <c r="BY25" s="1">
        <v>303826.54250330688</v>
      </c>
      <c r="BZ25" s="13">
        <f t="shared" si="85"/>
        <v>3.7041294504236433E-3</v>
      </c>
      <c r="CA25">
        <v>486</v>
      </c>
      <c r="CB25" s="13">
        <f t="shared" si="86"/>
        <v>-0.13368983957219249</v>
      </c>
      <c r="CC25" s="1">
        <v>299206.20870939642</v>
      </c>
      <c r="CD25" s="13">
        <f t="shared" si="87"/>
        <v>-1.5207143378067944E-2</v>
      </c>
      <c r="CE25">
        <v>519</v>
      </c>
      <c r="CF25" s="13">
        <f t="shared" si="88"/>
        <v>6.7901234567901314E-2</v>
      </c>
      <c r="CG25" s="1">
        <v>292031.07124284218</v>
      </c>
      <c r="CH25" s="13">
        <f t="shared" si="89"/>
        <v>-2.3980576798535269E-2</v>
      </c>
      <c r="CI25">
        <v>616</v>
      </c>
      <c r="CJ25" s="13">
        <f t="shared" si="90"/>
        <v>0.18689788053949896</v>
      </c>
      <c r="CK25" s="1">
        <v>288773.73262410448</v>
      </c>
      <c r="CL25" s="13">
        <f t="shared" si="91"/>
        <v>-1.1154082354575934E-2</v>
      </c>
      <c r="CM25">
        <v>668</v>
      </c>
      <c r="CN25" s="13">
        <f t="shared" si="92"/>
        <v>8.4415584415584499E-2</v>
      </c>
      <c r="CO25" s="1">
        <v>286608.43497415661</v>
      </c>
      <c r="CP25" s="13">
        <v>-7.4982500322022805E-3</v>
      </c>
      <c r="CQ25">
        <v>687</v>
      </c>
      <c r="CR25" s="13">
        <v>2.8443113772455009E-2</v>
      </c>
      <c r="CS25" s="1">
        <v>281108.19069703191</v>
      </c>
      <c r="CT25" s="13">
        <f t="shared" si="24"/>
        <v>-1.9190796940853017E-2</v>
      </c>
      <c r="CU25">
        <v>753</v>
      </c>
      <c r="CV25" s="13">
        <f t="shared" si="25"/>
        <v>9.606986899563319E-2</v>
      </c>
      <c r="CW25" s="1">
        <v>275891.60690958629</v>
      </c>
      <c r="CX25" s="13">
        <f t="shared" si="26"/>
        <v>-1.8557210213301367E-2</v>
      </c>
      <c r="CY25">
        <v>773</v>
      </c>
      <c r="CZ25" s="13">
        <f t="shared" si="27"/>
        <v>2.6560424966799445E-2</v>
      </c>
      <c r="DA25" s="1">
        <v>272108.35765345627</v>
      </c>
      <c r="DB25" s="13">
        <f t="shared" si="28"/>
        <v>-1.3712810253665442E-2</v>
      </c>
      <c r="DC25">
        <v>729</v>
      </c>
      <c r="DD25" s="13">
        <f t="shared" si="29"/>
        <v>-5.6921086675291055E-2</v>
      </c>
      <c r="DE25" s="1">
        <v>270178.6595267891</v>
      </c>
      <c r="DF25" s="13">
        <f t="shared" si="30"/>
        <v>-7.0916532785250119E-3</v>
      </c>
      <c r="DG25" s="1">
        <v>667</v>
      </c>
      <c r="DH25" s="13">
        <f t="shared" si="31"/>
        <v>-8.5048010973936883E-2</v>
      </c>
      <c r="DI25" s="1">
        <v>270420.8912475626</v>
      </c>
      <c r="DJ25" s="13">
        <f t="shared" si="32"/>
        <v>8.9656126504511491E-4</v>
      </c>
      <c r="DK25" s="1">
        <v>662</v>
      </c>
      <c r="DL25" s="13">
        <f t="shared" si="33"/>
        <v>-7.496251874062998E-3</v>
      </c>
      <c r="DM25" s="1">
        <v>267815.53637810302</v>
      </c>
      <c r="DN25" s="13">
        <f t="shared" si="34"/>
        <v>-9.6344437644592107E-3</v>
      </c>
      <c r="DO25" s="1">
        <v>734</v>
      </c>
      <c r="DP25" s="13">
        <f t="shared" si="35"/>
        <v>0.10876132930513593</v>
      </c>
      <c r="DQ25" s="1">
        <v>270657.91417697351</v>
      </c>
      <c r="DR25" s="13">
        <f t="shared" si="36"/>
        <v>1.0613192338690958E-2</v>
      </c>
      <c r="DS25">
        <v>750</v>
      </c>
      <c r="DT25" s="13">
        <f t="shared" si="37"/>
        <v>2.1798365122615904E-2</v>
      </c>
      <c r="DU25" s="1">
        <v>268516.36461332609</v>
      </c>
      <c r="DV25" s="13">
        <f t="shared" si="38"/>
        <v>-7.912384790814353E-3</v>
      </c>
      <c r="DW25">
        <v>683</v>
      </c>
      <c r="DX25" s="13">
        <f t="shared" si="39"/>
        <v>-8.9333333333333376E-2</v>
      </c>
      <c r="DY25" s="1">
        <v>269181.64005481021</v>
      </c>
      <c r="DZ25" s="13">
        <f t="shared" si="40"/>
        <v>2.4775973801154372E-3</v>
      </c>
      <c r="EA25" s="1">
        <v>703</v>
      </c>
      <c r="EB25" s="13">
        <f t="shared" si="41"/>
        <v>2.9282576866764165E-2</v>
      </c>
      <c r="EC25" s="1">
        <v>274964.19876774371</v>
      </c>
      <c r="ED25" s="13">
        <f t="shared" si="42"/>
        <v>2.1481995249587049E-2</v>
      </c>
      <c r="EE25" s="1">
        <f>IFERROR(VLOOKUP($A25,[1]Москва_продажа_районы!$C$2:$F$148,2,0),"")</f>
        <v>703</v>
      </c>
      <c r="EF25" s="13">
        <v>0</v>
      </c>
      <c r="EG25" s="1">
        <v>283914.35423883842</v>
      </c>
      <c r="EH25" s="13">
        <f t="shared" si="43"/>
        <v>3.2550257492447887E-2</v>
      </c>
      <c r="EI25" s="1">
        <f>IFERROR(VLOOKUP($A25,[2]Москва_продажа_районы!$C$2:$F$150,2,0),"")</f>
        <v>700</v>
      </c>
      <c r="EJ25" s="13">
        <v>-4.2674253200568613E-3</v>
      </c>
      <c r="EK25" s="1">
        <v>290811.04804513027</v>
      </c>
      <c r="EL25" s="13">
        <f t="shared" si="44"/>
        <v>2.4291458685777201E-2</v>
      </c>
      <c r="EM25">
        <v>696</v>
      </c>
      <c r="EN25" s="13">
        <f t="shared" si="45"/>
        <v>-5.7142857142856718E-3</v>
      </c>
      <c r="EO25" s="1">
        <v>296988.39089633973</v>
      </c>
      <c r="EP25" s="13">
        <f t="shared" si="46"/>
        <v>2.124177500385338E-2</v>
      </c>
      <c r="EQ25">
        <v>651</v>
      </c>
      <c r="ER25" s="13">
        <f t="shared" si="47"/>
        <v>-6.4655172413793149E-2</v>
      </c>
      <c r="ES25" s="183">
        <v>304477.61607457942</v>
      </c>
      <c r="ET25" s="13">
        <f t="shared" si="48"/>
        <v>2.52172320798012E-2</v>
      </c>
      <c r="EU25">
        <v>648</v>
      </c>
      <c r="EV25" s="13">
        <f t="shared" si="49"/>
        <v>-4.6082949308755561E-3</v>
      </c>
      <c r="EW25" s="183">
        <v>308900.08029606531</v>
      </c>
      <c r="EX25" s="13">
        <f t="shared" si="50"/>
        <v>1.4524759745894178E-2</v>
      </c>
      <c r="EY25">
        <v>659</v>
      </c>
      <c r="EZ25" s="13">
        <f t="shared" si="51"/>
        <v>1.6975308641975273E-2</v>
      </c>
      <c r="FA25" s="1">
        <v>316308.15196938021</v>
      </c>
      <c r="FB25" s="13">
        <f t="shared" si="52"/>
        <v>2.3982096949326293E-2</v>
      </c>
      <c r="FC25" s="1">
        <v>589</v>
      </c>
      <c r="FD25" s="13">
        <f t="shared" si="53"/>
        <v>-0.1062215477996965</v>
      </c>
      <c r="FE25" s="1">
        <v>309589.91530315299</v>
      </c>
      <c r="FF25" s="13">
        <f t="shared" si="54"/>
        <v>-2.1239530579273747E-2</v>
      </c>
      <c r="FG25" s="1">
        <v>547</v>
      </c>
      <c r="FH25" s="13">
        <f t="shared" si="55"/>
        <v>-7.1307300509337868E-2</v>
      </c>
      <c r="FI25" s="1">
        <v>307391.13093777659</v>
      </c>
      <c r="FJ25" s="13">
        <f t="shared" si="56"/>
        <v>-7.1022480277606048E-3</v>
      </c>
      <c r="FK25" s="1">
        <v>591</v>
      </c>
      <c r="FL25" s="13">
        <f t="shared" si="57"/>
        <v>8.0438756855575777E-2</v>
      </c>
      <c r="FM25" s="1">
        <v>309270.0678893911</v>
      </c>
      <c r="FN25" s="13">
        <f t="shared" si="58"/>
        <v>6.1125281847993485E-3</v>
      </c>
      <c r="FO25" s="1">
        <v>626</v>
      </c>
      <c r="FP25" s="13">
        <f t="shared" si="59"/>
        <v>5.9221658206429773E-2</v>
      </c>
      <c r="FQ25" s="1">
        <v>310542.88582540199</v>
      </c>
      <c r="FR25" s="13">
        <f t="shared" si="60"/>
        <v>4.1155548763487371E-3</v>
      </c>
      <c r="FS25">
        <v>638</v>
      </c>
      <c r="FT25" s="13">
        <f t="shared" si="61"/>
        <v>1.9169329073482455E-2</v>
      </c>
      <c r="FU25" s="1">
        <v>312768.48295781092</v>
      </c>
      <c r="FV25" s="13">
        <f t="shared" si="62"/>
        <v>7.1667947777758201E-3</v>
      </c>
      <c r="FW25" s="1">
        <v>639</v>
      </c>
      <c r="FX25" s="13">
        <f t="shared" si="63"/>
        <v>1.5673981191222097E-3</v>
      </c>
      <c r="FY25" s="1">
        <v>311898.40263623011</v>
      </c>
      <c r="FZ25" s="13">
        <f t="shared" si="64"/>
        <v>-2.7818670006407586E-3</v>
      </c>
      <c r="GA25" s="1">
        <v>637</v>
      </c>
      <c r="GB25" s="13">
        <f t="shared" si="65"/>
        <v>-3.129890453834161E-3</v>
      </c>
      <c r="GC25" s="1">
        <v>315544.16633423639</v>
      </c>
      <c r="GD25" s="13">
        <f t="shared" si="66"/>
        <v>1.1688946359428298E-2</v>
      </c>
      <c r="GE25" s="1">
        <v>630</v>
      </c>
      <c r="GF25" s="13">
        <f t="shared" si="67"/>
        <v>-1.098901098901095E-2</v>
      </c>
      <c r="GG25" s="1">
        <f>IFERROR(VLOOKUP(A25,[3]Москва_продажа_районы!$C$2:$F$149,3,0),"")</f>
        <v>317495.61512565182</v>
      </c>
      <c r="GH25" s="13">
        <v>6.184391915990517E-3</v>
      </c>
      <c r="GI25" s="1">
        <v>647</v>
      </c>
      <c r="GJ25" s="13">
        <f t="shared" si="68"/>
        <v>2.6984126984126888E-2</v>
      </c>
      <c r="GK25" s="1">
        <v>312613.62739150261</v>
      </c>
      <c r="GL25" s="13">
        <f t="shared" si="69"/>
        <v>-1.5376551679988193E-2</v>
      </c>
      <c r="GM25" s="1">
        <v>668</v>
      </c>
      <c r="GN25" s="13">
        <f t="shared" si="70"/>
        <v>3.2457496136012454E-2</v>
      </c>
      <c r="GO25" s="1">
        <v>310348.94966340368</v>
      </c>
      <c r="GP25" s="13">
        <f t="shared" si="71"/>
        <v>-7.2443346344039927E-3</v>
      </c>
      <c r="GQ25" s="1">
        <v>662.33</v>
      </c>
      <c r="GR25" s="13">
        <f t="shared" si="72"/>
        <v>-8.4880239520958023E-3</v>
      </c>
      <c r="GS25" s="1">
        <v>310454.56574798498</v>
      </c>
      <c r="GT25" s="13">
        <f t="shared" si="93"/>
        <v>3.4031397462719326E-4</v>
      </c>
      <c r="GU25">
        <v>683</v>
      </c>
      <c r="GV25" s="13">
        <f t="shared" si="94"/>
        <v>3.1208008092642681E-2</v>
      </c>
      <c r="GW25">
        <v>312448.38596052432</v>
      </c>
      <c r="GX25" s="13">
        <f t="shared" si="73"/>
        <v>6.4222608797379621E-3</v>
      </c>
      <c r="GY25">
        <v>630</v>
      </c>
      <c r="GZ25" s="13">
        <f t="shared" si="74"/>
        <v>-7.7598828696925359E-2</v>
      </c>
      <c r="HA25">
        <v>312868.43428868789</v>
      </c>
      <c r="HB25" s="13">
        <v>1.3443766940011148E-3</v>
      </c>
      <c r="HC25">
        <v>576</v>
      </c>
      <c r="HD25" s="13">
        <v>-8.5714285714285743E-2</v>
      </c>
      <c r="HE25">
        <v>314113.30828920769</v>
      </c>
      <c r="HF25" s="13">
        <v>3.9789057127161964E-3</v>
      </c>
      <c r="HG25">
        <v>598</v>
      </c>
      <c r="HH25" s="13">
        <v>3.819444444444442E-2</v>
      </c>
      <c r="HI25">
        <f>VLOOKUP(A25,[4]Москва_продажа_районы!$C$4:$F$151,3,0)</f>
        <v>318230.70012967498</v>
      </c>
      <c r="HJ25" s="13">
        <f t="shared" si="75"/>
        <v>1.3107982794146267E-2</v>
      </c>
      <c r="HK25">
        <f>VLOOKUP(A25,[4]Москва_продажа_районы!$C$4:$F$151,2,0)</f>
        <v>596</v>
      </c>
      <c r="HL25" s="13">
        <f t="shared" si="76"/>
        <v>-3.3444816053511683E-3</v>
      </c>
      <c r="HM25" s="1">
        <f>VLOOKUP(A25,Лист3!$C$4:$F$149,3,0)</f>
        <v>317266.25042147608</v>
      </c>
      <c r="HN25" s="13">
        <f t="shared" si="77"/>
        <v>-3.0306620568220088E-3</v>
      </c>
      <c r="HO25">
        <f>VLOOKUP(A25,Лист3!$C$4:$F$149,2,0)</f>
        <v>592</v>
      </c>
      <c r="HP25" s="13">
        <f t="shared" si="78"/>
        <v>-6.7114093959731447E-3</v>
      </c>
      <c r="HQ25" s="1">
        <v>318571.43917687301</v>
      </c>
      <c r="HR25" s="13">
        <v>4.1138594277299045E-3</v>
      </c>
      <c r="HS25">
        <v>576</v>
      </c>
      <c r="HT25" s="13">
        <v>-2.7027027027026973E-2</v>
      </c>
      <c r="HU25" s="34">
        <v>318432.62285817822</v>
      </c>
      <c r="HV25" s="13">
        <v>-4.357462773607601E-4</v>
      </c>
      <c r="HW25">
        <v>541</v>
      </c>
      <c r="HX25" s="13">
        <v>-6.076388888888884E-2</v>
      </c>
      <c r="HY25">
        <v>321447.99907663639</v>
      </c>
      <c r="HZ25" s="13">
        <v>9.4694324701811716E-3</v>
      </c>
      <c r="IA25">
        <v>581</v>
      </c>
      <c r="IB25" s="13">
        <v>7.3937153419593393E-2</v>
      </c>
      <c r="IC25" s="34">
        <v>327730.49966571579</v>
      </c>
      <c r="ID25" s="13">
        <v>1.95443760954368E-2</v>
      </c>
      <c r="IE25">
        <v>584</v>
      </c>
      <c r="IF25" s="13">
        <v>5.1635111876076056E-3</v>
      </c>
    </row>
    <row r="26" spans="1:240" x14ac:dyDescent="0.3">
      <c r="A26" s="23" t="s">
        <v>41</v>
      </c>
      <c r="B26" s="22">
        <v>163751.24930541308</v>
      </c>
      <c r="C26">
        <v>351</v>
      </c>
      <c r="D26" s="22">
        <v>166869.35548810291</v>
      </c>
      <c r="E26">
        <v>311</v>
      </c>
      <c r="F26" s="22">
        <v>169445.59563893807</v>
      </c>
      <c r="G26">
        <v>226</v>
      </c>
      <c r="H26" s="22">
        <v>168782.59945599461</v>
      </c>
      <c r="I26">
        <v>227</v>
      </c>
      <c r="J26" s="22">
        <v>168357.90921900261</v>
      </c>
      <c r="K26">
        <v>289</v>
      </c>
      <c r="L26" s="22">
        <v>169214.6067374144</v>
      </c>
      <c r="M26">
        <v>292</v>
      </c>
      <c r="N26" s="22">
        <v>174736.62904919777</v>
      </c>
      <c r="O26" s="28">
        <v>286</v>
      </c>
      <c r="P26" s="39">
        <v>176799.98432040363</v>
      </c>
      <c r="Q26" s="28">
        <v>266</v>
      </c>
      <c r="R26" s="39">
        <v>183252.65978599183</v>
      </c>
      <c r="S26">
        <v>242</v>
      </c>
      <c r="T26" s="46">
        <v>189249.95333816818</v>
      </c>
      <c r="U26" s="47">
        <v>229</v>
      </c>
      <c r="V26" s="56">
        <v>194688.21987439689</v>
      </c>
      <c r="W26" s="47">
        <v>211</v>
      </c>
      <c r="X26" s="56">
        <v>197714.39926835621</v>
      </c>
      <c r="Y26" s="47">
        <v>198</v>
      </c>
      <c r="Z26" s="1">
        <v>202395.08281220531</v>
      </c>
      <c r="AA26" s="81">
        <v>198</v>
      </c>
      <c r="AB26" s="1">
        <v>200200.83145494101</v>
      </c>
      <c r="AC26">
        <v>235</v>
      </c>
      <c r="AD26" s="1">
        <v>217362.54708025369</v>
      </c>
      <c r="AE26">
        <v>222</v>
      </c>
      <c r="AF26" s="13">
        <f t="shared" si="19"/>
        <v>9.9376413071610381E-2</v>
      </c>
      <c r="AG26" s="85">
        <f t="shared" si="95"/>
        <v>4.9498327759197325E-2</v>
      </c>
      <c r="AH26" s="35">
        <f t="shared" si="96"/>
        <v>14.849498327759198</v>
      </c>
      <c r="AI26" s="87">
        <f t="shared" si="97"/>
        <v>236.84949832775919</v>
      </c>
      <c r="AL26" s="1">
        <v>216921.58867339339</v>
      </c>
      <c r="AM26">
        <v>221</v>
      </c>
      <c r="AN26" s="13">
        <f t="shared" si="98"/>
        <v>4.9451778921458939E-2</v>
      </c>
      <c r="AQ26" s="35">
        <f t="shared" si="99"/>
        <v>13.500335645558291</v>
      </c>
      <c r="AR26" s="87">
        <f>AM26+AQ26</f>
        <v>234.50033564555829</v>
      </c>
      <c r="AS26">
        <v>215</v>
      </c>
      <c r="AT26" s="1">
        <v>218671.771658104</v>
      </c>
      <c r="AU26" s="13">
        <f t="shared" si="100"/>
        <v>8.0682747872815597E-3</v>
      </c>
      <c r="AV26" s="35">
        <v>217</v>
      </c>
      <c r="AW26" s="1">
        <v>225729.72041094219</v>
      </c>
      <c r="AX26" s="61">
        <v>226</v>
      </c>
      <c r="AY26" s="121">
        <v>227071.7815054073</v>
      </c>
      <c r="AZ26" s="122">
        <v>232</v>
      </c>
      <c r="BA26" s="119">
        <v>225062.98481985109</v>
      </c>
      <c r="BB26" s="35">
        <v>238</v>
      </c>
      <c r="BC26" s="125">
        <f t="shared" si="101"/>
        <v>-8.8465271740881812E-3</v>
      </c>
      <c r="BD26">
        <v>246</v>
      </c>
      <c r="BE26" s="1">
        <v>226117.40689685469</v>
      </c>
      <c r="BF26" s="13">
        <f t="shared" si="79"/>
        <v>4.6850088558436642E-3</v>
      </c>
      <c r="BG26">
        <v>229</v>
      </c>
      <c r="BH26" s="1">
        <v>233653.71352566031</v>
      </c>
      <c r="BI26" s="13">
        <f t="shared" si="23"/>
        <v>3.3329175016779455E-2</v>
      </c>
      <c r="BJ26">
        <v>210</v>
      </c>
      <c r="BK26" s="1">
        <v>235275.0725160155</v>
      </c>
      <c r="BL26" s="13">
        <f t="shared" si="80"/>
        <v>6.9391535272009808E-3</v>
      </c>
      <c r="BM26" s="1">
        <v>239040.3517033371</v>
      </c>
      <c r="BN26" s="109">
        <f t="shared" si="81"/>
        <v>1.6003731917095809E-2</v>
      </c>
      <c r="BO26">
        <v>171</v>
      </c>
      <c r="BP26" s="13">
        <f t="shared" si="82"/>
        <v>-0.18571428571428572</v>
      </c>
      <c r="BQ26" s="1">
        <v>244686.8770701336</v>
      </c>
      <c r="BR26" s="13">
        <f t="shared" si="5"/>
        <v>2.3621640976349223E-2</v>
      </c>
      <c r="BS26">
        <v>200</v>
      </c>
      <c r="BT26" s="13">
        <f t="shared" si="6"/>
        <v>0.16959064327485374</v>
      </c>
      <c r="BU26" s="1">
        <v>248107.3137348883</v>
      </c>
      <c r="BV26" s="13">
        <f t="shared" si="83"/>
        <v>1.3978831663188584E-2</v>
      </c>
      <c r="BW26">
        <v>177</v>
      </c>
      <c r="BX26" s="13">
        <f t="shared" si="84"/>
        <v>-0.11499999999999999</v>
      </c>
      <c r="BY26" s="1">
        <v>252623.42576894161</v>
      </c>
      <c r="BZ26" s="13">
        <f t="shared" si="85"/>
        <v>1.8202252751319259E-2</v>
      </c>
      <c r="CA26">
        <v>143</v>
      </c>
      <c r="CB26" s="13">
        <f t="shared" si="86"/>
        <v>-0.19209039548022599</v>
      </c>
      <c r="CC26" s="1">
        <v>253255.13151736921</v>
      </c>
      <c r="CD26" s="13">
        <f t="shared" si="87"/>
        <v>2.5005826221571326E-3</v>
      </c>
      <c r="CE26">
        <v>180</v>
      </c>
      <c r="CF26" s="13">
        <f t="shared" si="88"/>
        <v>0.25874125874125875</v>
      </c>
      <c r="CG26" s="1">
        <v>246260.27708554771</v>
      </c>
      <c r="CH26" s="13">
        <f t="shared" si="89"/>
        <v>-2.7619793486165833E-2</v>
      </c>
      <c r="CI26">
        <v>210</v>
      </c>
      <c r="CJ26" s="13">
        <f t="shared" si="90"/>
        <v>0.16666666666666674</v>
      </c>
      <c r="CK26" s="1">
        <v>241919.41424709649</v>
      </c>
      <c r="CL26" s="13">
        <f t="shared" si="91"/>
        <v>-1.7627133737623701E-2</v>
      </c>
      <c r="CM26">
        <v>237</v>
      </c>
      <c r="CN26" s="13">
        <f t="shared" si="92"/>
        <v>0.12857142857142856</v>
      </c>
      <c r="CO26" s="1">
        <v>242257.35981792989</v>
      </c>
      <c r="CP26" s="13">
        <v>1.3969344787194693E-3</v>
      </c>
      <c r="CQ26">
        <v>246</v>
      </c>
      <c r="CR26" s="13">
        <v>3.7974683544303778E-2</v>
      </c>
      <c r="CS26" s="1">
        <v>242680.040451657</v>
      </c>
      <c r="CT26" s="13">
        <f t="shared" si="24"/>
        <v>1.7447586898693412E-3</v>
      </c>
      <c r="CU26">
        <v>263</v>
      </c>
      <c r="CV26" s="13">
        <f t="shared" si="25"/>
        <v>6.9105691056910556E-2</v>
      </c>
      <c r="CW26" s="1">
        <v>238402.5172618778</v>
      </c>
      <c r="CX26" s="13">
        <f t="shared" si="26"/>
        <v>-1.7626184591935101E-2</v>
      </c>
      <c r="CY26">
        <v>253</v>
      </c>
      <c r="CZ26" s="13">
        <f t="shared" si="27"/>
        <v>-3.802281368821292E-2</v>
      </c>
      <c r="DA26" s="1">
        <v>234597.89264282901</v>
      </c>
      <c r="DB26" s="13">
        <f t="shared" si="28"/>
        <v>-1.5958827376262641E-2</v>
      </c>
      <c r="DC26">
        <v>235</v>
      </c>
      <c r="DD26" s="13">
        <f t="shared" si="29"/>
        <v>-7.1146245059288571E-2</v>
      </c>
      <c r="DE26" s="1">
        <v>233242.25560919431</v>
      </c>
      <c r="DF26" s="13">
        <f t="shared" si="30"/>
        <v>-5.7785558871095155E-3</v>
      </c>
      <c r="DG26" s="1">
        <v>228</v>
      </c>
      <c r="DH26" s="13">
        <f t="shared" si="31"/>
        <v>-2.9787234042553234E-2</v>
      </c>
      <c r="DI26" s="1">
        <v>231297.3670017879</v>
      </c>
      <c r="DJ26" s="13">
        <f t="shared" si="32"/>
        <v>-8.3384916782194285E-3</v>
      </c>
      <c r="DK26" s="1">
        <v>226</v>
      </c>
      <c r="DL26" s="13">
        <f t="shared" si="33"/>
        <v>-8.7719298245614308E-3</v>
      </c>
      <c r="DM26" s="1">
        <v>232280.77791191681</v>
      </c>
      <c r="DN26" s="13">
        <f t="shared" si="34"/>
        <v>4.2517168391342786E-3</v>
      </c>
      <c r="DO26" s="1">
        <v>256</v>
      </c>
      <c r="DP26" s="13">
        <f t="shared" si="35"/>
        <v>0.13274336283185839</v>
      </c>
      <c r="DQ26" s="1">
        <v>234395.4007523644</v>
      </c>
      <c r="DR26" s="13">
        <f t="shared" si="36"/>
        <v>9.1037358297874071E-3</v>
      </c>
      <c r="DS26">
        <v>276</v>
      </c>
      <c r="DT26" s="13">
        <f t="shared" si="37"/>
        <v>7.8125E-2</v>
      </c>
      <c r="DU26" s="1">
        <v>239426.38430362591</v>
      </c>
      <c r="DV26" s="13">
        <f t="shared" si="38"/>
        <v>2.1463661552713953E-2</v>
      </c>
      <c r="DW26">
        <v>235</v>
      </c>
      <c r="DX26" s="13">
        <f t="shared" si="39"/>
        <v>-0.14855072463768115</v>
      </c>
      <c r="DY26" s="1">
        <v>238438.5990726664</v>
      </c>
      <c r="DZ26" s="13">
        <f t="shared" si="40"/>
        <v>-4.1256323267483408E-3</v>
      </c>
      <c r="EA26" s="1">
        <v>225</v>
      </c>
      <c r="EB26" s="13">
        <f t="shared" si="41"/>
        <v>-4.2553191489361653E-2</v>
      </c>
      <c r="EC26" s="1">
        <v>238630.8424634595</v>
      </c>
      <c r="ED26" s="13">
        <f t="shared" si="42"/>
        <v>8.0625952149016022E-4</v>
      </c>
      <c r="EE26" s="1">
        <f>IFERROR(VLOOKUP($A26,[1]Москва_продажа_районы!$C$2:$F$148,2,0),"")</f>
        <v>255</v>
      </c>
      <c r="EF26" s="13">
        <v>0.1333333333333333</v>
      </c>
      <c r="EG26" s="1">
        <v>241007.8869121031</v>
      </c>
      <c r="EH26" s="13">
        <f t="shared" si="43"/>
        <v>9.9611786309961037E-3</v>
      </c>
      <c r="EI26" s="1">
        <f>IFERROR(VLOOKUP($A26,[2]Москва_продажа_районы!$C$2:$F$150,2,0),"")</f>
        <v>214</v>
      </c>
      <c r="EJ26" s="13">
        <v>-0.16078431372549018</v>
      </c>
      <c r="EK26" s="1">
        <v>244285.71101996099</v>
      </c>
      <c r="EL26" s="13">
        <f t="shared" si="44"/>
        <v>1.3600484821699288E-2</v>
      </c>
      <c r="EM26">
        <v>201</v>
      </c>
      <c r="EN26" s="13">
        <f t="shared" si="45"/>
        <v>-6.074766355140182E-2</v>
      </c>
      <c r="EO26" s="1">
        <v>247316.2365233179</v>
      </c>
      <c r="EP26" s="13">
        <f t="shared" si="46"/>
        <v>1.240566012110822E-2</v>
      </c>
      <c r="EQ26">
        <v>208</v>
      </c>
      <c r="ER26" s="13">
        <f t="shared" si="47"/>
        <v>3.4825870646766122E-2</v>
      </c>
      <c r="ES26" s="183">
        <v>252233.15241232709</v>
      </c>
      <c r="ET26" s="13">
        <f t="shared" si="48"/>
        <v>1.9881088108607115E-2</v>
      </c>
      <c r="EU26">
        <v>205</v>
      </c>
      <c r="EV26" s="13">
        <f t="shared" si="49"/>
        <v>-1.4423076923076872E-2</v>
      </c>
      <c r="EW26" s="183">
        <v>252652.0549538983</v>
      </c>
      <c r="EX26" s="13">
        <f t="shared" si="50"/>
        <v>1.6607751105073287E-3</v>
      </c>
      <c r="EY26">
        <v>218</v>
      </c>
      <c r="EZ26" s="13">
        <f t="shared" si="51"/>
        <v>6.341463414634152E-2</v>
      </c>
      <c r="FA26" s="1">
        <v>253018.39743754151</v>
      </c>
      <c r="FB26" s="13">
        <f t="shared" si="52"/>
        <v>1.4499881416363269E-3</v>
      </c>
      <c r="FC26" s="1">
        <v>188</v>
      </c>
      <c r="FD26" s="13">
        <f t="shared" si="53"/>
        <v>-0.13761467889908252</v>
      </c>
      <c r="FE26" s="1">
        <v>252530.4218447521</v>
      </c>
      <c r="FF26" s="13">
        <f t="shared" si="54"/>
        <v>-1.9286170402287306E-3</v>
      </c>
      <c r="FG26" s="1">
        <v>167</v>
      </c>
      <c r="FH26" s="13">
        <f t="shared" si="55"/>
        <v>-0.11170212765957444</v>
      </c>
      <c r="FI26" s="1">
        <v>250460.567604963</v>
      </c>
      <c r="FJ26" s="13">
        <f t="shared" si="56"/>
        <v>-8.1964550039899109E-3</v>
      </c>
      <c r="FK26" s="1">
        <v>190</v>
      </c>
      <c r="FL26" s="13">
        <f t="shared" si="57"/>
        <v>0.13772455089820368</v>
      </c>
      <c r="FM26" s="1">
        <v>252114.1347251797</v>
      </c>
      <c r="FN26" s="13">
        <f t="shared" si="58"/>
        <v>6.6021056169798253E-3</v>
      </c>
      <c r="FO26" s="1">
        <v>198</v>
      </c>
      <c r="FP26" s="13">
        <f t="shared" si="59"/>
        <v>4.2105263157894646E-2</v>
      </c>
      <c r="FQ26" s="1">
        <v>252625.34574430209</v>
      </c>
      <c r="FR26" s="13">
        <f t="shared" si="60"/>
        <v>2.0276967797923096E-3</v>
      </c>
      <c r="FS26">
        <v>223</v>
      </c>
      <c r="FT26" s="13">
        <f t="shared" si="61"/>
        <v>0.1262626262626263</v>
      </c>
      <c r="FU26" s="1">
        <v>254325.88405413699</v>
      </c>
      <c r="FV26" s="13">
        <f t="shared" si="62"/>
        <v>6.7314635624728947E-3</v>
      </c>
      <c r="FW26" s="1">
        <v>229</v>
      </c>
      <c r="FX26" s="13">
        <f t="shared" si="63"/>
        <v>2.6905829596412634E-2</v>
      </c>
      <c r="FY26" s="1">
        <v>254756.14329029919</v>
      </c>
      <c r="FZ26" s="13">
        <f t="shared" si="64"/>
        <v>1.6917634544451055E-3</v>
      </c>
      <c r="GA26" s="1">
        <v>222</v>
      </c>
      <c r="GB26" s="13">
        <f t="shared" si="65"/>
        <v>-3.0567685589519611E-2</v>
      </c>
      <c r="GC26" s="1">
        <v>257117.55583300369</v>
      </c>
      <c r="GD26" s="13">
        <f t="shared" si="66"/>
        <v>9.2693055884960351E-3</v>
      </c>
      <c r="GE26" s="1">
        <v>234</v>
      </c>
      <c r="GF26" s="13">
        <f t="shared" si="67"/>
        <v>5.4054054054053946E-2</v>
      </c>
      <c r="GG26" s="1">
        <f>IFERROR(VLOOKUP(A26,[3]Москва_продажа_районы!$C$2:$F$149,3,0),"")</f>
        <v>257809.82213082761</v>
      </c>
      <c r="GH26" s="13">
        <v>2.6924116308633117E-3</v>
      </c>
      <c r="GI26" s="1">
        <v>260</v>
      </c>
      <c r="GJ26" s="13">
        <f t="shared" si="68"/>
        <v>0.11111111111111116</v>
      </c>
      <c r="GK26" s="1">
        <v>257595.7784209786</v>
      </c>
      <c r="GL26" s="13">
        <f t="shared" si="69"/>
        <v>-8.3023877088894693E-4</v>
      </c>
      <c r="GM26" s="1">
        <v>263</v>
      </c>
      <c r="GN26" s="13">
        <f t="shared" si="70"/>
        <v>1.1538461538461497E-2</v>
      </c>
      <c r="GO26" s="1">
        <v>260237.73536156199</v>
      </c>
      <c r="GP26" s="13">
        <f t="shared" si="71"/>
        <v>1.0256212104011064E-2</v>
      </c>
      <c r="GQ26" s="1">
        <v>288.90000000000003</v>
      </c>
      <c r="GR26" s="13">
        <f t="shared" si="72"/>
        <v>9.8479087452471692E-2</v>
      </c>
      <c r="GS26" s="1">
        <v>260172.23817100059</v>
      </c>
      <c r="GT26" s="13">
        <f t="shared" si="93"/>
        <v>-2.5168214160187219E-4</v>
      </c>
      <c r="GU26">
        <v>284</v>
      </c>
      <c r="GV26" s="13">
        <f t="shared" si="94"/>
        <v>-1.6960886119764762E-2</v>
      </c>
      <c r="GW26">
        <v>259318.29625289471</v>
      </c>
      <c r="GX26" s="13">
        <f t="shared" si="73"/>
        <v>-3.2822176728348751E-3</v>
      </c>
      <c r="GY26">
        <v>236</v>
      </c>
      <c r="GZ26" s="13">
        <f t="shared" si="74"/>
        <v>-0.16901408450704225</v>
      </c>
      <c r="HA26">
        <v>260356.8649220193</v>
      </c>
      <c r="HB26" s="13">
        <v>4.0049957296948158E-3</v>
      </c>
      <c r="HC26">
        <v>211</v>
      </c>
      <c r="HD26" s="13">
        <v>-0.10593220338983056</v>
      </c>
      <c r="HE26">
        <v>261763.17822316659</v>
      </c>
      <c r="HF26" s="13">
        <v>5.4014834660438549E-3</v>
      </c>
      <c r="HG26">
        <v>210</v>
      </c>
      <c r="HH26" s="13">
        <v>-4.7393364928910442E-3</v>
      </c>
      <c r="HI26">
        <f>VLOOKUP(A26,[4]Москва_продажа_районы!$C$4:$F$151,3,0)</f>
        <v>261610.3502355075</v>
      </c>
      <c r="HJ26" s="13">
        <f t="shared" si="75"/>
        <v>-5.8384066352057395E-4</v>
      </c>
      <c r="HK26">
        <f>VLOOKUP(A26,[4]Москва_продажа_районы!$C$4:$F$151,2,0)</f>
        <v>224</v>
      </c>
      <c r="HL26" s="13">
        <f t="shared" si="76"/>
        <v>6.6666666666666652E-2</v>
      </c>
      <c r="HM26" s="1">
        <f>VLOOKUP(A26,Лист3!$C$4:$F$149,3,0)</f>
        <v>262419.26523850817</v>
      </c>
      <c r="HN26" s="13">
        <f t="shared" si="77"/>
        <v>3.0920603954409653E-3</v>
      </c>
      <c r="HO26">
        <f>VLOOKUP(A26,Лист3!$C$4:$F$149,2,0)</f>
        <v>229</v>
      </c>
      <c r="HP26" s="13">
        <f t="shared" si="78"/>
        <v>2.2321428571428603E-2</v>
      </c>
      <c r="HQ26" s="1">
        <v>263097.83758937172</v>
      </c>
      <c r="HR26" s="13">
        <v>2.5858328284198429E-3</v>
      </c>
      <c r="HS26">
        <v>203</v>
      </c>
      <c r="HT26" s="13">
        <v>-0.11353711790393017</v>
      </c>
      <c r="HU26" s="34">
        <v>263574.58661321527</v>
      </c>
      <c r="HV26" s="13">
        <v>1.8120598337552085E-3</v>
      </c>
      <c r="HW26">
        <v>204</v>
      </c>
      <c r="HX26" s="13">
        <v>4.9261083743843415E-3</v>
      </c>
      <c r="HY26">
        <v>267140.5391036988</v>
      </c>
      <c r="HZ26" s="13">
        <v>1.3529196939295218E-2</v>
      </c>
      <c r="IA26">
        <v>204</v>
      </c>
      <c r="IB26" s="13">
        <v>0</v>
      </c>
      <c r="IC26" s="34">
        <v>267138.6765765493</v>
      </c>
      <c r="ID26" s="13">
        <v>-6.9720872606371387E-6</v>
      </c>
      <c r="IE26">
        <v>193</v>
      </c>
      <c r="IF26" s="13">
        <v>-5.3921568627451011E-2</v>
      </c>
    </row>
    <row r="27" spans="1:240" x14ac:dyDescent="0.3">
      <c r="A27" s="23" t="s">
        <v>42</v>
      </c>
      <c r="B27" s="22">
        <v>208039.94601587288</v>
      </c>
      <c r="C27">
        <v>630</v>
      </c>
      <c r="D27" s="22">
        <v>205399.26586397947</v>
      </c>
      <c r="E27">
        <v>583</v>
      </c>
      <c r="F27" s="22">
        <v>207749.60900253156</v>
      </c>
      <c r="G27">
        <v>395</v>
      </c>
      <c r="H27" s="22">
        <v>207278.53165860407</v>
      </c>
      <c r="I27">
        <v>373</v>
      </c>
      <c r="J27" s="22">
        <v>208671.4757549614</v>
      </c>
      <c r="K27">
        <v>448</v>
      </c>
      <c r="L27" s="22">
        <v>213842.62708079509</v>
      </c>
      <c r="M27">
        <v>413</v>
      </c>
      <c r="N27" s="22">
        <v>218063.82394516573</v>
      </c>
      <c r="O27" s="28">
        <v>409</v>
      </c>
      <c r="P27" s="39">
        <v>222503.90414564649</v>
      </c>
      <c r="Q27" s="28">
        <v>371</v>
      </c>
      <c r="R27" s="39">
        <v>227770.15682327317</v>
      </c>
      <c r="S27">
        <v>366</v>
      </c>
      <c r="T27" s="46">
        <v>233062.65550495428</v>
      </c>
      <c r="U27" s="47">
        <v>354</v>
      </c>
      <c r="V27" s="56">
        <v>232305.35974843139</v>
      </c>
      <c r="W27" s="47">
        <v>341</v>
      </c>
      <c r="X27" s="56">
        <v>237134.88716085511</v>
      </c>
      <c r="Y27" s="47">
        <v>308</v>
      </c>
      <c r="Z27" s="1">
        <v>239934.55423058159</v>
      </c>
      <c r="AA27" s="81">
        <v>364</v>
      </c>
      <c r="AB27" s="1">
        <v>246233.94716206859</v>
      </c>
      <c r="AC27">
        <v>412</v>
      </c>
      <c r="AD27" s="1">
        <v>250633.83961847189</v>
      </c>
      <c r="AE27">
        <v>367</v>
      </c>
      <c r="AF27" s="13">
        <f t="shared" si="19"/>
        <v>5.6925206658689831E-2</v>
      </c>
      <c r="AG27" s="85">
        <f t="shared" si="95"/>
        <v>8.1828316610925309E-2</v>
      </c>
      <c r="AH27" s="35">
        <f t="shared" si="96"/>
        <v>24.548494983277592</v>
      </c>
      <c r="AI27" s="87">
        <f t="shared" si="97"/>
        <v>391.54849498327758</v>
      </c>
      <c r="AL27" s="1">
        <v>256751.90465281601</v>
      </c>
      <c r="AM27">
        <v>361</v>
      </c>
      <c r="AN27" s="13">
        <f t="shared" si="98"/>
        <v>8.0778697695233839E-2</v>
      </c>
      <c r="AQ27" s="35">
        <f t="shared" si="99"/>
        <v>22.052584470798838</v>
      </c>
      <c r="AR27" s="87">
        <f t="shared" si="102"/>
        <v>383.05258447079882</v>
      </c>
      <c r="AS27">
        <v>346</v>
      </c>
      <c r="AT27" s="1">
        <v>256180.40980876601</v>
      </c>
      <c r="AU27" s="13">
        <f t="shared" si="100"/>
        <v>-2.2258640878352054E-3</v>
      </c>
      <c r="AV27" s="35">
        <v>379</v>
      </c>
      <c r="AW27" s="1">
        <v>264702.31229828182</v>
      </c>
      <c r="AX27" s="61">
        <v>395</v>
      </c>
      <c r="AY27" s="121">
        <v>268835.89841714728</v>
      </c>
      <c r="AZ27" s="122">
        <v>394</v>
      </c>
      <c r="BA27" s="119">
        <v>273697.30225959659</v>
      </c>
      <c r="BB27" s="35">
        <v>392</v>
      </c>
      <c r="BC27" s="125">
        <f t="shared" si="101"/>
        <v>1.8083164752446645E-2</v>
      </c>
      <c r="BD27">
        <v>376</v>
      </c>
      <c r="BE27" s="1">
        <v>274962.82009691087</v>
      </c>
      <c r="BF27" s="13">
        <f t="shared" si="79"/>
        <v>4.6237863028477655E-3</v>
      </c>
      <c r="BG27">
        <v>390</v>
      </c>
      <c r="BH27" s="1">
        <v>279144.05161782599</v>
      </c>
      <c r="BI27" s="13">
        <f t="shared" si="23"/>
        <v>1.5206534175934872E-2</v>
      </c>
      <c r="BJ27">
        <v>375</v>
      </c>
      <c r="BK27" s="1">
        <v>300586.9444760537</v>
      </c>
      <c r="BL27" s="13">
        <f t="shared" si="80"/>
        <v>7.6816585321993536E-2</v>
      </c>
      <c r="BM27" s="1">
        <v>314199.63996162359</v>
      </c>
      <c r="BN27" s="109">
        <f t="shared" si="81"/>
        <v>4.5287048342361969E-2</v>
      </c>
      <c r="BO27">
        <v>359</v>
      </c>
      <c r="BP27" s="13">
        <f t="shared" si="82"/>
        <v>-4.2666666666666631E-2</v>
      </c>
      <c r="BQ27" s="1">
        <v>347369.29076991847</v>
      </c>
      <c r="BR27" s="13">
        <f t="shared" si="5"/>
        <v>0.10556871042992366</v>
      </c>
      <c r="BS27">
        <v>482</v>
      </c>
      <c r="BT27" s="13">
        <f t="shared" si="6"/>
        <v>0.34261838440111414</v>
      </c>
      <c r="BU27" s="1">
        <v>363081.10029439948</v>
      </c>
      <c r="BV27" s="13">
        <f t="shared" si="83"/>
        <v>4.5230853566983198E-2</v>
      </c>
      <c r="BW27">
        <v>487</v>
      </c>
      <c r="BX27" s="13">
        <f t="shared" si="84"/>
        <v>1.0373443983402453E-2</v>
      </c>
      <c r="BY27" s="1">
        <v>342133.75639618578</v>
      </c>
      <c r="BZ27" s="13">
        <f t="shared" si="85"/>
        <v>-5.7693291887759623E-2</v>
      </c>
      <c r="CA27">
        <v>415</v>
      </c>
      <c r="CB27" s="13">
        <f t="shared" si="86"/>
        <v>-0.14784394250513344</v>
      </c>
      <c r="CC27" s="1">
        <v>339718.12477707252</v>
      </c>
      <c r="CD27" s="13">
        <f t="shared" si="87"/>
        <v>-7.0604889869914089E-3</v>
      </c>
      <c r="CE27">
        <v>427</v>
      </c>
      <c r="CF27" s="13">
        <f t="shared" si="88"/>
        <v>2.8915662650602414E-2</v>
      </c>
      <c r="CG27" s="1">
        <v>323697.59557999001</v>
      </c>
      <c r="CH27" s="13">
        <f t="shared" si="89"/>
        <v>-4.7158299862850694E-2</v>
      </c>
      <c r="CI27">
        <v>490</v>
      </c>
      <c r="CJ27" s="13">
        <f t="shared" si="90"/>
        <v>0.14754098360655732</v>
      </c>
      <c r="CK27" s="1">
        <v>326217.04678138561</v>
      </c>
      <c r="CL27" s="13">
        <f t="shared" si="91"/>
        <v>7.7833485197236207E-3</v>
      </c>
      <c r="CM27">
        <v>515</v>
      </c>
      <c r="CN27" s="13">
        <f t="shared" si="92"/>
        <v>5.1020408163265252E-2</v>
      </c>
      <c r="CO27" s="1">
        <v>326594.33212244179</v>
      </c>
      <c r="CP27" s="13">
        <v>1.1565469823808794E-3</v>
      </c>
      <c r="CQ27">
        <v>589</v>
      </c>
      <c r="CR27" s="13">
        <v>0.14368932038834958</v>
      </c>
      <c r="CS27" s="1">
        <v>323721.6349279813</v>
      </c>
      <c r="CT27" s="13">
        <f t="shared" si="24"/>
        <v>-8.7959187037682796E-3</v>
      </c>
      <c r="CU27">
        <v>660</v>
      </c>
      <c r="CV27" s="13">
        <f t="shared" si="25"/>
        <v>0.1205432937181663</v>
      </c>
      <c r="CW27" s="1">
        <v>313093.39178964269</v>
      </c>
      <c r="CX27" s="13">
        <f t="shared" si="26"/>
        <v>-3.2831426730879687E-2</v>
      </c>
      <c r="CY27">
        <v>628</v>
      </c>
      <c r="CZ27" s="13">
        <f t="shared" si="27"/>
        <v>-4.8484848484848464E-2</v>
      </c>
      <c r="DA27" s="1">
        <v>301455.60045592539</v>
      </c>
      <c r="DB27" s="13">
        <f t="shared" si="28"/>
        <v>-3.7170351207975516E-2</v>
      </c>
      <c r="DC27">
        <v>617</v>
      </c>
      <c r="DD27" s="13">
        <f t="shared" si="29"/>
        <v>-1.7515923566879033E-2</v>
      </c>
      <c r="DE27" s="1">
        <v>300005.80023611162</v>
      </c>
      <c r="DF27" s="13">
        <f t="shared" si="30"/>
        <v>-4.809332510728237E-3</v>
      </c>
      <c r="DG27" s="1">
        <v>628</v>
      </c>
      <c r="DH27" s="13">
        <f t="shared" si="31"/>
        <v>1.7828200972447306E-2</v>
      </c>
      <c r="DI27" s="1">
        <v>300660.3170857784</v>
      </c>
      <c r="DJ27" s="13">
        <f t="shared" si="32"/>
        <v>2.1816806513461628E-3</v>
      </c>
      <c r="DK27" s="1">
        <v>590</v>
      </c>
      <c r="DL27" s="13">
        <f t="shared" si="33"/>
        <v>-6.0509554140127375E-2</v>
      </c>
      <c r="DM27" s="1">
        <v>294896.18339869758</v>
      </c>
      <c r="DN27" s="13">
        <f t="shared" si="34"/>
        <v>-1.9171581214810995E-2</v>
      </c>
      <c r="DO27" s="1">
        <v>585</v>
      </c>
      <c r="DP27" s="13">
        <f t="shared" si="35"/>
        <v>-8.4745762711864181E-3</v>
      </c>
      <c r="DQ27" s="1">
        <v>300079.23939021199</v>
      </c>
      <c r="DR27" s="13">
        <f t="shared" si="36"/>
        <v>1.7575866638148252E-2</v>
      </c>
      <c r="DS27">
        <v>605</v>
      </c>
      <c r="DT27" s="13">
        <f t="shared" si="37"/>
        <v>3.4188034188034289E-2</v>
      </c>
      <c r="DU27" s="1">
        <v>298142.13771585427</v>
      </c>
      <c r="DV27" s="13">
        <f t="shared" si="38"/>
        <v>-6.4553005342657954E-3</v>
      </c>
      <c r="DW27">
        <v>607</v>
      </c>
      <c r="DX27" s="13">
        <f t="shared" si="39"/>
        <v>3.3057851239668423E-3</v>
      </c>
      <c r="DY27" s="1">
        <v>294564.5608142459</v>
      </c>
      <c r="DZ27" s="13">
        <f t="shared" si="40"/>
        <v>-1.1999568155703022E-2</v>
      </c>
      <c r="EA27" s="1">
        <v>549</v>
      </c>
      <c r="EB27" s="13">
        <f t="shared" si="41"/>
        <v>-9.555189456342672E-2</v>
      </c>
      <c r="EC27" s="1">
        <v>299221.56159332121</v>
      </c>
      <c r="ED27" s="13">
        <f t="shared" si="42"/>
        <v>1.5809779581773986E-2</v>
      </c>
      <c r="EE27" s="1">
        <f>IFERROR(VLOOKUP($A27,[1]Москва_продажа_районы!$C$2:$F$148,2,0),"")</f>
        <v>503</v>
      </c>
      <c r="EF27" s="13">
        <v>-8.3788706739526431E-2</v>
      </c>
      <c r="EG27" s="1">
        <v>291992.0203094125</v>
      </c>
      <c r="EH27" s="13">
        <f t="shared" si="43"/>
        <v>-2.4161164206924823E-2</v>
      </c>
      <c r="EI27" s="1">
        <f>IFERROR(VLOOKUP($A27,[2]Москва_продажа_районы!$C$2:$F$150,2,0),"")</f>
        <v>471</v>
      </c>
      <c r="EJ27" s="13">
        <v>-6.3618290258449339E-2</v>
      </c>
      <c r="EK27" s="1">
        <v>299837.42254637042</v>
      </c>
      <c r="EL27" s="13">
        <f t="shared" si="44"/>
        <v>2.6868550135871638E-2</v>
      </c>
      <c r="EM27">
        <v>455</v>
      </c>
      <c r="EN27" s="13">
        <f t="shared" si="45"/>
        <v>-3.3970276008492561E-2</v>
      </c>
      <c r="EO27" s="1">
        <v>304822.1202377592</v>
      </c>
      <c r="EP27" s="13">
        <f t="shared" si="46"/>
        <v>1.6624668292090528E-2</v>
      </c>
      <c r="EQ27">
        <v>422</v>
      </c>
      <c r="ER27" s="13">
        <f t="shared" si="47"/>
        <v>-7.2527472527472492E-2</v>
      </c>
      <c r="ES27" s="183">
        <v>299141.23294542253</v>
      </c>
      <c r="ET27" s="13">
        <f t="shared" si="48"/>
        <v>-1.8636729145199871E-2</v>
      </c>
      <c r="EU27">
        <v>371</v>
      </c>
      <c r="EV27" s="13">
        <f t="shared" si="49"/>
        <v>-0.12085308056872035</v>
      </c>
      <c r="EW27" s="183">
        <v>311023.09833206638</v>
      </c>
      <c r="EX27" s="13">
        <f t="shared" si="50"/>
        <v>3.971991848015044E-2</v>
      </c>
      <c r="EY27">
        <v>353</v>
      </c>
      <c r="EZ27" s="13">
        <f t="shared" si="51"/>
        <v>-4.8517520215633381E-2</v>
      </c>
      <c r="FA27" s="1">
        <v>317590.60764384229</v>
      </c>
      <c r="FB27" s="13">
        <f t="shared" si="52"/>
        <v>2.1115824988548137E-2</v>
      </c>
      <c r="FC27" s="1">
        <v>319</v>
      </c>
      <c r="FD27" s="13">
        <f t="shared" si="53"/>
        <v>-9.6317280453257825E-2</v>
      </c>
      <c r="FE27" s="1">
        <v>315176.93168499431</v>
      </c>
      <c r="FF27" s="13">
        <f t="shared" si="54"/>
        <v>-7.5999601397367389E-3</v>
      </c>
      <c r="FG27" s="1">
        <v>320</v>
      </c>
      <c r="FH27" s="13">
        <f t="shared" si="55"/>
        <v>3.1347962382444194E-3</v>
      </c>
      <c r="FI27" s="1">
        <v>321650.36417250079</v>
      </c>
      <c r="FJ27" s="13">
        <f t="shared" si="56"/>
        <v>2.0539042793831008E-2</v>
      </c>
      <c r="FK27" s="1">
        <v>355</v>
      </c>
      <c r="FL27" s="13">
        <f t="shared" si="57"/>
        <v>0.109375</v>
      </c>
      <c r="FM27" s="1">
        <v>320825.06694227213</v>
      </c>
      <c r="FN27" s="13">
        <f t="shared" si="58"/>
        <v>-2.5658209103909257E-3</v>
      </c>
      <c r="FO27" s="1">
        <v>387</v>
      </c>
      <c r="FP27" s="13">
        <f t="shared" si="59"/>
        <v>9.0140845070422637E-2</v>
      </c>
      <c r="FQ27" s="1">
        <v>321179.98286448698</v>
      </c>
      <c r="FR27" s="13">
        <f t="shared" si="60"/>
        <v>1.1062599490665459E-3</v>
      </c>
      <c r="FS27">
        <v>406</v>
      </c>
      <c r="FT27" s="13">
        <f t="shared" si="61"/>
        <v>4.9095607235142058E-2</v>
      </c>
      <c r="FU27" s="1">
        <v>333898.90610638272</v>
      </c>
      <c r="FV27" s="13">
        <f t="shared" si="62"/>
        <v>3.9600610002093806E-2</v>
      </c>
      <c r="FW27" s="1">
        <v>426</v>
      </c>
      <c r="FX27" s="13">
        <f t="shared" si="63"/>
        <v>4.9261083743842304E-2</v>
      </c>
      <c r="FY27" s="1">
        <v>324751.10031829547</v>
      </c>
      <c r="FZ27" s="13">
        <f t="shared" si="64"/>
        <v>-2.7396932487022574E-2</v>
      </c>
      <c r="GA27" s="1">
        <v>402</v>
      </c>
      <c r="GB27" s="13">
        <f t="shared" si="65"/>
        <v>-5.633802816901412E-2</v>
      </c>
      <c r="GC27" s="1">
        <v>326011.04881477577</v>
      </c>
      <c r="GD27" s="13">
        <f t="shared" si="66"/>
        <v>3.8797358815578775E-3</v>
      </c>
      <c r="GE27" s="1">
        <v>411</v>
      </c>
      <c r="GF27" s="13">
        <f t="shared" si="67"/>
        <v>2.2388059701492491E-2</v>
      </c>
      <c r="GG27" s="1">
        <f>IFERROR(VLOOKUP(A27,[3]Москва_продажа_районы!$C$2:$F$149,3,0),"")</f>
        <v>319322.21835715149</v>
      </c>
      <c r="GH27" s="13">
        <v>-2.0517189469319352E-2</v>
      </c>
      <c r="GI27" s="1">
        <v>382</v>
      </c>
      <c r="GJ27" s="13">
        <f t="shared" si="68"/>
        <v>-7.0559610705596132E-2</v>
      </c>
      <c r="GK27" s="1">
        <v>317148.65439084673</v>
      </c>
      <c r="GL27" s="13">
        <f t="shared" si="69"/>
        <v>-6.8068046673586124E-3</v>
      </c>
      <c r="GM27" s="1">
        <v>370</v>
      </c>
      <c r="GN27" s="13">
        <f t="shared" si="70"/>
        <v>-3.1413612565445059E-2</v>
      </c>
      <c r="GO27" s="1">
        <v>317587.40693012188</v>
      </c>
      <c r="GP27" s="13">
        <f t="shared" si="71"/>
        <v>1.3834286641318805E-3</v>
      </c>
      <c r="GQ27" s="1">
        <v>391.62000000000006</v>
      </c>
      <c r="GR27" s="13">
        <f t="shared" si="72"/>
        <v>5.8432432432432568E-2</v>
      </c>
      <c r="GS27" s="1">
        <v>317091.916470572</v>
      </c>
      <c r="GT27" s="13">
        <f t="shared" si="93"/>
        <v>-1.5601703617262874E-3</v>
      </c>
      <c r="GU27">
        <v>364</v>
      </c>
      <c r="GV27" s="13">
        <f t="shared" si="94"/>
        <v>-7.0527552218987988E-2</v>
      </c>
      <c r="GW27">
        <v>316811.10453207802</v>
      </c>
      <c r="GX27" s="13">
        <f t="shared" si="73"/>
        <v>-8.8558529532878349E-4</v>
      </c>
      <c r="GY27">
        <v>348</v>
      </c>
      <c r="GZ27" s="13">
        <f t="shared" si="74"/>
        <v>-4.3956043956043911E-2</v>
      </c>
      <c r="HA27">
        <v>318749.59002056462</v>
      </c>
      <c r="HB27" s="13">
        <v>6.1187422434250127E-3</v>
      </c>
      <c r="HC27">
        <v>321</v>
      </c>
      <c r="HD27" s="13">
        <v>-7.7586206896551713E-2</v>
      </c>
      <c r="HE27">
        <v>323791.9012132255</v>
      </c>
      <c r="HF27" s="13">
        <v>1.581903585298905E-2</v>
      </c>
      <c r="HG27">
        <v>342</v>
      </c>
      <c r="HH27" s="13">
        <v>6.5420560747663448E-2</v>
      </c>
      <c r="HI27">
        <f>VLOOKUP(A27,[4]Москва_продажа_районы!$C$4:$F$151,3,0)</f>
        <v>334528.62114434491</v>
      </c>
      <c r="HJ27" s="13">
        <f t="shared" si="75"/>
        <v>3.3159322054967078E-2</v>
      </c>
      <c r="HK27">
        <f>VLOOKUP(A27,[4]Москва_продажа_районы!$C$4:$F$151,2,0)</f>
        <v>365</v>
      </c>
      <c r="HL27" s="13">
        <f t="shared" si="76"/>
        <v>6.7251461988304007E-2</v>
      </c>
      <c r="HM27" s="1">
        <f>VLOOKUP(A27,Лист3!$C$4:$F$149,3,0)</f>
        <v>332995.68311928009</v>
      </c>
      <c r="HN27" s="13">
        <f t="shared" si="77"/>
        <v>-4.5823822781471124E-3</v>
      </c>
      <c r="HO27">
        <f>VLOOKUP(A27,Лист3!$C$4:$F$149,2,0)</f>
        <v>384</v>
      </c>
      <c r="HP27" s="13">
        <f t="shared" si="78"/>
        <v>5.2054794520547842E-2</v>
      </c>
      <c r="HQ27" s="1">
        <v>335635.53076687938</v>
      </c>
      <c r="HR27" s="13">
        <v>7.9275731831445206E-3</v>
      </c>
      <c r="HS27">
        <v>391</v>
      </c>
      <c r="HT27" s="13">
        <v>1.8229166666666741E-2</v>
      </c>
      <c r="HU27" s="34">
        <v>335530.1608064351</v>
      </c>
      <c r="HV27" s="13">
        <v>-3.1394161459463721E-4</v>
      </c>
      <c r="HW27">
        <v>367</v>
      </c>
      <c r="HX27" s="13">
        <v>-6.13810741687979E-2</v>
      </c>
      <c r="HY27">
        <v>340395.7152085565</v>
      </c>
      <c r="HZ27" s="13">
        <v>1.4501094001287962E-2</v>
      </c>
      <c r="IA27">
        <v>377</v>
      </c>
      <c r="IB27" s="13">
        <v>2.7247956403269713E-2</v>
      </c>
      <c r="IC27" s="34">
        <v>343809.93441894749</v>
      </c>
      <c r="ID27" s="13">
        <v>1.0030147436782988E-2</v>
      </c>
      <c r="IE27">
        <v>372</v>
      </c>
      <c r="IF27" s="13">
        <v>-1.3262599469496039E-2</v>
      </c>
    </row>
    <row r="28" spans="1:240" x14ac:dyDescent="0.3">
      <c r="A28" s="23" t="s">
        <v>43</v>
      </c>
      <c r="B28" s="22">
        <v>277074.52050162596</v>
      </c>
      <c r="C28">
        <v>369</v>
      </c>
      <c r="D28" s="22">
        <v>276168.56508898304</v>
      </c>
      <c r="E28">
        <v>354</v>
      </c>
      <c r="F28" s="22">
        <v>285549.02922253514</v>
      </c>
      <c r="G28">
        <v>284</v>
      </c>
      <c r="H28" s="22">
        <v>284321.03898048465</v>
      </c>
      <c r="I28">
        <v>296</v>
      </c>
      <c r="J28" s="22">
        <v>282129.47632002278</v>
      </c>
      <c r="K28">
        <v>362</v>
      </c>
      <c r="L28" s="22">
        <v>284615.23487773427</v>
      </c>
      <c r="M28">
        <v>381</v>
      </c>
      <c r="N28" s="22">
        <v>289648.6609017154</v>
      </c>
      <c r="O28" s="28">
        <v>362</v>
      </c>
      <c r="P28" s="39">
        <v>293319.55269854277</v>
      </c>
      <c r="Q28" s="28">
        <v>341</v>
      </c>
      <c r="R28" s="39">
        <v>300303.19382527529</v>
      </c>
      <c r="S28">
        <v>301</v>
      </c>
      <c r="T28" s="46">
        <v>305919.95237734966</v>
      </c>
      <c r="U28" s="47">
        <v>266</v>
      </c>
      <c r="V28" s="56">
        <v>311033.83054580778</v>
      </c>
      <c r="W28" s="47">
        <v>251</v>
      </c>
      <c r="X28" s="56">
        <v>317484.42277143901</v>
      </c>
      <c r="Y28" s="47">
        <v>225</v>
      </c>
      <c r="Z28" s="1">
        <v>319577.39273519471</v>
      </c>
      <c r="AA28" s="81">
        <v>217</v>
      </c>
      <c r="AB28" s="1">
        <v>323506.85967998957</v>
      </c>
      <c r="AC28">
        <v>232</v>
      </c>
      <c r="AD28" s="1">
        <v>329674.41040513391</v>
      </c>
      <c r="AE28">
        <v>215</v>
      </c>
      <c r="AF28" s="13">
        <f t="shared" si="19"/>
        <v>3.8395545605935499E-2</v>
      </c>
      <c r="AG28" s="85">
        <f t="shared" si="95"/>
        <v>4.7937569676700112E-2</v>
      </c>
      <c r="AH28" s="35">
        <f t="shared" si="96"/>
        <v>14.381270903010034</v>
      </c>
      <c r="AI28" s="87">
        <f t="shared" si="97"/>
        <v>229.38127090301003</v>
      </c>
      <c r="AL28" s="1">
        <v>331486.1233844271</v>
      </c>
      <c r="AM28">
        <v>225</v>
      </c>
      <c r="AN28" s="13">
        <f t="shared" si="98"/>
        <v>5.0346833743566792E-2</v>
      </c>
      <c r="AQ28" s="35">
        <f t="shared" si="99"/>
        <v>13.744685611993734</v>
      </c>
      <c r="AR28" s="87">
        <f t="shared" si="102"/>
        <v>238.74468561199373</v>
      </c>
      <c r="AS28">
        <v>230</v>
      </c>
      <c r="AT28" s="1">
        <v>334783.46595533309</v>
      </c>
      <c r="AU28" s="13">
        <f t="shared" si="100"/>
        <v>9.9471511423783188E-3</v>
      </c>
      <c r="AV28" s="35">
        <v>232</v>
      </c>
      <c r="AW28" s="1">
        <v>340516.482339804</v>
      </c>
      <c r="AX28" s="61">
        <v>242</v>
      </c>
      <c r="AY28" s="121">
        <v>341955.61679447419</v>
      </c>
      <c r="AZ28" s="122">
        <v>246</v>
      </c>
      <c r="BA28" s="119">
        <v>352323.98599186877</v>
      </c>
      <c r="BB28" s="35">
        <v>254</v>
      </c>
      <c r="BC28" s="125">
        <f t="shared" si="101"/>
        <v>3.0320803894343662E-2</v>
      </c>
      <c r="BD28">
        <v>253</v>
      </c>
      <c r="BE28" s="1">
        <v>359613.25171422667</v>
      </c>
      <c r="BF28" s="13">
        <f t="shared" si="79"/>
        <v>2.0689098705093834E-2</v>
      </c>
      <c r="BG28">
        <v>267</v>
      </c>
      <c r="BH28" s="1">
        <v>363055.88649119629</v>
      </c>
      <c r="BI28" s="13">
        <f t="shared" si="23"/>
        <v>9.5731588326042338E-3</v>
      </c>
      <c r="BJ28">
        <v>283</v>
      </c>
      <c r="BK28" s="1">
        <v>370031.10675659688</v>
      </c>
      <c r="BL28" s="13">
        <f t="shared" si="80"/>
        <v>1.9212524916793372E-2</v>
      </c>
      <c r="BM28" s="1">
        <v>375784.43253790447</v>
      </c>
      <c r="BN28" s="109">
        <f t="shared" si="81"/>
        <v>1.5548221963652686E-2</v>
      </c>
      <c r="BO28">
        <v>270</v>
      </c>
      <c r="BP28" s="13">
        <f t="shared" si="82"/>
        <v>-4.5936395759717308E-2</v>
      </c>
      <c r="BQ28" s="1">
        <v>381965.84242738952</v>
      </c>
      <c r="BR28" s="13">
        <f t="shared" si="5"/>
        <v>1.6449350623010561E-2</v>
      </c>
      <c r="BS28">
        <v>306</v>
      </c>
      <c r="BT28" s="13">
        <f t="shared" si="6"/>
        <v>0.1333333333333333</v>
      </c>
      <c r="BU28" s="1">
        <v>395225.07137965731</v>
      </c>
      <c r="BV28" s="13">
        <f t="shared" si="83"/>
        <v>3.4713127404287114E-2</v>
      </c>
      <c r="BW28">
        <v>337</v>
      </c>
      <c r="BX28" s="13">
        <f t="shared" si="84"/>
        <v>0.10130718954248374</v>
      </c>
      <c r="BY28" s="1">
        <v>395723.55347586487</v>
      </c>
      <c r="BZ28" s="13">
        <f t="shared" si="85"/>
        <v>1.2612613224851632E-3</v>
      </c>
      <c r="CA28">
        <v>302</v>
      </c>
      <c r="CB28" s="13">
        <f t="shared" si="86"/>
        <v>-0.10385756676557867</v>
      </c>
      <c r="CC28" s="1">
        <v>385041.3568921113</v>
      </c>
      <c r="CD28" s="13">
        <f t="shared" si="87"/>
        <v>-2.6994088398139993E-2</v>
      </c>
      <c r="CE28">
        <v>334</v>
      </c>
      <c r="CF28" s="13">
        <f t="shared" si="88"/>
        <v>0.10596026490066235</v>
      </c>
      <c r="CG28" s="1">
        <v>379531.09748211887</v>
      </c>
      <c r="CH28" s="13">
        <f t="shared" si="89"/>
        <v>-1.4310824827932445E-2</v>
      </c>
      <c r="CI28">
        <v>360</v>
      </c>
      <c r="CJ28" s="13">
        <f t="shared" si="90"/>
        <v>7.7844311377245567E-2</v>
      </c>
      <c r="CK28" s="1">
        <v>382668.65405026899</v>
      </c>
      <c r="CL28" s="13">
        <f t="shared" si="91"/>
        <v>8.266928820761299E-3</v>
      </c>
      <c r="CM28">
        <v>371</v>
      </c>
      <c r="CN28" s="13">
        <f t="shared" si="92"/>
        <v>3.0555555555555447E-2</v>
      </c>
      <c r="CO28" s="1">
        <v>379048.06014682428</v>
      </c>
      <c r="CP28" s="13">
        <v>-9.4614331880161773E-3</v>
      </c>
      <c r="CQ28">
        <v>381</v>
      </c>
      <c r="CR28" s="13">
        <v>2.695417789757415E-2</v>
      </c>
      <c r="CS28" s="1">
        <v>381218.37918509362</v>
      </c>
      <c r="CT28" s="13">
        <f t="shared" si="24"/>
        <v>5.7257093927052249E-3</v>
      </c>
      <c r="CU28">
        <v>392</v>
      </c>
      <c r="CV28" s="13">
        <f t="shared" si="25"/>
        <v>2.8871391076115582E-2</v>
      </c>
      <c r="CW28" s="1">
        <v>376537.49897697428</v>
      </c>
      <c r="CX28" s="13">
        <f t="shared" si="26"/>
        <v>-1.2278736975183002E-2</v>
      </c>
      <c r="CY28">
        <v>395</v>
      </c>
      <c r="CZ28" s="13">
        <f t="shared" si="27"/>
        <v>7.6530612244898322E-3</v>
      </c>
      <c r="DA28" s="1">
        <v>372340.47537407401</v>
      </c>
      <c r="DB28" s="13">
        <f t="shared" si="28"/>
        <v>-1.114636288365245E-2</v>
      </c>
      <c r="DC28">
        <v>396</v>
      </c>
      <c r="DD28" s="13">
        <f t="shared" si="29"/>
        <v>2.5316455696202667E-3</v>
      </c>
      <c r="DE28" s="1">
        <v>370191.95520293858</v>
      </c>
      <c r="DF28" s="13">
        <f t="shared" si="30"/>
        <v>-5.7703105443396296E-3</v>
      </c>
      <c r="DG28" s="1">
        <v>368</v>
      </c>
      <c r="DH28" s="13">
        <f t="shared" si="31"/>
        <v>-7.0707070707070718E-2</v>
      </c>
      <c r="DI28" s="1">
        <v>373729.16472205461</v>
      </c>
      <c r="DJ28" s="13">
        <f t="shared" si="32"/>
        <v>9.5550685783458711E-3</v>
      </c>
      <c r="DK28" s="1">
        <v>334</v>
      </c>
      <c r="DL28" s="13">
        <f t="shared" si="33"/>
        <v>-9.2391304347826053E-2</v>
      </c>
      <c r="DM28" s="1">
        <v>375045.97680656268</v>
      </c>
      <c r="DN28" s="13">
        <f t="shared" si="34"/>
        <v>3.5234394551129089E-3</v>
      </c>
      <c r="DO28" s="1">
        <v>321</v>
      </c>
      <c r="DP28" s="13">
        <f t="shared" si="35"/>
        <v>-3.8922155688622784E-2</v>
      </c>
      <c r="DQ28" s="1">
        <v>382508.04384301062</v>
      </c>
      <c r="DR28" s="13">
        <f t="shared" si="36"/>
        <v>1.9896406035296854E-2</v>
      </c>
      <c r="DS28">
        <v>346</v>
      </c>
      <c r="DT28" s="13">
        <f t="shared" si="37"/>
        <v>7.7881619937694602E-2</v>
      </c>
      <c r="DU28" s="1">
        <v>383963.49867082591</v>
      </c>
      <c r="DV28" s="13">
        <f t="shared" si="38"/>
        <v>3.8050306424735059E-3</v>
      </c>
      <c r="DW28">
        <v>334</v>
      </c>
      <c r="DX28" s="13">
        <f t="shared" si="39"/>
        <v>-3.4682080924855474E-2</v>
      </c>
      <c r="DY28" s="1">
        <v>379717.00436143501</v>
      </c>
      <c r="DZ28" s="13">
        <f t="shared" si="40"/>
        <v>-1.1059630209879545E-2</v>
      </c>
      <c r="EA28" s="1">
        <v>334</v>
      </c>
      <c r="EB28" s="13">
        <f t="shared" si="41"/>
        <v>0</v>
      </c>
      <c r="EC28" s="1">
        <v>380450.0257170336</v>
      </c>
      <c r="ED28" s="13">
        <f t="shared" si="42"/>
        <v>1.9304412159031337E-3</v>
      </c>
      <c r="EE28" s="1">
        <f>IFERROR(VLOOKUP($A28,[1]Москва_продажа_районы!$C$2:$F$148,2,0),"")</f>
        <v>324</v>
      </c>
      <c r="EF28" s="13">
        <v>-2.9940119760479056E-2</v>
      </c>
      <c r="EG28" s="1">
        <v>381123.17463928618</v>
      </c>
      <c r="EH28" s="13">
        <f t="shared" si="43"/>
        <v>1.7693491306352005E-3</v>
      </c>
      <c r="EI28" s="1">
        <f>IFERROR(VLOOKUP($A28,[2]Москва_продажа_районы!$C$2:$F$150,2,0),"")</f>
        <v>300</v>
      </c>
      <c r="EJ28" s="13">
        <v>-7.407407407407407E-2</v>
      </c>
      <c r="EK28" s="1">
        <v>391045.20698961843</v>
      </c>
      <c r="EL28" s="13">
        <f t="shared" si="44"/>
        <v>2.6033663158171683E-2</v>
      </c>
      <c r="EM28">
        <v>255</v>
      </c>
      <c r="EN28" s="13">
        <f t="shared" si="45"/>
        <v>-0.15000000000000002</v>
      </c>
      <c r="EO28" s="1">
        <v>395140.66770546482</v>
      </c>
      <c r="EP28" s="13">
        <f t="shared" si="46"/>
        <v>1.0473113191629357E-2</v>
      </c>
      <c r="EQ28">
        <v>227</v>
      </c>
      <c r="ER28" s="13">
        <f t="shared" si="47"/>
        <v>-0.1098039215686275</v>
      </c>
      <c r="ES28" s="183">
        <v>400481.20866544958</v>
      </c>
      <c r="ET28" s="13">
        <f t="shared" si="48"/>
        <v>1.351554369484842E-2</v>
      </c>
      <c r="EU28">
        <v>219</v>
      </c>
      <c r="EV28" s="13">
        <f t="shared" si="49"/>
        <v>-3.524229074889873E-2</v>
      </c>
      <c r="EW28" s="183">
        <v>407632.42249405867</v>
      </c>
      <c r="EX28" s="13">
        <f t="shared" si="50"/>
        <v>1.7856552751724708E-2</v>
      </c>
      <c r="EY28">
        <v>214</v>
      </c>
      <c r="EZ28" s="13">
        <f t="shared" si="51"/>
        <v>-2.2831050228310557E-2</v>
      </c>
      <c r="FA28" s="1">
        <v>414514.65790923039</v>
      </c>
      <c r="FB28" s="13">
        <f t="shared" si="52"/>
        <v>1.6883434769647154E-2</v>
      </c>
      <c r="FC28" s="1">
        <v>183</v>
      </c>
      <c r="FD28" s="13">
        <f t="shared" si="53"/>
        <v>-0.14485981308411211</v>
      </c>
      <c r="FE28" s="1">
        <v>417675.72675956629</v>
      </c>
      <c r="FF28" s="13">
        <f t="shared" si="54"/>
        <v>7.6259519175509993E-3</v>
      </c>
      <c r="FG28" s="1">
        <v>196</v>
      </c>
      <c r="FH28" s="13">
        <f t="shared" si="55"/>
        <v>7.1038251366120297E-2</v>
      </c>
      <c r="FI28" s="1">
        <v>411398.01754441962</v>
      </c>
      <c r="FJ28" s="13">
        <f t="shared" si="56"/>
        <v>-1.5030103051117516E-2</v>
      </c>
      <c r="FK28" s="1">
        <v>225</v>
      </c>
      <c r="FL28" s="13">
        <f t="shared" si="57"/>
        <v>0.1479591836734695</v>
      </c>
      <c r="FM28" s="1">
        <v>411328.05643031822</v>
      </c>
      <c r="FN28" s="13">
        <f t="shared" si="58"/>
        <v>-1.7005700348049491E-4</v>
      </c>
      <c r="FO28" s="1">
        <v>232</v>
      </c>
      <c r="FP28" s="13">
        <f t="shared" si="59"/>
        <v>3.1111111111111089E-2</v>
      </c>
      <c r="FQ28" s="1">
        <v>421664.40693824121</v>
      </c>
      <c r="FR28" s="13">
        <f t="shared" si="60"/>
        <v>2.5129213401162698E-2</v>
      </c>
      <c r="FS28">
        <v>222</v>
      </c>
      <c r="FT28" s="13">
        <f t="shared" si="61"/>
        <v>-4.31034482758621E-2</v>
      </c>
      <c r="FU28" s="1">
        <v>426328.98313984321</v>
      </c>
      <c r="FV28" s="13">
        <f t="shared" si="62"/>
        <v>1.1062295334510308E-2</v>
      </c>
      <c r="FW28" s="1">
        <v>226</v>
      </c>
      <c r="FX28" s="13">
        <f t="shared" si="63"/>
        <v>1.8018018018018056E-2</v>
      </c>
      <c r="FY28" s="1">
        <v>427435.96010088571</v>
      </c>
      <c r="FZ28" s="13">
        <f t="shared" si="64"/>
        <v>2.5965322669123658E-3</v>
      </c>
      <c r="GA28" s="1">
        <v>249</v>
      </c>
      <c r="GB28" s="13">
        <f t="shared" si="65"/>
        <v>0.10176991150442483</v>
      </c>
      <c r="GC28" s="1">
        <v>424720.58280462981</v>
      </c>
      <c r="GD28" s="13">
        <f t="shared" si="66"/>
        <v>-6.3527113994222839E-3</v>
      </c>
      <c r="GE28" s="1">
        <v>274</v>
      </c>
      <c r="GF28" s="13">
        <f t="shared" si="67"/>
        <v>0.10040160642570273</v>
      </c>
      <c r="GG28" s="1">
        <f>IFERROR(VLOOKUP(A28,[3]Москва_продажа_районы!$C$2:$F$149,3,0),"")</f>
        <v>426538.84918919572</v>
      </c>
      <c r="GH28" s="13">
        <v>4.2810884571664598E-3</v>
      </c>
      <c r="GI28" s="1">
        <v>264</v>
      </c>
      <c r="GJ28" s="13">
        <f t="shared" si="68"/>
        <v>-3.6496350364963459E-2</v>
      </c>
      <c r="GK28" s="1">
        <v>427829.19208085851</v>
      </c>
      <c r="GL28" s="13">
        <f t="shared" si="69"/>
        <v>3.0251474024360903E-3</v>
      </c>
      <c r="GM28" s="1">
        <v>245</v>
      </c>
      <c r="GN28" s="13">
        <f t="shared" si="70"/>
        <v>-7.1969696969697017E-2</v>
      </c>
      <c r="GO28" s="1">
        <v>432498.33915196703</v>
      </c>
      <c r="GP28" s="13">
        <f t="shared" si="71"/>
        <v>1.091357756210809E-2</v>
      </c>
      <c r="GQ28" s="1">
        <v>242.89000000000004</v>
      </c>
      <c r="GR28" s="13">
        <f t="shared" si="72"/>
        <v>-8.6122448979589761E-3</v>
      </c>
      <c r="GS28" s="1">
        <v>430542.6474944792</v>
      </c>
      <c r="GT28" s="13">
        <f t="shared" si="93"/>
        <v>-4.5218477863349094E-3</v>
      </c>
      <c r="GU28">
        <v>237</v>
      </c>
      <c r="GV28" s="13">
        <f t="shared" si="94"/>
        <v>-2.424966034007181E-2</v>
      </c>
      <c r="GW28">
        <v>432588.33208710741</v>
      </c>
      <c r="GX28" s="13">
        <f t="shared" si="73"/>
        <v>4.7514098882723843E-3</v>
      </c>
      <c r="GY28">
        <v>218</v>
      </c>
      <c r="GZ28" s="13">
        <f t="shared" si="74"/>
        <v>-8.0168776371308037E-2</v>
      </c>
      <c r="HA28">
        <v>443648.433755039</v>
      </c>
      <c r="HB28" s="13">
        <v>2.556726764813555E-2</v>
      </c>
      <c r="HC28">
        <v>183</v>
      </c>
      <c r="HD28" s="13">
        <v>-0.16055045871559637</v>
      </c>
      <c r="HE28">
        <v>461344.53820752818</v>
      </c>
      <c r="HF28" s="13">
        <v>3.9887674803017692E-2</v>
      </c>
      <c r="HG28">
        <v>190</v>
      </c>
      <c r="HH28" s="13">
        <v>3.8251366120218622E-2</v>
      </c>
      <c r="HI28">
        <f>VLOOKUP(A28,[4]Москва_продажа_районы!$C$4:$F$151,3,0)</f>
        <v>454439.11148861662</v>
      </c>
      <c r="HJ28" s="13">
        <f t="shared" si="75"/>
        <v>-1.49680469736162E-2</v>
      </c>
      <c r="HK28">
        <f>VLOOKUP(A28,[4]Москва_продажа_районы!$C$4:$F$151,2,0)</f>
        <v>214</v>
      </c>
      <c r="HL28" s="13">
        <f t="shared" si="76"/>
        <v>0.12631578947368416</v>
      </c>
      <c r="HM28" s="1">
        <f>VLOOKUP(A28,Лист3!$C$4:$F$149,3,0)</f>
        <v>458634.59632487741</v>
      </c>
      <c r="HN28" s="13">
        <f t="shared" si="77"/>
        <v>9.2322265628008715E-3</v>
      </c>
      <c r="HO28">
        <f>VLOOKUP(A28,Лист3!$C$4:$F$149,2,0)</f>
        <v>207</v>
      </c>
      <c r="HP28" s="13">
        <f t="shared" si="78"/>
        <v>-3.2710280373831724E-2</v>
      </c>
      <c r="HQ28" s="1">
        <v>455039.56547034608</v>
      </c>
      <c r="HR28" s="13">
        <v>-7.8385513943757257E-3</v>
      </c>
      <c r="HS28">
        <v>213</v>
      </c>
      <c r="HT28" s="13">
        <v>2.8985507246376718E-2</v>
      </c>
      <c r="HU28" s="34">
        <v>456404.17378648731</v>
      </c>
      <c r="HV28" s="13">
        <v>2.9988783826537802E-3</v>
      </c>
      <c r="HW28">
        <v>226</v>
      </c>
      <c r="HX28" s="13">
        <v>6.1032863849765251E-2</v>
      </c>
      <c r="HY28">
        <v>461303.38067403069</v>
      </c>
      <c r="HZ28" s="13">
        <v>1.0734360395738385E-2</v>
      </c>
      <c r="IA28">
        <v>253</v>
      </c>
      <c r="IB28" s="13">
        <v>0.11946902654867264</v>
      </c>
      <c r="IC28" s="34">
        <v>460079.86633508612</v>
      </c>
      <c r="ID28" s="13">
        <v>-2.6522986611475785E-3</v>
      </c>
      <c r="IE28">
        <v>233</v>
      </c>
      <c r="IF28" s="13">
        <v>-7.9051383399209474E-2</v>
      </c>
    </row>
    <row r="29" spans="1:240" x14ac:dyDescent="0.3">
      <c r="A29" s="23" t="s">
        <v>44</v>
      </c>
      <c r="B29" s="22">
        <v>306590.70528665971</v>
      </c>
      <c r="C29">
        <v>967</v>
      </c>
      <c r="D29" s="22">
        <v>308118.8360408328</v>
      </c>
      <c r="E29">
        <v>904</v>
      </c>
      <c r="F29" s="22">
        <v>334064.76576564665</v>
      </c>
      <c r="G29">
        <v>719</v>
      </c>
      <c r="H29" s="22">
        <v>322740.98037299782</v>
      </c>
      <c r="I29">
        <v>706</v>
      </c>
      <c r="J29" s="22">
        <v>317098.56381886755</v>
      </c>
      <c r="K29">
        <v>859</v>
      </c>
      <c r="L29" s="22">
        <v>319660.084472352</v>
      </c>
      <c r="M29">
        <v>841</v>
      </c>
      <c r="N29" s="22">
        <v>319040.12759534677</v>
      </c>
      <c r="O29" s="28">
        <v>774</v>
      </c>
      <c r="P29" s="39">
        <v>325419.20253460808</v>
      </c>
      <c r="Q29" s="28">
        <v>724</v>
      </c>
      <c r="R29" s="39">
        <v>330876.49171683769</v>
      </c>
      <c r="S29">
        <v>739</v>
      </c>
      <c r="T29" s="46">
        <v>338924.85229682992</v>
      </c>
      <c r="U29" s="47">
        <v>687</v>
      </c>
      <c r="V29" s="56">
        <v>345551.45579832402</v>
      </c>
      <c r="W29" s="47">
        <v>625</v>
      </c>
      <c r="X29" s="56">
        <v>356115.481776828</v>
      </c>
      <c r="Y29" s="47">
        <v>598</v>
      </c>
      <c r="Z29" s="1">
        <v>359260.85312278982</v>
      </c>
      <c r="AA29" s="81">
        <v>663</v>
      </c>
      <c r="AB29" s="1">
        <v>365696.22820057801</v>
      </c>
      <c r="AC29">
        <v>674</v>
      </c>
      <c r="AD29" s="1">
        <v>372434.93148058013</v>
      </c>
      <c r="AE29">
        <v>618</v>
      </c>
      <c r="AF29" s="13">
        <f t="shared" si="19"/>
        <v>4.5826285401372235E-2</v>
      </c>
      <c r="AG29" s="85">
        <f t="shared" si="95"/>
        <v>0.13779264214046824</v>
      </c>
      <c r="AH29" s="35">
        <f t="shared" si="96"/>
        <v>41.337792642140471</v>
      </c>
      <c r="AI29" s="87">
        <f t="shared" si="97"/>
        <v>659.33779264214047</v>
      </c>
      <c r="AL29" s="1">
        <v>374412.84149290732</v>
      </c>
      <c r="AM29">
        <v>649</v>
      </c>
      <c r="AN29" s="13">
        <f t="shared" si="98"/>
        <v>0.14522264488699932</v>
      </c>
      <c r="AQ29" s="35">
        <f t="shared" si="99"/>
        <v>39.645782054150814</v>
      </c>
      <c r="AR29" s="87">
        <f t="shared" si="102"/>
        <v>688.6457820541508</v>
      </c>
      <c r="AS29">
        <v>695</v>
      </c>
      <c r="AT29" s="1">
        <v>380673.9036263781</v>
      </c>
      <c r="AU29" s="13">
        <f t="shared" si="100"/>
        <v>1.6722348807551191E-2</v>
      </c>
      <c r="AV29" s="35">
        <v>686</v>
      </c>
      <c r="AW29" s="1">
        <v>382211.55459591647</v>
      </c>
      <c r="AX29" s="61">
        <v>716</v>
      </c>
      <c r="AY29" s="121">
        <v>385080.70295811881</v>
      </c>
      <c r="AZ29" s="122">
        <v>669</v>
      </c>
      <c r="BA29" s="119">
        <v>387396.25018659589</v>
      </c>
      <c r="BB29" s="35">
        <v>710</v>
      </c>
      <c r="BC29" s="125">
        <f t="shared" si="101"/>
        <v>6.0131479211746885E-3</v>
      </c>
      <c r="BD29">
        <v>691</v>
      </c>
      <c r="BE29" s="1">
        <v>386994.84770863241</v>
      </c>
      <c r="BF29" s="13">
        <f t="shared" si="79"/>
        <v>-1.0361547840748164E-3</v>
      </c>
      <c r="BG29">
        <v>654</v>
      </c>
      <c r="BH29" s="1">
        <v>395900.84158849478</v>
      </c>
      <c r="BI29" s="13">
        <f t="shared" si="23"/>
        <v>2.3013210466739098E-2</v>
      </c>
      <c r="BJ29">
        <v>613</v>
      </c>
      <c r="BK29" s="1">
        <v>404923.63883576507</v>
      </c>
      <c r="BL29" s="13">
        <f t="shared" si="80"/>
        <v>2.2790548287464185E-2</v>
      </c>
      <c r="BM29" s="1">
        <v>407761.05715586379</v>
      </c>
      <c r="BN29" s="109">
        <f t="shared" si="81"/>
        <v>7.007292358274908E-3</v>
      </c>
      <c r="BO29">
        <v>531</v>
      </c>
      <c r="BP29" s="13">
        <f t="shared" si="82"/>
        <v>-0.13376835236541595</v>
      </c>
      <c r="BQ29" s="1">
        <v>414656.24132220767</v>
      </c>
      <c r="BR29" s="13">
        <f t="shared" si="5"/>
        <v>1.6909864356439153E-2</v>
      </c>
      <c r="BS29">
        <v>538</v>
      </c>
      <c r="BT29" s="13">
        <f t="shared" si="6"/>
        <v>1.3182674199623268E-2</v>
      </c>
      <c r="BU29" s="1">
        <v>442576.57562471129</v>
      </c>
      <c r="BV29" s="13">
        <f t="shared" si="83"/>
        <v>6.7333688776694878E-2</v>
      </c>
      <c r="BW29">
        <v>527</v>
      </c>
      <c r="BX29" s="13">
        <f t="shared" si="84"/>
        <v>-2.0446096654275103E-2</v>
      </c>
      <c r="BY29" s="1">
        <v>449271.74689086422</v>
      </c>
      <c r="BZ29" s="13">
        <f t="shared" si="85"/>
        <v>1.512771266012547E-2</v>
      </c>
      <c r="CA29">
        <v>555</v>
      </c>
      <c r="CB29" s="13">
        <f t="shared" si="86"/>
        <v>5.3130929791271431E-2</v>
      </c>
      <c r="CC29" s="1">
        <v>434501.81013061892</v>
      </c>
      <c r="CD29" s="13">
        <f t="shared" si="87"/>
        <v>-3.2875285086273576E-2</v>
      </c>
      <c r="CE29">
        <v>588</v>
      </c>
      <c r="CF29" s="13">
        <f t="shared" si="88"/>
        <v>5.9459459459459518E-2</v>
      </c>
      <c r="CG29" s="1">
        <v>415142.90856212692</v>
      </c>
      <c r="CH29" s="13">
        <f t="shared" si="89"/>
        <v>-4.455424837625499E-2</v>
      </c>
      <c r="CI29">
        <v>655</v>
      </c>
      <c r="CJ29" s="13">
        <f t="shared" si="90"/>
        <v>0.11394557823129259</v>
      </c>
      <c r="CK29" s="1">
        <v>402554.72013303038</v>
      </c>
      <c r="CL29" s="13">
        <f t="shared" si="91"/>
        <v>-3.0322542357031912E-2</v>
      </c>
      <c r="CM29">
        <v>682</v>
      </c>
      <c r="CN29" s="13">
        <f t="shared" si="92"/>
        <v>4.1221374045801618E-2</v>
      </c>
      <c r="CO29" s="1">
        <v>404469.24098824657</v>
      </c>
      <c r="CP29" s="13">
        <v>4.7559269820101058E-3</v>
      </c>
      <c r="CQ29">
        <v>616</v>
      </c>
      <c r="CR29" s="13">
        <v>-9.6774193548387122E-2</v>
      </c>
      <c r="CS29" s="1">
        <v>398755.69192774617</v>
      </c>
      <c r="CT29" s="13">
        <f t="shared" si="24"/>
        <v>-1.4126040948232332E-2</v>
      </c>
      <c r="CU29">
        <v>699</v>
      </c>
      <c r="CV29" s="13">
        <f t="shared" si="25"/>
        <v>0.13474025974025983</v>
      </c>
      <c r="CW29" s="1">
        <v>390387.48077905492</v>
      </c>
      <c r="CX29" s="13">
        <f t="shared" si="26"/>
        <v>-2.098580990339205E-2</v>
      </c>
      <c r="CY29">
        <v>733</v>
      </c>
      <c r="CZ29" s="13">
        <f t="shared" si="27"/>
        <v>4.8640915593705314E-2</v>
      </c>
      <c r="DA29" s="1">
        <v>388439.42816004582</v>
      </c>
      <c r="DB29" s="13">
        <f t="shared" si="28"/>
        <v>-4.9900488999329307E-3</v>
      </c>
      <c r="DC29">
        <v>739</v>
      </c>
      <c r="DD29" s="13">
        <f t="shared" si="29"/>
        <v>8.1855388813096841E-3</v>
      </c>
      <c r="DE29" s="1">
        <v>389197.54112324968</v>
      </c>
      <c r="DF29" s="13">
        <f t="shared" si="30"/>
        <v>1.9516890105488738E-3</v>
      </c>
      <c r="DG29" s="1">
        <v>739</v>
      </c>
      <c r="DH29" s="13">
        <f t="shared" si="31"/>
        <v>0</v>
      </c>
      <c r="DI29" s="1">
        <v>395408.38217765489</v>
      </c>
      <c r="DJ29" s="13">
        <f t="shared" si="32"/>
        <v>1.5958068585120833E-2</v>
      </c>
      <c r="DK29" s="1">
        <v>711</v>
      </c>
      <c r="DL29" s="13">
        <f t="shared" si="33"/>
        <v>-3.7889039242219202E-2</v>
      </c>
      <c r="DM29" s="1">
        <v>393874.38044135988</v>
      </c>
      <c r="DN29" s="13">
        <f t="shared" si="34"/>
        <v>-3.8795377271637621E-3</v>
      </c>
      <c r="DO29" s="1">
        <v>742</v>
      </c>
      <c r="DP29" s="13">
        <f t="shared" si="35"/>
        <v>4.3600562587904346E-2</v>
      </c>
      <c r="DQ29" s="1">
        <v>395890.02304716973</v>
      </c>
      <c r="DR29" s="13">
        <f t="shared" si="36"/>
        <v>5.1174757889842493E-3</v>
      </c>
      <c r="DS29">
        <v>812</v>
      </c>
      <c r="DT29" s="13">
        <f t="shared" si="37"/>
        <v>9.4339622641509413E-2</v>
      </c>
      <c r="DU29" s="1">
        <v>395326.34411148587</v>
      </c>
      <c r="DV29" s="13">
        <f t="shared" si="38"/>
        <v>-1.4238270804229902E-3</v>
      </c>
      <c r="DW29">
        <v>763</v>
      </c>
      <c r="DX29" s="13">
        <f t="shared" si="39"/>
        <v>-6.0344827586206851E-2</v>
      </c>
      <c r="DY29" s="1">
        <v>396557.41817217862</v>
      </c>
      <c r="DZ29" s="13">
        <f t="shared" si="40"/>
        <v>3.1140703852146068E-3</v>
      </c>
      <c r="EA29" s="1">
        <v>744</v>
      </c>
      <c r="EB29" s="13">
        <f t="shared" si="41"/>
        <v>-2.4901703800786379E-2</v>
      </c>
      <c r="EC29" s="1">
        <v>403153.46925264603</v>
      </c>
      <c r="ED29" s="13">
        <f t="shared" si="42"/>
        <v>1.6633281280854728E-2</v>
      </c>
      <c r="EE29" s="1">
        <f>IFERROR(VLOOKUP($A29,[1]Москва_продажа_районы!$C$2:$F$148,2,0),"")</f>
        <v>690</v>
      </c>
      <c r="EF29" s="13">
        <v>-7.2580645161290369E-2</v>
      </c>
      <c r="EG29" s="1">
        <v>410410.48219845048</v>
      </c>
      <c r="EH29" s="13">
        <f t="shared" si="43"/>
        <v>1.8000621349624657E-2</v>
      </c>
      <c r="EI29" s="1">
        <f>IFERROR(VLOOKUP($A29,[2]Москва_продажа_районы!$C$2:$F$150,2,0),"")</f>
        <v>658</v>
      </c>
      <c r="EJ29" s="13">
        <v>-4.6376811594202927E-2</v>
      </c>
      <c r="EK29" s="1">
        <v>419450.37401176052</v>
      </c>
      <c r="EL29" s="13">
        <f t="shared" si="44"/>
        <v>2.2026464248393385E-2</v>
      </c>
      <c r="EM29">
        <v>610</v>
      </c>
      <c r="EN29" s="13">
        <f t="shared" si="45"/>
        <v>-7.2948328267477214E-2</v>
      </c>
      <c r="EO29" s="1">
        <v>429752.57457881852</v>
      </c>
      <c r="EP29" s="13">
        <f t="shared" si="46"/>
        <v>2.4561190561172674E-2</v>
      </c>
      <c r="EQ29">
        <v>577</v>
      </c>
      <c r="ER29" s="13">
        <f t="shared" si="47"/>
        <v>-5.4098360655737698E-2</v>
      </c>
      <c r="ES29" s="183">
        <v>433316.77776643372</v>
      </c>
      <c r="ET29" s="13">
        <f t="shared" si="48"/>
        <v>8.293616835474138E-3</v>
      </c>
      <c r="EU29">
        <v>563</v>
      </c>
      <c r="EV29" s="13">
        <f t="shared" si="49"/>
        <v>-2.4263431542461023E-2</v>
      </c>
      <c r="EW29" s="183">
        <v>452673.77738852613</v>
      </c>
      <c r="EX29" s="13">
        <f t="shared" si="50"/>
        <v>4.4671705817322938E-2</v>
      </c>
      <c r="EY29">
        <v>597</v>
      </c>
      <c r="EZ29" s="13">
        <f t="shared" si="51"/>
        <v>6.0390763765541644E-2</v>
      </c>
      <c r="FA29" s="1">
        <v>438580.36375179503</v>
      </c>
      <c r="FB29" s="13">
        <f t="shared" si="52"/>
        <v>-3.1133708954903416E-2</v>
      </c>
      <c r="FC29" s="1">
        <v>569</v>
      </c>
      <c r="FD29" s="13">
        <f t="shared" si="53"/>
        <v>-4.6901172529313251E-2</v>
      </c>
      <c r="FE29" s="1">
        <v>441464.9560711892</v>
      </c>
      <c r="FF29" s="13">
        <f t="shared" si="54"/>
        <v>6.5771123328874914E-3</v>
      </c>
      <c r="FG29" s="1">
        <v>597</v>
      </c>
      <c r="FH29" s="13">
        <f t="shared" si="55"/>
        <v>4.9209138840070388E-2</v>
      </c>
      <c r="FI29" s="1">
        <v>453261.32013969868</v>
      </c>
      <c r="FJ29" s="13">
        <f t="shared" si="56"/>
        <v>2.6720952379756469E-2</v>
      </c>
      <c r="FK29" s="1">
        <v>680</v>
      </c>
      <c r="FL29" s="13">
        <f t="shared" si="57"/>
        <v>0.1390284757118927</v>
      </c>
      <c r="FM29" s="1">
        <v>451778.04917650053</v>
      </c>
      <c r="FN29" s="13">
        <f t="shared" si="58"/>
        <v>-3.272441078230548E-3</v>
      </c>
      <c r="FO29" s="1">
        <v>670</v>
      </c>
      <c r="FP29" s="13">
        <f t="shared" si="59"/>
        <v>-1.4705882352941124E-2</v>
      </c>
      <c r="FQ29" s="1">
        <v>480817.46794451948</v>
      </c>
      <c r="FR29" s="13">
        <f t="shared" si="60"/>
        <v>6.4278064905880061E-2</v>
      </c>
      <c r="FS29">
        <v>674</v>
      </c>
      <c r="FT29" s="13">
        <f t="shared" si="61"/>
        <v>5.9701492537314049E-3</v>
      </c>
      <c r="FU29" s="1">
        <v>481722.69023325702</v>
      </c>
      <c r="FV29" s="13">
        <f t="shared" si="62"/>
        <v>1.8826734656860467E-3</v>
      </c>
      <c r="FW29" s="1">
        <v>653</v>
      </c>
      <c r="FX29" s="13">
        <f t="shared" si="63"/>
        <v>-3.1157270029673612E-2</v>
      </c>
      <c r="FY29" s="1">
        <v>459902.39309887477</v>
      </c>
      <c r="FZ29" s="13">
        <f t="shared" si="64"/>
        <v>-4.5296386441370573E-2</v>
      </c>
      <c r="GA29" s="1">
        <v>627</v>
      </c>
      <c r="GB29" s="13">
        <f t="shared" si="65"/>
        <v>-3.9816232771822335E-2</v>
      </c>
      <c r="GC29" s="1">
        <v>458735.49247998872</v>
      </c>
      <c r="GD29" s="13">
        <f t="shared" si="66"/>
        <v>-2.537278858288472E-3</v>
      </c>
      <c r="GE29" s="1">
        <v>611</v>
      </c>
      <c r="GF29" s="13">
        <f t="shared" si="67"/>
        <v>-2.551834130781494E-2</v>
      </c>
      <c r="GG29" s="1">
        <f>IFERROR(VLOOKUP(A29,[3]Москва_продажа_районы!$C$2:$F$149,3,0),"")</f>
        <v>464325.87053057941</v>
      </c>
      <c r="GH29" s="13">
        <v>1.2186495578025314E-2</v>
      </c>
      <c r="GI29" s="1">
        <v>611</v>
      </c>
      <c r="GJ29" s="13">
        <f t="shared" si="68"/>
        <v>0</v>
      </c>
      <c r="GK29" s="1">
        <v>463656.67118952918</v>
      </c>
      <c r="GL29" s="13">
        <f t="shared" si="69"/>
        <v>-1.4412277745488034E-3</v>
      </c>
      <c r="GM29" s="1">
        <v>623</v>
      </c>
      <c r="GN29" s="13">
        <f t="shared" si="70"/>
        <v>1.9639934533551617E-2</v>
      </c>
      <c r="GO29" s="1">
        <v>448896.71252869582</v>
      </c>
      <c r="GP29" s="13">
        <f t="shared" si="71"/>
        <v>-3.1833810614578462E-2</v>
      </c>
      <c r="GQ29" s="1">
        <v>613.11</v>
      </c>
      <c r="GR29" s="13">
        <f t="shared" si="72"/>
        <v>-1.5874799357945446E-2</v>
      </c>
      <c r="GS29" s="1">
        <v>458936.11558560567</v>
      </c>
      <c r="GT29" s="13">
        <f t="shared" si="93"/>
        <v>2.2364617019261512E-2</v>
      </c>
      <c r="GU29">
        <v>625</v>
      </c>
      <c r="GV29" s="13">
        <f t="shared" si="94"/>
        <v>1.9392931121658297E-2</v>
      </c>
      <c r="GW29">
        <v>476800.22810642852</v>
      </c>
      <c r="GX29" s="13">
        <f t="shared" si="73"/>
        <v>3.8925052777831759E-2</v>
      </c>
      <c r="GY29">
        <v>592</v>
      </c>
      <c r="GZ29" s="13">
        <f t="shared" si="74"/>
        <v>-5.2799999999999958E-2</v>
      </c>
      <c r="HA29">
        <v>482036.84029167559</v>
      </c>
      <c r="HB29" s="13">
        <v>1.0982822315425134E-2</v>
      </c>
      <c r="HC29">
        <v>484</v>
      </c>
      <c r="HD29" s="13">
        <v>-0.18243243243243246</v>
      </c>
      <c r="HE29">
        <v>464225.25437464309</v>
      </c>
      <c r="HF29" s="13">
        <v>-3.6950673534111855E-2</v>
      </c>
      <c r="HG29">
        <v>472</v>
      </c>
      <c r="HH29" s="13">
        <v>-2.4793388429752095E-2</v>
      </c>
      <c r="HI29">
        <f>VLOOKUP(A29,[4]Москва_продажа_районы!$C$4:$F$151,3,0)</f>
        <v>462368.32074968098</v>
      </c>
      <c r="HJ29" s="13">
        <f t="shared" si="75"/>
        <v>-4.000070240606779E-3</v>
      </c>
      <c r="HK29">
        <f>VLOOKUP(A29,[4]Москва_продажа_районы!$C$4:$F$151,2,0)</f>
        <v>450</v>
      </c>
      <c r="HL29" s="13">
        <f t="shared" si="76"/>
        <v>-4.6610169491525411E-2</v>
      </c>
      <c r="HM29" s="1">
        <f>VLOOKUP(A29,Лист3!$C$4:$F$149,3,0)</f>
        <v>464288.07712909899</v>
      </c>
      <c r="HN29" s="13">
        <f t="shared" si="77"/>
        <v>4.1520067298410623E-3</v>
      </c>
      <c r="HO29">
        <f>VLOOKUP(A29,Лист3!$C$4:$F$149,2,0)</f>
        <v>467</v>
      </c>
      <c r="HP29" s="13">
        <f t="shared" si="78"/>
        <v>3.7777777777777688E-2</v>
      </c>
      <c r="HQ29" s="1">
        <v>468920.66485310189</v>
      </c>
      <c r="HR29" s="13">
        <v>9.9778304725124389E-3</v>
      </c>
      <c r="HS29">
        <v>495</v>
      </c>
      <c r="HT29" s="13">
        <v>5.9957173447537482E-2</v>
      </c>
      <c r="HU29" s="34">
        <v>464134.02119505958</v>
      </c>
      <c r="HV29" s="13">
        <v>-1.0207789967076386E-2</v>
      </c>
      <c r="HW29">
        <v>500</v>
      </c>
      <c r="HX29" s="13">
        <v>1.0101010101010166E-2</v>
      </c>
      <c r="HY29">
        <v>458115.28798774839</v>
      </c>
      <c r="HZ29" s="13">
        <v>-1.2967662210613295E-2</v>
      </c>
      <c r="IA29">
        <v>514</v>
      </c>
      <c r="IB29" s="13">
        <v>2.8000000000000025E-2</v>
      </c>
      <c r="IC29" s="34">
        <v>462394.6207473664</v>
      </c>
      <c r="ID29" s="13">
        <v>9.3411699452659036E-3</v>
      </c>
      <c r="IE29">
        <v>519</v>
      </c>
      <c r="IF29" s="13">
        <v>9.7276264591439343E-3</v>
      </c>
    </row>
    <row r="30" spans="1:240" x14ac:dyDescent="0.3">
      <c r="A30" s="23" t="s">
        <v>45</v>
      </c>
      <c r="B30" s="22">
        <v>176733.99219855972</v>
      </c>
      <c r="C30">
        <v>486</v>
      </c>
      <c r="D30" s="22">
        <v>176540.77231534955</v>
      </c>
      <c r="E30">
        <v>458</v>
      </c>
      <c r="F30" s="22">
        <v>176082.62030924755</v>
      </c>
      <c r="G30">
        <v>319</v>
      </c>
      <c r="H30" s="22">
        <v>178696.35654631941</v>
      </c>
      <c r="I30">
        <v>336</v>
      </c>
      <c r="J30" s="22">
        <v>177132.1002328599</v>
      </c>
      <c r="K30">
        <v>375</v>
      </c>
      <c r="L30" s="22">
        <v>181826.54753609726</v>
      </c>
      <c r="M30">
        <v>407</v>
      </c>
      <c r="N30" s="22">
        <v>184843.18679296388</v>
      </c>
      <c r="O30" s="28">
        <v>428</v>
      </c>
      <c r="P30" s="39">
        <v>189205.69214711356</v>
      </c>
      <c r="Q30" s="28">
        <v>357</v>
      </c>
      <c r="R30" s="39">
        <v>193770.86130840788</v>
      </c>
      <c r="S30">
        <v>316</v>
      </c>
      <c r="T30" s="46">
        <v>322561.72357326141</v>
      </c>
      <c r="U30" s="47">
        <v>280</v>
      </c>
      <c r="V30" s="56">
        <v>205968.26269526989</v>
      </c>
      <c r="W30" s="47">
        <v>272</v>
      </c>
      <c r="X30" s="56">
        <v>209101.51982888731</v>
      </c>
      <c r="Y30" s="47">
        <v>268</v>
      </c>
      <c r="Z30" s="1">
        <v>209435.64520110871</v>
      </c>
      <c r="AA30" s="81">
        <v>319</v>
      </c>
      <c r="AB30" s="1">
        <v>211836.98892614059</v>
      </c>
      <c r="AC30">
        <v>338</v>
      </c>
      <c r="AD30" s="1">
        <v>214669.68335268399</v>
      </c>
      <c r="AE30">
        <v>316</v>
      </c>
      <c r="AF30" s="13">
        <f t="shared" si="19"/>
        <v>2.6628995945860323E-2</v>
      </c>
      <c r="AG30" s="85">
        <f t="shared" si="95"/>
        <v>7.0457079152731333E-2</v>
      </c>
      <c r="AH30" s="35">
        <f t="shared" si="96"/>
        <v>21.137123745819402</v>
      </c>
      <c r="AI30" s="87">
        <f t="shared" si="97"/>
        <v>337.13712374581939</v>
      </c>
      <c r="AL30" s="1">
        <v>218327.79671203921</v>
      </c>
      <c r="AM30">
        <v>311</v>
      </c>
      <c r="AN30" s="13">
        <f t="shared" si="98"/>
        <v>6.9590512418885656E-2</v>
      </c>
      <c r="AQ30" s="35">
        <f t="shared" si="99"/>
        <v>18.998209890355785</v>
      </c>
      <c r="AR30" s="87">
        <f t="shared" si="102"/>
        <v>329.99820989035578</v>
      </c>
      <c r="AS30">
        <v>320</v>
      </c>
      <c r="AT30" s="1">
        <v>221543.0166597894</v>
      </c>
      <c r="AU30" s="13">
        <f t="shared" si="100"/>
        <v>1.4726571678780997E-2</v>
      </c>
      <c r="AV30" s="35">
        <v>321</v>
      </c>
      <c r="AW30" s="1">
        <v>221417.84705990399</v>
      </c>
      <c r="AX30" s="61">
        <v>335</v>
      </c>
      <c r="AY30" s="121">
        <v>236062.7873550012</v>
      </c>
      <c r="AZ30" s="122">
        <v>309</v>
      </c>
      <c r="BA30" s="119">
        <v>233486.28004676709</v>
      </c>
      <c r="BB30" s="35">
        <v>305</v>
      </c>
      <c r="BC30" s="125">
        <f t="shared" si="101"/>
        <v>-1.0914500066287247E-2</v>
      </c>
      <c r="BD30">
        <v>317</v>
      </c>
      <c r="BE30" s="1">
        <v>237043.16325152971</v>
      </c>
      <c r="BF30" s="13">
        <f t="shared" si="79"/>
        <v>1.5233799622188515E-2</v>
      </c>
      <c r="BG30">
        <v>277</v>
      </c>
      <c r="BH30" s="1">
        <v>241426.35248341071</v>
      </c>
      <c r="BI30" s="13">
        <f t="shared" si="23"/>
        <v>1.8491101670078169E-2</v>
      </c>
      <c r="BJ30">
        <v>285</v>
      </c>
      <c r="BK30" s="1">
        <v>247062.37344144619</v>
      </c>
      <c r="BL30" s="13">
        <f t="shared" si="80"/>
        <v>2.3344680065208623E-2</v>
      </c>
      <c r="BM30" s="1">
        <v>250355.39414160521</v>
      </c>
      <c r="BN30" s="109">
        <f t="shared" si="81"/>
        <v>1.3328701794162345E-2</v>
      </c>
      <c r="BO30">
        <v>262</v>
      </c>
      <c r="BP30" s="13">
        <f t="shared" si="82"/>
        <v>-8.0701754385964941E-2</v>
      </c>
      <c r="BQ30" s="1">
        <v>254868.56306755019</v>
      </c>
      <c r="BR30" s="13">
        <f t="shared" si="5"/>
        <v>1.8027048873539453E-2</v>
      </c>
      <c r="BS30">
        <v>296</v>
      </c>
      <c r="BT30" s="13">
        <f t="shared" si="6"/>
        <v>0.12977099236641232</v>
      </c>
      <c r="BU30" s="1">
        <v>260744.3320507679</v>
      </c>
      <c r="BV30" s="13">
        <f t="shared" si="83"/>
        <v>2.3054114295219641E-2</v>
      </c>
      <c r="BW30">
        <v>287</v>
      </c>
      <c r="BX30" s="13">
        <f t="shared" si="84"/>
        <v>-3.0405405405405372E-2</v>
      </c>
      <c r="BY30" s="1">
        <v>264758.90203137492</v>
      </c>
      <c r="BZ30" s="13">
        <f t="shared" si="85"/>
        <v>1.5396576213305257E-2</v>
      </c>
      <c r="CA30">
        <v>267</v>
      </c>
      <c r="CB30" s="13">
        <f t="shared" si="86"/>
        <v>-6.9686411149825767E-2</v>
      </c>
      <c r="CC30" s="1">
        <v>261743.41746986561</v>
      </c>
      <c r="CD30" s="13">
        <f t="shared" si="87"/>
        <v>-1.1389549278127631E-2</v>
      </c>
      <c r="CE30">
        <v>309</v>
      </c>
      <c r="CF30" s="13">
        <f t="shared" si="88"/>
        <v>0.15730337078651679</v>
      </c>
      <c r="CG30" s="1">
        <v>255951.86823978549</v>
      </c>
      <c r="CH30" s="13">
        <f t="shared" si="89"/>
        <v>-2.2126819027824873E-2</v>
      </c>
      <c r="CI30">
        <v>355</v>
      </c>
      <c r="CJ30" s="13">
        <f t="shared" si="90"/>
        <v>0.14886731391585761</v>
      </c>
      <c r="CK30" s="1">
        <v>253647.24273073761</v>
      </c>
      <c r="CL30" s="13">
        <f t="shared" si="91"/>
        <v>-9.0041363045993972E-3</v>
      </c>
      <c r="CM30">
        <v>359</v>
      </c>
      <c r="CN30" s="13">
        <f t="shared" si="92"/>
        <v>1.1267605633802802E-2</v>
      </c>
      <c r="CO30" s="1">
        <v>251894.97566020291</v>
      </c>
      <c r="CP30" s="13">
        <v>-6.9082835345261051E-3</v>
      </c>
      <c r="CQ30">
        <v>357</v>
      </c>
      <c r="CR30" s="13">
        <v>-5.5710306406685506E-3</v>
      </c>
      <c r="CS30" s="1">
        <v>251918.6985628714</v>
      </c>
      <c r="CT30" s="13">
        <f t="shared" si="24"/>
        <v>9.4177752479218668E-5</v>
      </c>
      <c r="CU30">
        <v>412</v>
      </c>
      <c r="CV30" s="13">
        <f t="shared" si="25"/>
        <v>0.15406162464985984</v>
      </c>
      <c r="CW30" s="1">
        <v>248528.19437028209</v>
      </c>
      <c r="CX30" s="13">
        <f t="shared" si="26"/>
        <v>-1.3458723834043451E-2</v>
      </c>
      <c r="CY30">
        <v>437</v>
      </c>
      <c r="CZ30" s="13">
        <f t="shared" si="27"/>
        <v>6.0679611650485521E-2</v>
      </c>
      <c r="DA30" s="1">
        <v>247301.63886559769</v>
      </c>
      <c r="DB30" s="13">
        <f t="shared" si="28"/>
        <v>-4.9352770931774259E-3</v>
      </c>
      <c r="DC30">
        <v>412</v>
      </c>
      <c r="DD30" s="13">
        <f t="shared" si="29"/>
        <v>-5.7208237986270061E-2</v>
      </c>
      <c r="DE30" s="1">
        <v>246056.32030653459</v>
      </c>
      <c r="DF30" s="13">
        <f t="shared" si="30"/>
        <v>-5.0356259860449004E-3</v>
      </c>
      <c r="DG30" s="1">
        <v>376</v>
      </c>
      <c r="DH30" s="13">
        <f t="shared" si="31"/>
        <v>-8.737864077669899E-2</v>
      </c>
      <c r="DI30" s="1">
        <v>247223.7807607062</v>
      </c>
      <c r="DJ30" s="13">
        <f t="shared" si="32"/>
        <v>4.7446879345232063E-3</v>
      </c>
      <c r="DK30" s="1">
        <v>366</v>
      </c>
      <c r="DL30" s="13">
        <f t="shared" si="33"/>
        <v>-2.6595744680851019E-2</v>
      </c>
      <c r="DM30" s="1">
        <v>246953.24138213729</v>
      </c>
      <c r="DN30" s="13">
        <f t="shared" si="34"/>
        <v>-1.0943096887219284E-3</v>
      </c>
      <c r="DO30" s="1">
        <v>386</v>
      </c>
      <c r="DP30" s="13">
        <f t="shared" si="35"/>
        <v>5.464480874316946E-2</v>
      </c>
      <c r="DQ30" s="1">
        <v>248654.54449072501</v>
      </c>
      <c r="DR30" s="13">
        <f t="shared" si="36"/>
        <v>6.8891709987928262E-3</v>
      </c>
      <c r="DS30">
        <v>412</v>
      </c>
      <c r="DT30" s="13">
        <f t="shared" si="37"/>
        <v>6.7357512953367893E-2</v>
      </c>
      <c r="DU30" s="1">
        <v>252717.89040407829</v>
      </c>
      <c r="DV30" s="13">
        <f t="shared" si="38"/>
        <v>1.6341329782150193E-2</v>
      </c>
      <c r="DW30">
        <v>417</v>
      </c>
      <c r="DX30" s="13">
        <f t="shared" si="39"/>
        <v>1.2135922330097193E-2</v>
      </c>
      <c r="DY30" s="1">
        <v>254320.13336467679</v>
      </c>
      <c r="DZ30" s="13">
        <f t="shared" si="40"/>
        <v>6.3400456455084964E-3</v>
      </c>
      <c r="EA30" s="1">
        <v>408</v>
      </c>
      <c r="EB30" s="13">
        <f t="shared" si="41"/>
        <v>-2.1582733812949617E-2</v>
      </c>
      <c r="EC30" s="1">
        <v>255703.1029180623</v>
      </c>
      <c r="ED30" s="13">
        <f t="shared" si="42"/>
        <v>5.437908257945212E-3</v>
      </c>
      <c r="EE30" s="1">
        <f>IFERROR(VLOOKUP($A30,[1]Москва_продажа_районы!$C$2:$F$148,2,0),"")</f>
        <v>422</v>
      </c>
      <c r="EF30" s="13">
        <v>3.4313725490196179E-2</v>
      </c>
      <c r="EG30" s="1">
        <v>254970.3167526061</v>
      </c>
      <c r="EH30" s="13">
        <f t="shared" si="43"/>
        <v>-2.8657695471572264E-3</v>
      </c>
      <c r="EI30" s="1">
        <f>IFERROR(VLOOKUP($A30,[2]Москва_продажа_районы!$C$2:$F$150,2,0),"")</f>
        <v>384</v>
      </c>
      <c r="EJ30" s="13">
        <v>-9.0047393364928952E-2</v>
      </c>
      <c r="EK30" s="1">
        <v>259812.14022855891</v>
      </c>
      <c r="EL30" s="13">
        <f t="shared" si="44"/>
        <v>1.8989753543157573E-2</v>
      </c>
      <c r="EM30">
        <v>357</v>
      </c>
      <c r="EN30" s="13">
        <f t="shared" si="45"/>
        <v>-7.03125E-2</v>
      </c>
      <c r="EO30" s="1">
        <v>260031.71579935629</v>
      </c>
      <c r="EP30" s="13">
        <f t="shared" si="46"/>
        <v>8.4513206582337297E-4</v>
      </c>
      <c r="EQ30">
        <v>314</v>
      </c>
      <c r="ER30" s="13">
        <f t="shared" si="47"/>
        <v>-0.1204481792717087</v>
      </c>
      <c r="ES30" s="183">
        <v>262991.81988992862</v>
      </c>
      <c r="ET30" s="13">
        <f t="shared" si="48"/>
        <v>1.1383627114380124E-2</v>
      </c>
      <c r="EU30">
        <v>290</v>
      </c>
      <c r="EV30" s="13">
        <f t="shared" si="49"/>
        <v>-7.6433121019108263E-2</v>
      </c>
      <c r="EW30" s="183">
        <v>261440.78914872129</v>
      </c>
      <c r="EX30" s="13">
        <f t="shared" si="50"/>
        <v>-5.8976387244914497E-3</v>
      </c>
      <c r="EY30">
        <v>291</v>
      </c>
      <c r="EZ30" s="13">
        <f t="shared" si="51"/>
        <v>3.4482758620688614E-3</v>
      </c>
      <c r="FA30" s="1">
        <v>275139.90840244899</v>
      </c>
      <c r="FB30" s="13">
        <f t="shared" si="52"/>
        <v>5.2398553792365243E-2</v>
      </c>
      <c r="FC30" s="1">
        <v>288</v>
      </c>
      <c r="FD30" s="13">
        <f t="shared" si="53"/>
        <v>-1.0309278350515427E-2</v>
      </c>
      <c r="FE30" s="1">
        <v>282250.49710839958</v>
      </c>
      <c r="FF30" s="13">
        <f t="shared" si="54"/>
        <v>2.5843538101168129E-2</v>
      </c>
      <c r="FG30" s="1">
        <v>293</v>
      </c>
      <c r="FH30" s="13">
        <f t="shared" si="55"/>
        <v>1.736111111111116E-2</v>
      </c>
      <c r="FI30" s="1">
        <v>268951.07545390801</v>
      </c>
      <c r="FJ30" s="13">
        <f t="shared" si="56"/>
        <v>-4.7119214282141275E-2</v>
      </c>
      <c r="FK30" s="1">
        <v>312</v>
      </c>
      <c r="FL30" s="13">
        <f t="shared" si="57"/>
        <v>6.4846416382252636E-2</v>
      </c>
      <c r="FM30" s="1">
        <v>267344.64441918052</v>
      </c>
      <c r="FN30" s="13">
        <f t="shared" si="58"/>
        <v>-5.9729489165132321E-3</v>
      </c>
      <c r="FO30" s="1">
        <v>314</v>
      </c>
      <c r="FP30" s="13">
        <f t="shared" si="59"/>
        <v>6.4102564102563875E-3</v>
      </c>
      <c r="FQ30" s="1">
        <v>269768.03744184441</v>
      </c>
      <c r="FR30" s="13">
        <f t="shared" si="60"/>
        <v>9.0646776483174207E-3</v>
      </c>
      <c r="FS30">
        <v>333</v>
      </c>
      <c r="FT30" s="13">
        <f t="shared" si="61"/>
        <v>6.0509554140127486E-2</v>
      </c>
      <c r="FU30" s="1">
        <v>273054.37822251598</v>
      </c>
      <c r="FV30" s="13">
        <f t="shared" si="62"/>
        <v>1.2182098412529818E-2</v>
      </c>
      <c r="FW30" s="1">
        <v>336</v>
      </c>
      <c r="FX30" s="13">
        <f t="shared" si="63"/>
        <v>9.009009009008917E-3</v>
      </c>
      <c r="FY30" s="1">
        <v>273774.09921712929</v>
      </c>
      <c r="FZ30" s="13">
        <f t="shared" si="64"/>
        <v>2.6358156177477277E-3</v>
      </c>
      <c r="GA30" s="1">
        <v>334</v>
      </c>
      <c r="GB30" s="13">
        <f t="shared" si="65"/>
        <v>-5.9523809523809312E-3</v>
      </c>
      <c r="GC30" s="1">
        <v>272134.21130748792</v>
      </c>
      <c r="GD30" s="13">
        <f t="shared" si="66"/>
        <v>-5.9899308018206421E-3</v>
      </c>
      <c r="GE30" s="1">
        <v>344</v>
      </c>
      <c r="GF30" s="13">
        <f t="shared" si="67"/>
        <v>2.9940119760478945E-2</v>
      </c>
      <c r="GG30" s="1">
        <f>IFERROR(VLOOKUP(A30,[3]Москва_продажа_районы!$C$2:$F$149,3,0),"")</f>
        <v>270815.64362912328</v>
      </c>
      <c r="GH30" s="13">
        <v>-4.8452845088071683E-3</v>
      </c>
      <c r="GI30" s="1">
        <v>348</v>
      </c>
      <c r="GJ30" s="13">
        <f t="shared" si="68"/>
        <v>1.1627906976744207E-2</v>
      </c>
      <c r="GK30" s="1">
        <v>272825.64209225052</v>
      </c>
      <c r="GL30" s="13">
        <f t="shared" si="69"/>
        <v>7.4220175621755313E-3</v>
      </c>
      <c r="GM30" s="1">
        <v>370</v>
      </c>
      <c r="GN30" s="13">
        <f t="shared" si="70"/>
        <v>6.321839080459779E-2</v>
      </c>
      <c r="GO30" s="1">
        <v>272185.87941309839</v>
      </c>
      <c r="GP30" s="13">
        <f t="shared" si="71"/>
        <v>-2.3449506954181798E-3</v>
      </c>
      <c r="GQ30" s="1">
        <v>360.59000000000003</v>
      </c>
      <c r="GR30" s="13">
        <f t="shared" si="72"/>
        <v>-2.5432432432432317E-2</v>
      </c>
      <c r="GS30" s="1">
        <v>271537.25325008208</v>
      </c>
      <c r="GT30" s="13">
        <f t="shared" si="93"/>
        <v>-2.3830264979759486E-3</v>
      </c>
      <c r="GU30">
        <v>362</v>
      </c>
      <c r="GV30" s="13">
        <f t="shared" si="94"/>
        <v>3.9102581879695286E-3</v>
      </c>
      <c r="GW30">
        <v>271064.03648276569</v>
      </c>
      <c r="GX30" s="13">
        <f t="shared" si="73"/>
        <v>-1.7427323936305417E-3</v>
      </c>
      <c r="GY30">
        <v>313</v>
      </c>
      <c r="GZ30" s="13">
        <f t="shared" si="74"/>
        <v>-0.13535911602209949</v>
      </c>
      <c r="HA30">
        <v>271678.73691475258</v>
      </c>
      <c r="HB30" s="13">
        <v>2.2677314186088093E-3</v>
      </c>
      <c r="HC30">
        <v>309</v>
      </c>
      <c r="HD30" s="13">
        <v>-1.2779552715655007E-2</v>
      </c>
      <c r="HE30">
        <v>272293.38777451857</v>
      </c>
      <c r="HF30" s="13">
        <v>2.2624179821584267E-3</v>
      </c>
      <c r="HG30">
        <v>300</v>
      </c>
      <c r="HH30" s="13">
        <v>-2.9126213592232997E-2</v>
      </c>
      <c r="HI30">
        <f>VLOOKUP(A30,[4]Москва_продажа_районы!$C$4:$F$151,3,0)</f>
        <v>276550.7310082874</v>
      </c>
      <c r="HJ30" s="13">
        <f t="shared" si="75"/>
        <v>1.5635132636031113E-2</v>
      </c>
      <c r="HK30">
        <f>VLOOKUP(A30,[4]Москва_продажа_районы!$C$4:$F$151,2,0)</f>
        <v>316</v>
      </c>
      <c r="HL30" s="13">
        <f t="shared" si="76"/>
        <v>5.3333333333333233E-2</v>
      </c>
      <c r="HM30" s="1">
        <f>VLOOKUP(A30,Лист3!$C$4:$F$149,3,0)</f>
        <v>279575.14420603373</v>
      </c>
      <c r="HN30" s="13">
        <f t="shared" si="77"/>
        <v>1.0936196721373692E-2</v>
      </c>
      <c r="HO30">
        <f>VLOOKUP(A30,Лист3!$C$4:$F$149,2,0)</f>
        <v>285</v>
      </c>
      <c r="HP30" s="13">
        <f t="shared" si="78"/>
        <v>-9.8101265822784778E-2</v>
      </c>
      <c r="HQ30" s="1">
        <v>280478.82052024099</v>
      </c>
      <c r="HR30" s="13">
        <v>3.2323199430821514E-3</v>
      </c>
      <c r="HS30">
        <v>303</v>
      </c>
      <c r="HT30" s="13">
        <v>6.315789473684208E-2</v>
      </c>
      <c r="HU30" s="34">
        <v>278422.53087024891</v>
      </c>
      <c r="HV30" s="13">
        <v>-7.3313544537088049E-3</v>
      </c>
      <c r="HW30">
        <v>275</v>
      </c>
      <c r="HX30" s="13">
        <v>-9.2409240924092417E-2</v>
      </c>
      <c r="HY30">
        <v>280414.5971352788</v>
      </c>
      <c r="HZ30" s="13">
        <v>7.1548313953020415E-3</v>
      </c>
      <c r="IA30">
        <v>291</v>
      </c>
      <c r="IB30" s="13">
        <v>5.8181818181818112E-2</v>
      </c>
      <c r="IC30" s="34">
        <v>279381.00657698978</v>
      </c>
      <c r="ID30" s="13">
        <v>-3.6859370690691673E-3</v>
      </c>
      <c r="IE30">
        <v>279</v>
      </c>
      <c r="IF30" s="13">
        <v>-4.123711340206182E-2</v>
      </c>
    </row>
    <row r="31" spans="1:240" x14ac:dyDescent="0.3">
      <c r="A31" s="23" t="s">
        <v>46</v>
      </c>
      <c r="B31" s="22">
        <v>245688.8622013985</v>
      </c>
      <c r="C31">
        <v>572</v>
      </c>
      <c r="D31" s="22">
        <v>248999.37969963282</v>
      </c>
      <c r="E31">
        <v>545</v>
      </c>
      <c r="F31" s="22">
        <v>254645.04368112251</v>
      </c>
      <c r="G31">
        <v>392</v>
      </c>
      <c r="H31" s="22">
        <v>254306.07678602714</v>
      </c>
      <c r="I31">
        <v>414</v>
      </c>
      <c r="J31" s="22">
        <v>253387.72064504962</v>
      </c>
      <c r="K31">
        <v>485</v>
      </c>
      <c r="L31" s="22">
        <v>251252.42462458735</v>
      </c>
      <c r="M31">
        <v>474</v>
      </c>
      <c r="N31" s="22">
        <v>253444.79968890909</v>
      </c>
      <c r="O31" s="28">
        <v>465</v>
      </c>
      <c r="P31" s="39">
        <v>261453.73012000593</v>
      </c>
      <c r="Q31" s="28">
        <v>468</v>
      </c>
      <c r="R31" s="39">
        <v>271602.49437934021</v>
      </c>
      <c r="S31">
        <v>442</v>
      </c>
      <c r="T31" s="46">
        <v>275481.67946431442</v>
      </c>
      <c r="U31" s="47">
        <v>380</v>
      </c>
      <c r="V31" s="56">
        <v>282149.31887642719</v>
      </c>
      <c r="W31" s="47">
        <v>374</v>
      </c>
      <c r="X31" s="56">
        <v>282016.20499644388</v>
      </c>
      <c r="Y31" s="47">
        <v>371</v>
      </c>
      <c r="Z31" s="1">
        <v>286165.20745197072</v>
      </c>
      <c r="AA31" s="81">
        <v>368</v>
      </c>
      <c r="AB31" s="1">
        <v>290959.6940259189</v>
      </c>
      <c r="AC31">
        <v>386</v>
      </c>
      <c r="AD31" s="1">
        <v>293382.92995221831</v>
      </c>
      <c r="AE31">
        <v>380</v>
      </c>
      <c r="AF31" s="13">
        <f t="shared" si="19"/>
        <v>4.0305219183832897E-2</v>
      </c>
      <c r="AG31" s="85">
        <f t="shared" si="95"/>
        <v>8.4726867335562991E-2</v>
      </c>
      <c r="AH31" s="35">
        <f t="shared" si="96"/>
        <v>25.418060200668897</v>
      </c>
      <c r="AI31" s="87">
        <f t="shared" si="97"/>
        <v>405.41806020066889</v>
      </c>
      <c r="AL31" s="1">
        <v>294455.4227628432</v>
      </c>
      <c r="AM31">
        <v>392</v>
      </c>
      <c r="AN31" s="13">
        <f t="shared" si="98"/>
        <v>8.7715372566569708E-2</v>
      </c>
      <c r="AQ31" s="35">
        <f t="shared" si="99"/>
        <v>23.946296710673529</v>
      </c>
      <c r="AR31" s="87">
        <f t="shared" si="102"/>
        <v>415.94629671067355</v>
      </c>
      <c r="AS31">
        <v>416</v>
      </c>
      <c r="AT31" s="1">
        <v>294508.07862859138</v>
      </c>
      <c r="AU31" s="13">
        <f t="shared" si="100"/>
        <v>1.7882457471540825E-4</v>
      </c>
      <c r="AV31" s="35">
        <v>378</v>
      </c>
      <c r="AW31" s="1">
        <v>299738.50464868807</v>
      </c>
      <c r="AX31" s="61">
        <v>394</v>
      </c>
      <c r="AY31" s="121">
        <v>305805.94154842058</v>
      </c>
      <c r="AZ31" s="122">
        <v>368</v>
      </c>
      <c r="BA31" s="119">
        <v>309559.65707679797</v>
      </c>
      <c r="BB31" s="35">
        <v>400</v>
      </c>
      <c r="BC31" s="125">
        <f t="shared" si="101"/>
        <v>1.2274828635999713E-2</v>
      </c>
      <c r="BD31">
        <v>397</v>
      </c>
      <c r="BE31" s="1">
        <v>313384.30484403181</v>
      </c>
      <c r="BF31" s="13">
        <f t="shared" si="79"/>
        <v>1.2355123414175884E-2</v>
      </c>
      <c r="BG31">
        <v>386</v>
      </c>
      <c r="BH31" s="1">
        <v>314513.89112088672</v>
      </c>
      <c r="BI31" s="13">
        <f t="shared" si="23"/>
        <v>3.6044762274138886E-3</v>
      </c>
      <c r="BJ31">
        <v>379</v>
      </c>
      <c r="BK31" s="1">
        <v>320054.61886424659</v>
      </c>
      <c r="BL31" s="13">
        <f t="shared" si="80"/>
        <v>1.7616798175792647E-2</v>
      </c>
      <c r="BM31" s="1">
        <v>326325.47258845437</v>
      </c>
      <c r="BN31" s="109">
        <f t="shared" si="81"/>
        <v>1.9593073664928573E-2</v>
      </c>
      <c r="BO31">
        <v>343</v>
      </c>
      <c r="BP31" s="13">
        <f t="shared" si="82"/>
        <v>-9.4986807387862804E-2</v>
      </c>
      <c r="BQ31" s="1">
        <v>328934.02867419447</v>
      </c>
      <c r="BR31" s="13">
        <f t="shared" si="5"/>
        <v>7.9937249919497244E-3</v>
      </c>
      <c r="BS31">
        <v>336</v>
      </c>
      <c r="BT31" s="13">
        <f t="shared" si="6"/>
        <v>-2.0408163265306145E-2</v>
      </c>
      <c r="BU31" s="1">
        <v>341297.3988095097</v>
      </c>
      <c r="BV31" s="13">
        <f t="shared" si="83"/>
        <v>3.7586169436914618E-2</v>
      </c>
      <c r="BW31">
        <v>327</v>
      </c>
      <c r="BX31" s="13">
        <f t="shared" si="84"/>
        <v>-2.6785714285714302E-2</v>
      </c>
      <c r="BY31" s="1">
        <v>347596.47396330332</v>
      </c>
      <c r="BZ31" s="13">
        <f t="shared" si="85"/>
        <v>1.8456264758435426E-2</v>
      </c>
      <c r="CA31">
        <v>297</v>
      </c>
      <c r="CB31" s="13">
        <f t="shared" si="86"/>
        <v>-9.1743119266055051E-2</v>
      </c>
      <c r="CC31" s="1">
        <v>336754.39235643082</v>
      </c>
      <c r="CD31" s="13">
        <f t="shared" si="87"/>
        <v>-3.1191575343819888E-2</v>
      </c>
      <c r="CE31">
        <v>307</v>
      </c>
      <c r="CF31" s="13">
        <f t="shared" si="88"/>
        <v>3.3670033670033739E-2</v>
      </c>
      <c r="CG31" s="1">
        <v>337211.97184272303</v>
      </c>
      <c r="CH31" s="13">
        <f t="shared" si="89"/>
        <v>1.3587929264717857E-3</v>
      </c>
      <c r="CI31">
        <v>359</v>
      </c>
      <c r="CJ31" s="13">
        <f t="shared" si="90"/>
        <v>0.16938110749185675</v>
      </c>
      <c r="CK31" s="1">
        <v>333543.13351752702</v>
      </c>
      <c r="CL31" s="13">
        <f t="shared" si="91"/>
        <v>-1.0879917178347243E-2</v>
      </c>
      <c r="CM31">
        <v>446</v>
      </c>
      <c r="CN31" s="13">
        <f t="shared" si="92"/>
        <v>0.24233983286908067</v>
      </c>
      <c r="CO31" s="1">
        <v>333159.81184463791</v>
      </c>
      <c r="CP31" s="13">
        <v>-1.1492416853156051E-3</v>
      </c>
      <c r="CQ31">
        <v>462</v>
      </c>
      <c r="CR31" s="13">
        <v>3.5874439461883512E-2</v>
      </c>
      <c r="CS31" s="1">
        <v>332661.6032244321</v>
      </c>
      <c r="CT31" s="13">
        <f t="shared" si="24"/>
        <v>-1.4954043149661977E-3</v>
      </c>
      <c r="CU31">
        <v>498</v>
      </c>
      <c r="CV31" s="13">
        <f t="shared" si="25"/>
        <v>7.7922077922077948E-2</v>
      </c>
      <c r="CW31" s="1">
        <v>325151.27502907428</v>
      </c>
      <c r="CX31" s="13">
        <f t="shared" si="26"/>
        <v>-2.2576480491170225E-2</v>
      </c>
      <c r="CY31">
        <v>502</v>
      </c>
      <c r="CZ31" s="13">
        <f t="shared" si="27"/>
        <v>8.0321285140563248E-3</v>
      </c>
      <c r="DA31" s="1">
        <v>318605.24890688958</v>
      </c>
      <c r="DB31" s="13">
        <f t="shared" si="28"/>
        <v>-2.0132248048540968E-2</v>
      </c>
      <c r="DC31">
        <v>464</v>
      </c>
      <c r="DD31" s="13">
        <f t="shared" si="29"/>
        <v>-7.569721115537853E-2</v>
      </c>
      <c r="DE31" s="1">
        <v>317997.33816167573</v>
      </c>
      <c r="DF31" s="13">
        <f t="shared" si="30"/>
        <v>-1.9080374453953608E-3</v>
      </c>
      <c r="DG31" s="1">
        <v>440</v>
      </c>
      <c r="DH31" s="13">
        <f t="shared" si="31"/>
        <v>-5.1724137931034475E-2</v>
      </c>
      <c r="DI31" s="1">
        <v>317625.8841478735</v>
      </c>
      <c r="DJ31" s="13">
        <f t="shared" si="32"/>
        <v>-1.1681041607127796E-3</v>
      </c>
      <c r="DK31" s="1">
        <v>416</v>
      </c>
      <c r="DL31" s="13">
        <f t="shared" si="33"/>
        <v>-5.4545454545454564E-2</v>
      </c>
      <c r="DM31" s="1">
        <v>317225.98290664481</v>
      </c>
      <c r="DN31" s="13">
        <f t="shared" si="34"/>
        <v>-1.2590322803871512E-3</v>
      </c>
      <c r="DO31" s="1">
        <v>437</v>
      </c>
      <c r="DP31" s="13">
        <f t="shared" si="35"/>
        <v>5.0480769230769162E-2</v>
      </c>
      <c r="DQ31" s="1">
        <v>320145.40802500362</v>
      </c>
      <c r="DR31" s="13">
        <f t="shared" si="36"/>
        <v>9.2029823396211352E-3</v>
      </c>
      <c r="DS31">
        <v>444</v>
      </c>
      <c r="DT31" s="13">
        <f t="shared" si="37"/>
        <v>1.6018306636155666E-2</v>
      </c>
      <c r="DU31" s="1">
        <v>324331.15130292211</v>
      </c>
      <c r="DV31" s="13">
        <f t="shared" si="38"/>
        <v>1.3074506686635345E-2</v>
      </c>
      <c r="DW31">
        <v>448</v>
      </c>
      <c r="DX31" s="13">
        <f t="shared" si="39"/>
        <v>9.009009009008917E-3</v>
      </c>
      <c r="DY31" s="1">
        <v>327361.89576860762</v>
      </c>
      <c r="DZ31" s="13">
        <f t="shared" si="40"/>
        <v>9.3445987334557223E-3</v>
      </c>
      <c r="EA31" s="1">
        <v>443</v>
      </c>
      <c r="EB31" s="13">
        <f t="shared" si="41"/>
        <v>-1.1160714285714302E-2</v>
      </c>
      <c r="EC31" s="1">
        <v>327024.68058225769</v>
      </c>
      <c r="ED31" s="13">
        <f t="shared" si="42"/>
        <v>-1.0300990760032658E-3</v>
      </c>
      <c r="EE31" s="1">
        <f>IFERROR(VLOOKUP($A31,[1]Москва_продажа_районы!$C$2:$F$148,2,0),"")</f>
        <v>440</v>
      </c>
      <c r="EF31" s="13">
        <v>-6.7720090293453827E-3</v>
      </c>
      <c r="EG31" s="1">
        <v>330651.09406712302</v>
      </c>
      <c r="EH31" s="13">
        <f t="shared" si="43"/>
        <v>1.1089112535508372E-2</v>
      </c>
      <c r="EI31" s="1">
        <f>IFERROR(VLOOKUP($A31,[2]Москва_продажа_районы!$C$2:$F$150,2,0),"")</f>
        <v>411</v>
      </c>
      <c r="EJ31" s="13">
        <v>-6.5909090909090917E-2</v>
      </c>
      <c r="EK31" s="1">
        <v>333634.85226671712</v>
      </c>
      <c r="EL31" s="13">
        <f t="shared" si="44"/>
        <v>9.0238872731156494E-3</v>
      </c>
      <c r="EM31">
        <v>401</v>
      </c>
      <c r="EN31" s="13">
        <f t="shared" si="45"/>
        <v>-2.4330900243308973E-2</v>
      </c>
      <c r="EO31" s="1">
        <v>340597.61833023932</v>
      </c>
      <c r="EP31" s="13">
        <f t="shared" si="46"/>
        <v>2.0869420614234802E-2</v>
      </c>
      <c r="EQ31">
        <v>390</v>
      </c>
      <c r="ER31" s="13">
        <f t="shared" si="47"/>
        <v>-2.7431421446383997E-2</v>
      </c>
      <c r="ES31" s="183">
        <v>349082.18652989721</v>
      </c>
      <c r="ET31" s="13">
        <f t="shared" si="48"/>
        <v>2.4910826567881017E-2</v>
      </c>
      <c r="EU31">
        <v>374</v>
      </c>
      <c r="EV31" s="13">
        <f t="shared" si="49"/>
        <v>-4.1025641025640991E-2</v>
      </c>
      <c r="EW31" s="183">
        <v>355071.02556861233</v>
      </c>
      <c r="EX31" s="13">
        <f t="shared" si="50"/>
        <v>1.7155957163692781E-2</v>
      </c>
      <c r="EY31">
        <v>375</v>
      </c>
      <c r="EZ31" s="13">
        <f t="shared" si="51"/>
        <v>2.673796791443861E-3</v>
      </c>
      <c r="FA31" s="1">
        <v>363657.15892172122</v>
      </c>
      <c r="FB31" s="13">
        <f t="shared" si="52"/>
        <v>2.4181453103246042E-2</v>
      </c>
      <c r="FC31" s="1">
        <v>332</v>
      </c>
      <c r="FD31" s="13">
        <f t="shared" si="53"/>
        <v>-0.11466666666666669</v>
      </c>
      <c r="FE31" s="1">
        <v>365687.43382989173</v>
      </c>
      <c r="FF31" s="13">
        <f t="shared" si="54"/>
        <v>5.5829367258724005E-3</v>
      </c>
      <c r="FG31" s="1">
        <v>334</v>
      </c>
      <c r="FH31" s="13">
        <f t="shared" si="55"/>
        <v>6.0240963855422436E-3</v>
      </c>
      <c r="FI31" s="1">
        <v>363852.20819685783</v>
      </c>
      <c r="FJ31" s="13">
        <f t="shared" si="56"/>
        <v>-5.0185635689291574E-3</v>
      </c>
      <c r="FK31" s="1">
        <v>395</v>
      </c>
      <c r="FL31" s="13">
        <f t="shared" si="57"/>
        <v>0.18263473053892221</v>
      </c>
      <c r="FM31" s="1">
        <v>371879.54894956679</v>
      </c>
      <c r="FN31" s="13">
        <f t="shared" si="58"/>
        <v>2.2062091618160196E-2</v>
      </c>
      <c r="FO31" s="1">
        <v>399</v>
      </c>
      <c r="FP31" s="13">
        <f t="shared" si="59"/>
        <v>1.0126582278481067E-2</v>
      </c>
      <c r="FQ31" s="1">
        <v>374446.85351996752</v>
      </c>
      <c r="FR31" s="13">
        <f t="shared" si="60"/>
        <v>6.9035917077249209E-3</v>
      </c>
      <c r="FS31">
        <v>388</v>
      </c>
      <c r="FT31" s="13">
        <f t="shared" si="61"/>
        <v>-2.7568922305764465E-2</v>
      </c>
      <c r="FU31" s="1">
        <v>368891.12812601752</v>
      </c>
      <c r="FV31" s="13">
        <f t="shared" si="62"/>
        <v>-1.4837153368291722E-2</v>
      </c>
      <c r="FW31" s="1">
        <v>402</v>
      </c>
      <c r="FX31" s="13">
        <f t="shared" si="63"/>
        <v>3.6082474226804218E-2</v>
      </c>
      <c r="FY31" s="1">
        <v>365460.4207190423</v>
      </c>
      <c r="FZ31" s="13">
        <f t="shared" si="64"/>
        <v>-9.300053987211232E-3</v>
      </c>
      <c r="GA31" s="1">
        <v>430</v>
      </c>
      <c r="GB31" s="13">
        <f t="shared" si="65"/>
        <v>6.9651741293532243E-2</v>
      </c>
      <c r="GC31" s="1">
        <v>366047.84213953977</v>
      </c>
      <c r="GD31" s="13">
        <f t="shared" si="66"/>
        <v>1.6073462054844168E-3</v>
      </c>
      <c r="GE31" s="1">
        <v>395</v>
      </c>
      <c r="GF31" s="13">
        <f t="shared" si="67"/>
        <v>-8.1395348837209336E-2</v>
      </c>
      <c r="GG31" s="1">
        <f>IFERROR(VLOOKUP(A31,[3]Москва_продажа_районы!$C$2:$F$149,3,0),"")</f>
        <v>369556.83712282788</v>
      </c>
      <c r="GH31" s="13">
        <v>9.5861649198043519E-3</v>
      </c>
      <c r="GI31" s="1">
        <v>395</v>
      </c>
      <c r="GJ31" s="13">
        <f t="shared" si="68"/>
        <v>0</v>
      </c>
      <c r="GK31" s="1">
        <v>371557.13559159718</v>
      </c>
      <c r="GL31" s="13">
        <f t="shared" si="69"/>
        <v>5.4126950656427919E-3</v>
      </c>
      <c r="GM31" s="1">
        <v>404</v>
      </c>
      <c r="GN31" s="13">
        <f t="shared" si="70"/>
        <v>2.2784810126582178E-2</v>
      </c>
      <c r="GO31" s="1">
        <v>371475.74168278929</v>
      </c>
      <c r="GP31" s="13">
        <f t="shared" si="71"/>
        <v>-2.1906162205254098E-4</v>
      </c>
      <c r="GQ31" s="1">
        <v>452.61</v>
      </c>
      <c r="GR31" s="13">
        <f t="shared" si="72"/>
        <v>0.12032178217821787</v>
      </c>
      <c r="GS31" s="1">
        <v>375206.6807848122</v>
      </c>
      <c r="GT31" s="13">
        <f t="shared" si="93"/>
        <v>1.0043560543473662E-2</v>
      </c>
      <c r="GU31">
        <v>460</v>
      </c>
      <c r="GV31" s="13">
        <f t="shared" si="94"/>
        <v>1.6327522591193189E-2</v>
      </c>
      <c r="GW31">
        <v>387419.48446438648</v>
      </c>
      <c r="GX31" s="13">
        <f t="shared" si="73"/>
        <v>3.2549536842011895E-2</v>
      </c>
      <c r="GY31">
        <v>417</v>
      </c>
      <c r="GZ31" s="13">
        <f t="shared" si="74"/>
        <v>-9.3478260869565233E-2</v>
      </c>
      <c r="HA31">
        <v>384921.81954273919</v>
      </c>
      <c r="HB31" s="13">
        <v>-6.4469264500218726E-3</v>
      </c>
      <c r="HC31">
        <v>365</v>
      </c>
      <c r="HD31" s="13">
        <v>-0.12470023980815348</v>
      </c>
      <c r="HE31">
        <v>383103.21945590148</v>
      </c>
      <c r="HF31" s="13">
        <v>-4.7245959945790839E-3</v>
      </c>
      <c r="HG31">
        <v>359</v>
      </c>
      <c r="HH31" s="13">
        <v>-1.6438356164383605E-2</v>
      </c>
      <c r="HI31">
        <f>VLOOKUP(A31,[4]Москва_продажа_районы!$C$4:$F$151,3,0)</f>
        <v>382447.56427158997</v>
      </c>
      <c r="HJ31" s="13">
        <f t="shared" si="75"/>
        <v>-1.7114321963743739E-3</v>
      </c>
      <c r="HK31">
        <f>VLOOKUP(A31,[4]Москва_продажа_районы!$C$4:$F$151,2,0)</f>
        <v>348</v>
      </c>
      <c r="HL31" s="13">
        <f t="shared" si="76"/>
        <v>-3.0640668523676862E-2</v>
      </c>
      <c r="HM31" s="1">
        <f>VLOOKUP(A31,Лист3!$C$4:$F$149,3,0)</f>
        <v>375766.97795527033</v>
      </c>
      <c r="HN31" s="13">
        <f t="shared" si="77"/>
        <v>-1.7467979771406017E-2</v>
      </c>
      <c r="HO31">
        <f>VLOOKUP(A31,Лист3!$C$4:$F$149,2,0)</f>
        <v>334</v>
      </c>
      <c r="HP31" s="13">
        <f t="shared" si="78"/>
        <v>-4.0229885057471271E-2</v>
      </c>
      <c r="HQ31" s="1">
        <v>382022.68774727941</v>
      </c>
      <c r="HR31" s="13">
        <v>1.6647843368380766E-2</v>
      </c>
      <c r="HS31">
        <v>342</v>
      </c>
      <c r="HT31" s="13">
        <v>2.39520958083832E-2</v>
      </c>
      <c r="HU31" s="34">
        <v>384486.70831464871</v>
      </c>
      <c r="HV31" s="13">
        <v>6.4499325469364877E-3</v>
      </c>
      <c r="HW31">
        <v>330</v>
      </c>
      <c r="HX31" s="13">
        <v>-3.5087719298245612E-2</v>
      </c>
      <c r="HY31">
        <v>386651.51758622471</v>
      </c>
      <c r="HZ31" s="13">
        <v>5.6303877995294016E-3</v>
      </c>
      <c r="IA31">
        <v>367</v>
      </c>
      <c r="IB31" s="13">
        <v>0.11212121212121207</v>
      </c>
      <c r="IC31" s="34">
        <v>389229.62797183217</v>
      </c>
      <c r="ID31" s="13">
        <v>6.6677880943077916E-3</v>
      </c>
      <c r="IE31">
        <v>397</v>
      </c>
      <c r="IF31" s="13">
        <v>8.1743869209809361E-2</v>
      </c>
    </row>
    <row r="32" spans="1:240" x14ac:dyDescent="0.3">
      <c r="A32" s="23" t="s">
        <v>47</v>
      </c>
      <c r="B32" s="22">
        <v>249929.51960935246</v>
      </c>
      <c r="C32">
        <v>417</v>
      </c>
      <c r="D32" s="22">
        <v>253753.11523587225</v>
      </c>
      <c r="E32">
        <v>407</v>
      </c>
      <c r="F32" s="22">
        <v>264656.26313317847</v>
      </c>
      <c r="G32">
        <v>280</v>
      </c>
      <c r="H32" s="22">
        <v>257949.84184696231</v>
      </c>
      <c r="I32">
        <v>288</v>
      </c>
      <c r="J32" s="22">
        <v>257506.68561798029</v>
      </c>
      <c r="K32">
        <v>340</v>
      </c>
      <c r="L32" s="22">
        <v>272213.64258662611</v>
      </c>
      <c r="M32">
        <v>339</v>
      </c>
      <c r="N32" s="22">
        <v>263583.48793275864</v>
      </c>
      <c r="O32" s="28">
        <v>329</v>
      </c>
      <c r="P32" s="39">
        <v>268789.03276627127</v>
      </c>
      <c r="Q32" s="28">
        <v>328</v>
      </c>
      <c r="R32" s="39">
        <v>272845.31623644329</v>
      </c>
      <c r="S32">
        <v>302</v>
      </c>
      <c r="T32" s="46">
        <v>280313.48546182574</v>
      </c>
      <c r="U32" s="47">
        <v>260</v>
      </c>
      <c r="V32" s="56">
        <v>279670.22409625241</v>
      </c>
      <c r="W32" s="47">
        <v>258</v>
      </c>
      <c r="X32" s="56">
        <v>279807.61332901701</v>
      </c>
      <c r="Y32" s="47">
        <v>255</v>
      </c>
      <c r="Z32" s="1">
        <v>281137</v>
      </c>
      <c r="AA32" s="81">
        <v>308</v>
      </c>
      <c r="AB32" s="1">
        <v>281452</v>
      </c>
      <c r="AC32">
        <v>329</v>
      </c>
      <c r="AD32" s="1">
        <v>311413.74014724127</v>
      </c>
      <c r="AE32">
        <v>307</v>
      </c>
      <c r="AF32" s="13">
        <f t="shared" si="19"/>
        <v>0.11295663631946851</v>
      </c>
      <c r="AG32" s="85">
        <f t="shared" si="95"/>
        <v>6.8450390189520621E-2</v>
      </c>
      <c r="AH32" s="35">
        <f t="shared" si="96"/>
        <v>20.535117056856187</v>
      </c>
      <c r="AI32" s="87">
        <f t="shared" si="97"/>
        <v>327.53511705685617</v>
      </c>
      <c r="AL32" s="1">
        <v>316695.40087391587</v>
      </c>
      <c r="AM32">
        <v>298</v>
      </c>
      <c r="AN32" s="13">
        <f t="shared" si="98"/>
        <v>6.6681584247035131E-2</v>
      </c>
      <c r="AQ32" s="35">
        <f t="shared" si="99"/>
        <v>18.204072499440592</v>
      </c>
      <c r="AR32" s="87">
        <f t="shared" si="102"/>
        <v>316.2040724994406</v>
      </c>
      <c r="AS32">
        <v>308</v>
      </c>
      <c r="AT32" s="1">
        <v>318876.9801508417</v>
      </c>
      <c r="AU32" s="13">
        <f t="shared" si="100"/>
        <v>6.8885726502683209E-3</v>
      </c>
      <c r="AV32" s="35">
        <v>293</v>
      </c>
      <c r="AW32" s="1">
        <v>317729.43117693858</v>
      </c>
      <c r="AX32" s="61">
        <v>306</v>
      </c>
      <c r="AY32" s="121">
        <v>321984.59735026478</v>
      </c>
      <c r="AZ32" s="122">
        <v>268</v>
      </c>
      <c r="BA32" s="119">
        <v>324918.32136170421</v>
      </c>
      <c r="BB32" s="35">
        <v>282</v>
      </c>
      <c r="BC32" s="125">
        <f t="shared" si="101"/>
        <v>9.1113799715332178E-3</v>
      </c>
      <c r="BD32">
        <v>306</v>
      </c>
      <c r="BE32" s="1">
        <v>328200.65962367051</v>
      </c>
      <c r="BF32" s="13">
        <f t="shared" si="79"/>
        <v>1.0102041178257748E-2</v>
      </c>
      <c r="BG32">
        <v>288</v>
      </c>
      <c r="BH32" s="1">
        <v>331907.88549883588</v>
      </c>
      <c r="BI32" s="13">
        <f t="shared" si="23"/>
        <v>1.1295607630454674E-2</v>
      </c>
      <c r="BJ32">
        <v>275</v>
      </c>
      <c r="BK32" s="1">
        <v>339842.24647299829</v>
      </c>
      <c r="BL32" s="13">
        <f t="shared" si="80"/>
        <v>2.3905310240633693E-2</v>
      </c>
      <c r="BM32" s="1">
        <v>350692.33092965558</v>
      </c>
      <c r="BN32" s="109">
        <f t="shared" si="81"/>
        <v>3.1926826547503229E-2</v>
      </c>
      <c r="BO32">
        <v>276</v>
      </c>
      <c r="BP32" s="13">
        <f t="shared" si="82"/>
        <v>3.6363636363636598E-3</v>
      </c>
      <c r="BQ32" s="1">
        <v>358051.33280331868</v>
      </c>
      <c r="BR32" s="13">
        <f t="shared" si="5"/>
        <v>2.0984211015265153E-2</v>
      </c>
      <c r="BS32">
        <v>307</v>
      </c>
      <c r="BT32" s="13">
        <f t="shared" si="6"/>
        <v>0.1123188405797102</v>
      </c>
      <c r="BU32" s="1">
        <v>374571.18201228778</v>
      </c>
      <c r="BV32" s="13">
        <f t="shared" si="83"/>
        <v>4.6138214539320321E-2</v>
      </c>
      <c r="BW32">
        <v>274</v>
      </c>
      <c r="BX32" s="13">
        <f t="shared" si="84"/>
        <v>-0.10749185667752448</v>
      </c>
      <c r="BY32" s="1">
        <v>385921.83151268959</v>
      </c>
      <c r="BZ32" s="13">
        <f t="shared" si="85"/>
        <v>3.030305064960781E-2</v>
      </c>
      <c r="CA32">
        <v>276</v>
      </c>
      <c r="CB32" s="13">
        <f t="shared" si="86"/>
        <v>7.2992700729928028E-3</v>
      </c>
      <c r="CC32" s="1">
        <v>376669.07183678832</v>
      </c>
      <c r="CD32" s="13">
        <f t="shared" si="87"/>
        <v>-2.3975735292386613E-2</v>
      </c>
      <c r="CE32">
        <v>285</v>
      </c>
      <c r="CF32" s="13">
        <f t="shared" si="88"/>
        <v>3.2608695652173836E-2</v>
      </c>
      <c r="CG32" s="1">
        <v>369007.92754280748</v>
      </c>
      <c r="CH32" s="13">
        <f t="shared" si="89"/>
        <v>-2.0339191260440037E-2</v>
      </c>
      <c r="CI32">
        <v>312</v>
      </c>
      <c r="CJ32" s="13">
        <f t="shared" si="90"/>
        <v>9.473684210526323E-2</v>
      </c>
      <c r="CK32" s="1">
        <v>358183.76517960901</v>
      </c>
      <c r="CL32" s="13">
        <f t="shared" si="91"/>
        <v>-2.9333143152982188E-2</v>
      </c>
      <c r="CM32">
        <v>308</v>
      </c>
      <c r="CN32" s="13">
        <f t="shared" si="92"/>
        <v>-1.2820512820512775E-2</v>
      </c>
      <c r="CO32" s="1">
        <v>345374.68760518258</v>
      </c>
      <c r="CP32" s="13">
        <v>-3.5761189701055796E-2</v>
      </c>
      <c r="CQ32">
        <v>289</v>
      </c>
      <c r="CR32" s="13">
        <v>-6.1688311688311681E-2</v>
      </c>
      <c r="CS32" s="1">
        <v>350987.89548382279</v>
      </c>
      <c r="CT32" s="13">
        <f t="shared" si="24"/>
        <v>1.6252516701678488E-2</v>
      </c>
      <c r="CU32">
        <v>328</v>
      </c>
      <c r="CV32" s="13">
        <f t="shared" si="25"/>
        <v>0.13494809688581322</v>
      </c>
      <c r="CW32" s="1">
        <v>341857.32870502182</v>
      </c>
      <c r="CX32" s="13">
        <f t="shared" si="26"/>
        <v>-2.6013907876266895E-2</v>
      </c>
      <c r="CY32">
        <v>349</v>
      </c>
      <c r="CZ32" s="13">
        <f t="shared" si="27"/>
        <v>6.4024390243902385E-2</v>
      </c>
      <c r="DA32" s="1">
        <v>337474.26840628299</v>
      </c>
      <c r="DB32" s="13">
        <f t="shared" si="28"/>
        <v>-1.2821314421844199E-2</v>
      </c>
      <c r="DC32">
        <v>362</v>
      </c>
      <c r="DD32" s="13">
        <f t="shared" si="29"/>
        <v>3.7249283667621702E-2</v>
      </c>
      <c r="DE32" s="1">
        <v>331756.21339089179</v>
      </c>
      <c r="DF32" s="13">
        <f t="shared" si="30"/>
        <v>-1.6943677046533434E-2</v>
      </c>
      <c r="DG32" s="1">
        <v>364</v>
      </c>
      <c r="DH32" s="13">
        <f t="shared" si="31"/>
        <v>5.5248618784531356E-3</v>
      </c>
      <c r="DI32" s="1">
        <v>334849.33730070252</v>
      </c>
      <c r="DJ32" s="13">
        <f t="shared" si="32"/>
        <v>9.3234844893959057E-3</v>
      </c>
      <c r="DK32" s="1">
        <v>350</v>
      </c>
      <c r="DL32" s="13">
        <f t="shared" si="33"/>
        <v>-3.8461538461538436E-2</v>
      </c>
      <c r="DM32" s="1">
        <v>329909.37359030702</v>
      </c>
      <c r="DN32" s="13">
        <f t="shared" si="34"/>
        <v>-1.4752795242832795E-2</v>
      </c>
      <c r="DO32" s="1">
        <v>335</v>
      </c>
      <c r="DP32" s="13">
        <f t="shared" si="35"/>
        <v>-4.2857142857142816E-2</v>
      </c>
      <c r="DQ32" s="1">
        <v>329271.15343828639</v>
      </c>
      <c r="DR32" s="13">
        <f t="shared" si="36"/>
        <v>-1.9345317323817834E-3</v>
      </c>
      <c r="DS32">
        <v>368</v>
      </c>
      <c r="DT32" s="13">
        <f t="shared" si="37"/>
        <v>9.8507462686567182E-2</v>
      </c>
      <c r="DU32" s="1">
        <v>329934.26517224958</v>
      </c>
      <c r="DV32" s="13">
        <f t="shared" si="38"/>
        <v>2.0138773987301573E-3</v>
      </c>
      <c r="DW32">
        <v>355</v>
      </c>
      <c r="DX32" s="13">
        <f t="shared" si="39"/>
        <v>-3.5326086956521729E-2</v>
      </c>
      <c r="DY32" s="1">
        <v>326574.55601208139</v>
      </c>
      <c r="DZ32" s="13">
        <f t="shared" si="40"/>
        <v>-1.0182965259501575E-2</v>
      </c>
      <c r="EA32" s="1">
        <v>343</v>
      </c>
      <c r="EB32" s="13">
        <f t="shared" si="41"/>
        <v>-3.3802816901408406E-2</v>
      </c>
      <c r="EC32" s="1">
        <v>326900.25185500982</v>
      </c>
      <c r="ED32" s="13">
        <f t="shared" si="42"/>
        <v>9.9730930328933987E-4</v>
      </c>
      <c r="EE32" s="1">
        <f>IFERROR(VLOOKUP($A32,[1]Москва_продажа_районы!$C$2:$F$148,2,0),"")</f>
        <v>320</v>
      </c>
      <c r="EF32" s="13">
        <v>-6.7055393586005874E-2</v>
      </c>
      <c r="EG32" s="1">
        <v>332578.35461097542</v>
      </c>
      <c r="EH32" s="13">
        <f t="shared" si="43"/>
        <v>1.7369527015488551E-2</v>
      </c>
      <c r="EI32" s="1">
        <f>IFERROR(VLOOKUP($A32,[2]Москва_продажа_районы!$C$2:$F$150,2,0),"")</f>
        <v>290</v>
      </c>
      <c r="EJ32" s="13">
        <v>-9.375E-2</v>
      </c>
      <c r="EK32" s="1">
        <v>340090.25269730639</v>
      </c>
      <c r="EL32" s="13">
        <f t="shared" si="44"/>
        <v>2.2586852037072003E-2</v>
      </c>
      <c r="EM32">
        <v>260</v>
      </c>
      <c r="EN32" s="13">
        <f t="shared" si="45"/>
        <v>-0.10344827586206895</v>
      </c>
      <c r="EO32" s="1">
        <v>348709.20031683421</v>
      </c>
      <c r="EP32" s="13">
        <f t="shared" si="46"/>
        <v>2.5343118631509398E-2</v>
      </c>
      <c r="EQ32">
        <v>249</v>
      </c>
      <c r="ER32" s="13">
        <f t="shared" si="47"/>
        <v>-4.2307692307692268E-2</v>
      </c>
      <c r="ES32" s="183">
        <v>355736.9104241514</v>
      </c>
      <c r="ET32" s="13">
        <f t="shared" si="48"/>
        <v>2.0153497816896904E-2</v>
      </c>
      <c r="EU32">
        <v>247</v>
      </c>
      <c r="EV32" s="13">
        <f t="shared" si="49"/>
        <v>-8.0321285140562138E-3</v>
      </c>
      <c r="EW32" s="183">
        <v>356781.66342234547</v>
      </c>
      <c r="EX32" s="13">
        <f t="shared" si="50"/>
        <v>2.9368698259295556E-3</v>
      </c>
      <c r="EY32">
        <v>236</v>
      </c>
      <c r="EZ32" s="13">
        <f t="shared" si="51"/>
        <v>-4.4534412955465563E-2</v>
      </c>
      <c r="FA32" s="1">
        <v>357405.06374321959</v>
      </c>
      <c r="FB32" s="13">
        <f t="shared" si="52"/>
        <v>1.7472880049222983E-3</v>
      </c>
      <c r="FC32" s="1">
        <v>222</v>
      </c>
      <c r="FD32" s="13">
        <f t="shared" si="53"/>
        <v>-5.9322033898305038E-2</v>
      </c>
      <c r="FE32" s="1">
        <v>354818.63319202152</v>
      </c>
      <c r="FF32" s="13">
        <f t="shared" si="54"/>
        <v>-7.2366925194331522E-3</v>
      </c>
      <c r="FG32" s="1">
        <v>214</v>
      </c>
      <c r="FH32" s="13">
        <f t="shared" si="55"/>
        <v>-3.6036036036036001E-2</v>
      </c>
      <c r="FI32" s="1">
        <v>356946.08086324402</v>
      </c>
      <c r="FJ32" s="13">
        <f t="shared" si="56"/>
        <v>5.9958735878202774E-3</v>
      </c>
      <c r="FK32" s="1">
        <v>227</v>
      </c>
      <c r="FL32" s="13">
        <f t="shared" si="57"/>
        <v>6.0747663551401931E-2</v>
      </c>
      <c r="FM32" s="1">
        <v>363367.11579461943</v>
      </c>
      <c r="FN32" s="13">
        <f t="shared" si="58"/>
        <v>1.7988809166489927E-2</v>
      </c>
      <c r="FO32" s="1">
        <v>241</v>
      </c>
      <c r="FP32" s="13">
        <f t="shared" si="59"/>
        <v>6.1674008810572722E-2</v>
      </c>
      <c r="FQ32" s="1">
        <v>367268.37481075258</v>
      </c>
      <c r="FR32" s="13">
        <f t="shared" si="60"/>
        <v>1.0736411872609208E-2</v>
      </c>
      <c r="FS32">
        <v>248</v>
      </c>
      <c r="FT32" s="13">
        <f t="shared" si="61"/>
        <v>2.9045643153526868E-2</v>
      </c>
      <c r="FU32" s="1">
        <v>372590.74140459712</v>
      </c>
      <c r="FV32" s="13">
        <f t="shared" si="62"/>
        <v>1.4491763949419978E-2</v>
      </c>
      <c r="FW32" s="1">
        <v>252</v>
      </c>
      <c r="FX32" s="13">
        <f t="shared" si="63"/>
        <v>1.6129032258064502E-2</v>
      </c>
      <c r="FY32" s="1">
        <v>375596.34125435358</v>
      </c>
      <c r="FZ32" s="13">
        <f t="shared" si="64"/>
        <v>8.0667593575349805E-3</v>
      </c>
      <c r="GA32" s="1">
        <v>266</v>
      </c>
      <c r="GB32" s="13">
        <f t="shared" si="65"/>
        <v>5.555555555555558E-2</v>
      </c>
      <c r="GC32" s="1">
        <v>379713.00070956908</v>
      </c>
      <c r="GD32" s="13">
        <f t="shared" si="66"/>
        <v>1.0960328957059007E-2</v>
      </c>
      <c r="GE32" s="1">
        <v>269</v>
      </c>
      <c r="GF32" s="13">
        <f t="shared" si="67"/>
        <v>1.1278195488721776E-2</v>
      </c>
      <c r="GG32" s="1">
        <f>IFERROR(VLOOKUP(A32,[3]Москва_продажа_районы!$C$2:$F$149,3,0),"")</f>
        <v>381430.81518641079</v>
      </c>
      <c r="GH32" s="13">
        <v>4.5239812006216962E-3</v>
      </c>
      <c r="GI32" s="1">
        <v>276</v>
      </c>
      <c r="GJ32" s="13">
        <f t="shared" si="68"/>
        <v>2.6022304832713727E-2</v>
      </c>
      <c r="GK32" s="1">
        <v>380630.72391997738</v>
      </c>
      <c r="GL32" s="13">
        <f t="shared" si="69"/>
        <v>-2.0976052132610779E-3</v>
      </c>
      <c r="GM32" s="1">
        <v>261</v>
      </c>
      <c r="GN32" s="13">
        <f t="shared" si="70"/>
        <v>-5.4347826086956541E-2</v>
      </c>
      <c r="GO32" s="1">
        <v>380104.84385990811</v>
      </c>
      <c r="GP32" s="13">
        <f t="shared" si="71"/>
        <v>-1.3816017126873081E-3</v>
      </c>
      <c r="GQ32" s="1">
        <v>258.94</v>
      </c>
      <c r="GR32" s="13">
        <f t="shared" si="72"/>
        <v>-7.8927203065134455E-3</v>
      </c>
      <c r="GS32" s="1">
        <v>381986.59927360318</v>
      </c>
      <c r="GT32" s="13">
        <f t="shared" si="93"/>
        <v>4.9506220299275761E-3</v>
      </c>
      <c r="GU32">
        <v>276</v>
      </c>
      <c r="GV32" s="13">
        <f t="shared" si="94"/>
        <v>6.5883988568780527E-2</v>
      </c>
      <c r="GW32">
        <v>385570.99140765553</v>
      </c>
      <c r="GX32" s="13">
        <f t="shared" si="73"/>
        <v>9.3835546609972731E-3</v>
      </c>
      <c r="GY32">
        <v>249</v>
      </c>
      <c r="GZ32" s="13">
        <f t="shared" si="74"/>
        <v>-9.7826086956521729E-2</v>
      </c>
      <c r="HA32">
        <v>385868.35240958369</v>
      </c>
      <c r="HB32" s="13">
        <v>7.7122244296057296E-4</v>
      </c>
      <c r="HC32">
        <v>227</v>
      </c>
      <c r="HD32" s="13">
        <v>-8.8353413654618462E-2</v>
      </c>
      <c r="HE32">
        <v>392867.26872400253</v>
      </c>
      <c r="HF32" s="13">
        <v>1.8138093654775256E-2</v>
      </c>
      <c r="HG32">
        <v>232</v>
      </c>
      <c r="HH32" s="13">
        <v>2.2026431718061623E-2</v>
      </c>
      <c r="HI32">
        <f>VLOOKUP(A32,[4]Москва_продажа_районы!$C$4:$F$151,3,0)</f>
        <v>392731.79949053231</v>
      </c>
      <c r="HJ32" s="13">
        <f t="shared" si="75"/>
        <v>-3.4482188834461525E-4</v>
      </c>
      <c r="HK32">
        <f>VLOOKUP(A32,[4]Москва_продажа_районы!$C$4:$F$151,2,0)</f>
        <v>228</v>
      </c>
      <c r="HL32" s="13">
        <f t="shared" si="76"/>
        <v>-1.7241379310344862E-2</v>
      </c>
      <c r="HM32" s="1">
        <f>VLOOKUP(A32,Лист3!$C$4:$F$149,3,0)</f>
        <v>399212.09492834588</v>
      </c>
      <c r="HN32" s="13">
        <f t="shared" si="77"/>
        <v>1.6500562078803016E-2</v>
      </c>
      <c r="HO32">
        <f>VLOOKUP(A32,Лист3!$C$4:$F$149,2,0)</f>
        <v>235</v>
      </c>
      <c r="HP32" s="13">
        <f t="shared" si="78"/>
        <v>3.0701754385964897E-2</v>
      </c>
      <c r="HQ32" s="1">
        <v>391760.10974454368</v>
      </c>
      <c r="HR32" s="13">
        <v>-1.8666731991523799E-2</v>
      </c>
      <c r="HS32">
        <v>256</v>
      </c>
      <c r="HT32" s="13">
        <v>8.9361702127659592E-2</v>
      </c>
      <c r="HU32" s="34">
        <v>400378.03304044798</v>
      </c>
      <c r="HV32" s="13">
        <v>2.1997960184164222E-2</v>
      </c>
      <c r="HW32">
        <v>244</v>
      </c>
      <c r="HX32" s="13">
        <v>-4.6875E-2</v>
      </c>
      <c r="HY32">
        <v>399398.11151315382</v>
      </c>
      <c r="HZ32" s="13">
        <v>-2.4474907373230881E-3</v>
      </c>
      <c r="IA32">
        <v>233</v>
      </c>
      <c r="IB32" s="13">
        <v>-4.5081967213114749E-2</v>
      </c>
      <c r="IC32" s="34">
        <v>404775.58861766581</v>
      </c>
      <c r="ID32" s="13">
        <v>1.3463952255905687E-2</v>
      </c>
      <c r="IE32">
        <v>246</v>
      </c>
      <c r="IF32" s="13">
        <v>5.579399141630903E-2</v>
      </c>
    </row>
    <row r="33" spans="1:240" ht="15" thickBot="1" x14ac:dyDescent="0.35">
      <c r="A33" s="29" t="s">
        <v>48</v>
      </c>
      <c r="B33" s="30">
        <v>248692.70650157647</v>
      </c>
      <c r="C33" s="31">
        <v>444</v>
      </c>
      <c r="D33" s="30">
        <v>250065.98424633002</v>
      </c>
      <c r="E33" s="31">
        <v>436</v>
      </c>
      <c r="F33" s="30">
        <v>259525.03812265376</v>
      </c>
      <c r="G33" s="31">
        <v>309</v>
      </c>
      <c r="H33" s="30">
        <v>258150.82353816574</v>
      </c>
      <c r="I33" s="31">
        <v>348</v>
      </c>
      <c r="J33" s="30">
        <v>255887.68250034787</v>
      </c>
      <c r="K33" s="31">
        <v>436</v>
      </c>
      <c r="L33" s="30">
        <v>253465.51691750556</v>
      </c>
      <c r="M33" s="31">
        <v>415</v>
      </c>
      <c r="N33" s="30">
        <v>259821.40865648768</v>
      </c>
      <c r="O33" s="32">
        <v>397</v>
      </c>
      <c r="P33" s="37">
        <v>268355.16845050891</v>
      </c>
      <c r="Q33" s="32">
        <v>379</v>
      </c>
      <c r="R33" s="37">
        <v>276746.7487537557</v>
      </c>
      <c r="S33" s="31">
        <v>368</v>
      </c>
      <c r="T33" s="48">
        <v>277333.58408230176</v>
      </c>
      <c r="U33" s="49">
        <v>359</v>
      </c>
      <c r="V33" s="57">
        <v>282116.47854592279</v>
      </c>
      <c r="W33" s="49">
        <v>300</v>
      </c>
      <c r="X33" s="57">
        <v>283213.23820494203</v>
      </c>
      <c r="Y33" s="49">
        <v>344</v>
      </c>
      <c r="Z33" s="1">
        <v>291460.51639388793</v>
      </c>
      <c r="AA33" s="81">
        <v>372</v>
      </c>
      <c r="AB33" s="1">
        <v>293016.15447279601</v>
      </c>
      <c r="AC33">
        <v>393</v>
      </c>
      <c r="AD33" s="1">
        <v>304129.64467960119</v>
      </c>
      <c r="AE33">
        <v>309</v>
      </c>
      <c r="AF33" s="13">
        <f t="shared" si="19"/>
        <v>7.3853915188538677E-2</v>
      </c>
      <c r="AG33" s="85">
        <f t="shared" si="95"/>
        <v>6.8896321070234121E-2</v>
      </c>
      <c r="AH33" s="35">
        <f t="shared" si="96"/>
        <v>20.668896321070235</v>
      </c>
      <c r="AI33" s="88">
        <f t="shared" si="97"/>
        <v>329.66889632107024</v>
      </c>
      <c r="AL33" s="1">
        <v>308636.06214615062</v>
      </c>
      <c r="AM33">
        <v>329</v>
      </c>
      <c r="AN33" s="13">
        <f t="shared" si="98"/>
        <v>7.3618259118370999E-2</v>
      </c>
      <c r="AQ33" s="35">
        <f t="shared" si="99"/>
        <v>20.097784739315284</v>
      </c>
      <c r="AR33" s="88">
        <f>AM33+AQ33</f>
        <v>349.09778473931527</v>
      </c>
      <c r="AS33">
        <v>319</v>
      </c>
      <c r="AT33" s="1">
        <v>304659.48447757401</v>
      </c>
      <c r="AU33" s="13">
        <f t="shared" si="100"/>
        <v>-1.2884358493057579E-2</v>
      </c>
      <c r="AV33" s="35">
        <v>312</v>
      </c>
      <c r="AW33" s="1">
        <v>305636.14327614498</v>
      </c>
      <c r="AX33" s="61">
        <v>326</v>
      </c>
      <c r="AY33" s="123">
        <v>311974.9720677195</v>
      </c>
      <c r="AZ33" s="124">
        <v>339</v>
      </c>
      <c r="BA33" s="119">
        <v>319642.26046395599</v>
      </c>
      <c r="BB33" s="35">
        <v>353</v>
      </c>
      <c r="BC33" s="125">
        <f t="shared" si="101"/>
        <v>2.4576613775838974E-2</v>
      </c>
      <c r="BD33">
        <v>348</v>
      </c>
      <c r="BE33" s="1">
        <v>325927.7812533789</v>
      </c>
      <c r="BF33" s="13">
        <f t="shared" si="79"/>
        <v>1.9664235825073817E-2</v>
      </c>
      <c r="BG33">
        <v>352</v>
      </c>
      <c r="BH33" s="1">
        <v>326783.85362070898</v>
      </c>
      <c r="BI33" s="13">
        <f t="shared" si="23"/>
        <v>2.6265707207835387E-3</v>
      </c>
      <c r="BJ33">
        <v>361</v>
      </c>
      <c r="BK33" s="1">
        <v>328845.62742887269</v>
      </c>
      <c r="BL33" s="13">
        <f t="shared" si="80"/>
        <v>6.3092891075235968E-3</v>
      </c>
      <c r="BM33" s="1">
        <v>339554.45876626758</v>
      </c>
      <c r="BN33" s="109">
        <f t="shared" si="81"/>
        <v>3.2564919354785005E-2</v>
      </c>
      <c r="BO33">
        <v>327</v>
      </c>
      <c r="BP33" s="13">
        <f t="shared" si="82"/>
        <v>-9.4182825484764532E-2</v>
      </c>
      <c r="BQ33" s="1">
        <v>342656.16371567699</v>
      </c>
      <c r="BR33" s="13">
        <f t="shared" si="5"/>
        <v>9.1346317780043318E-3</v>
      </c>
      <c r="BS33">
        <v>336</v>
      </c>
      <c r="BT33" s="13">
        <f t="shared" si="6"/>
        <v>2.7522935779816571E-2</v>
      </c>
      <c r="BU33" s="1">
        <v>357026.01550848619</v>
      </c>
      <c r="BV33" s="13">
        <f t="shared" si="83"/>
        <v>4.1936650539089015E-2</v>
      </c>
      <c r="BW33">
        <v>342</v>
      </c>
      <c r="BX33" s="13">
        <f t="shared" si="84"/>
        <v>1.7857142857142794E-2</v>
      </c>
      <c r="BY33" s="1">
        <v>355556.6787167461</v>
      </c>
      <c r="BZ33" s="13">
        <f t="shared" si="85"/>
        <v>-4.1154894263024655E-3</v>
      </c>
      <c r="CA33">
        <v>283</v>
      </c>
      <c r="CB33" s="13">
        <f t="shared" si="86"/>
        <v>-0.17251461988304095</v>
      </c>
      <c r="CC33" s="1">
        <v>349520.11899803748</v>
      </c>
      <c r="CD33" s="13">
        <f t="shared" si="87"/>
        <v>-1.6977770577943918E-2</v>
      </c>
      <c r="CE33">
        <v>329</v>
      </c>
      <c r="CF33" s="13">
        <f t="shared" si="88"/>
        <v>0.16254416961130747</v>
      </c>
      <c r="CG33" s="1">
        <v>348225.97152220568</v>
      </c>
      <c r="CH33" s="13">
        <f t="shared" si="89"/>
        <v>-3.7026408652575116E-3</v>
      </c>
      <c r="CI33">
        <v>381</v>
      </c>
      <c r="CJ33" s="13">
        <f t="shared" si="90"/>
        <v>0.15805471124620052</v>
      </c>
      <c r="CK33" s="1">
        <v>345946.51996038249</v>
      </c>
      <c r="CL33" s="13">
        <f t="shared" si="91"/>
        <v>-6.5458976303777172E-3</v>
      </c>
      <c r="CM33">
        <v>426</v>
      </c>
      <c r="CN33" s="13">
        <f t="shared" si="92"/>
        <v>0.11811023622047245</v>
      </c>
      <c r="CO33" s="1">
        <v>342198.79896534258</v>
      </c>
      <c r="CP33" s="13">
        <v>-1.083323802612346E-2</v>
      </c>
      <c r="CQ33">
        <v>423</v>
      </c>
      <c r="CR33" s="13">
        <v>-7.0422535211267512E-3</v>
      </c>
      <c r="CS33" s="1">
        <v>341433.1472557477</v>
      </c>
      <c r="CT33" s="13">
        <f t="shared" si="24"/>
        <v>-2.2374470977393202E-3</v>
      </c>
      <c r="CU33">
        <v>480</v>
      </c>
      <c r="CV33" s="13">
        <f t="shared" si="25"/>
        <v>0.13475177304964547</v>
      </c>
      <c r="CW33" s="1">
        <v>336479.31744933891</v>
      </c>
      <c r="CX33" s="13">
        <f t="shared" si="26"/>
        <v>-1.4508930507260209E-2</v>
      </c>
      <c r="CY33">
        <v>496</v>
      </c>
      <c r="CZ33" s="13">
        <f t="shared" si="27"/>
        <v>3.3333333333333437E-2</v>
      </c>
      <c r="DA33" s="1">
        <v>332690.40363846772</v>
      </c>
      <c r="DB33" s="13">
        <f t="shared" si="28"/>
        <v>-1.1260465693977317E-2</v>
      </c>
      <c r="DC33">
        <v>465</v>
      </c>
      <c r="DD33" s="13">
        <f t="shared" si="29"/>
        <v>-6.25E-2</v>
      </c>
      <c r="DE33" s="1">
        <v>322891.32705236139</v>
      </c>
      <c r="DF33" s="13">
        <f t="shared" si="30"/>
        <v>-2.9454040389920277E-2</v>
      </c>
      <c r="DG33" s="1">
        <v>455</v>
      </c>
      <c r="DH33" s="13">
        <f t="shared" si="31"/>
        <v>-2.1505376344086002E-2</v>
      </c>
      <c r="DI33" s="1">
        <v>325037.43240783177</v>
      </c>
      <c r="DJ33" s="13">
        <f t="shared" si="32"/>
        <v>6.6465252413618892E-3</v>
      </c>
      <c r="DK33" s="1">
        <v>433</v>
      </c>
      <c r="DL33" s="13">
        <f t="shared" si="33"/>
        <v>-4.8351648351648402E-2</v>
      </c>
      <c r="DM33" s="1">
        <v>325349.47737807123</v>
      </c>
      <c r="DN33" s="13">
        <f t="shared" si="34"/>
        <v>9.6002779719195352E-4</v>
      </c>
      <c r="DO33" s="1">
        <v>451</v>
      </c>
      <c r="DP33" s="13">
        <f t="shared" si="35"/>
        <v>4.1570438799076292E-2</v>
      </c>
      <c r="DQ33" s="1">
        <v>328308.55518187972</v>
      </c>
      <c r="DR33" s="13">
        <f t="shared" si="36"/>
        <v>9.0950747106008922E-3</v>
      </c>
      <c r="DS33">
        <v>484</v>
      </c>
      <c r="DT33" s="13">
        <f t="shared" si="37"/>
        <v>7.3170731707317138E-2</v>
      </c>
      <c r="DU33" s="1">
        <v>329687.30178706668</v>
      </c>
      <c r="DV33" s="13">
        <f t="shared" si="38"/>
        <v>4.1995451639178505E-3</v>
      </c>
      <c r="DW33">
        <v>459</v>
      </c>
      <c r="DX33" s="13">
        <f t="shared" si="39"/>
        <v>-5.1652892561983466E-2</v>
      </c>
      <c r="DY33" s="1">
        <v>330478.36290422082</v>
      </c>
      <c r="DZ33" s="13">
        <f t="shared" si="40"/>
        <v>2.3994285277781913E-3</v>
      </c>
      <c r="EA33" s="1">
        <v>408</v>
      </c>
      <c r="EB33" s="13">
        <f t="shared" si="41"/>
        <v>-0.11111111111111116</v>
      </c>
      <c r="EC33" s="1">
        <v>328675.05937691079</v>
      </c>
      <c r="ED33" s="13">
        <f t="shared" si="42"/>
        <v>-5.4566462731863163E-3</v>
      </c>
      <c r="EE33" s="1">
        <f>IFERROR(VLOOKUP($A33,[1]Москва_продажа_районы!$C$2:$F$148,2,0),"")</f>
        <v>370</v>
      </c>
      <c r="EF33" s="13">
        <v>-9.3137254901960786E-2</v>
      </c>
      <c r="EG33" s="1">
        <v>329850.12453705311</v>
      </c>
      <c r="EH33" s="13">
        <f t="shared" si="43"/>
        <v>3.5751576720484124E-3</v>
      </c>
      <c r="EI33" s="1">
        <f>IFERROR(VLOOKUP($A33,[2]Москва_продажа_районы!$C$2:$F$150,2,0),"")</f>
        <v>335</v>
      </c>
      <c r="EJ33" s="13">
        <v>-9.4594594594594628E-2</v>
      </c>
      <c r="EK33" s="1">
        <v>338454.648921941</v>
      </c>
      <c r="EL33" s="13">
        <f t="shared" si="44"/>
        <v>2.6086163820506103E-2</v>
      </c>
      <c r="EM33">
        <v>333</v>
      </c>
      <c r="EN33" s="13">
        <f t="shared" si="45"/>
        <v>-5.9701492537312939E-3</v>
      </c>
      <c r="EO33" s="1">
        <v>352853.25688695163</v>
      </c>
      <c r="EP33" s="13">
        <f t="shared" si="46"/>
        <v>4.2542207680921651E-2</v>
      </c>
      <c r="EQ33">
        <v>336</v>
      </c>
      <c r="ER33" s="13">
        <f t="shared" si="47"/>
        <v>9.009009009008917E-3</v>
      </c>
      <c r="ES33" s="183">
        <v>356613.15655487293</v>
      </c>
      <c r="ET33" s="13">
        <f t="shared" si="48"/>
        <v>1.065570345330813E-2</v>
      </c>
      <c r="EU33">
        <v>312</v>
      </c>
      <c r="EV33" s="13">
        <f t="shared" si="49"/>
        <v>-7.1428571428571397E-2</v>
      </c>
      <c r="EW33" s="183">
        <v>359646.76757864142</v>
      </c>
      <c r="EX33" s="13">
        <f t="shared" si="50"/>
        <v>8.5067277188404233E-3</v>
      </c>
      <c r="EY33">
        <v>329</v>
      </c>
      <c r="EZ33" s="13">
        <f t="shared" si="51"/>
        <v>5.4487179487179516E-2</v>
      </c>
      <c r="FA33" s="1">
        <v>354885.66707435693</v>
      </c>
      <c r="FB33" s="13">
        <f t="shared" si="52"/>
        <v>-1.3238268583196433E-2</v>
      </c>
      <c r="FC33" s="1">
        <v>309</v>
      </c>
      <c r="FD33" s="13">
        <f t="shared" si="53"/>
        <v>-6.0790273556231011E-2</v>
      </c>
      <c r="FE33" s="1">
        <v>359428.03672790952</v>
      </c>
      <c r="FF33" s="13">
        <f t="shared" si="54"/>
        <v>1.2799529749959904E-2</v>
      </c>
      <c r="FG33" s="1">
        <v>302</v>
      </c>
      <c r="FH33" s="13">
        <f t="shared" si="55"/>
        <v>-2.2653721682847849E-2</v>
      </c>
      <c r="FI33" s="1">
        <v>362705.22849693592</v>
      </c>
      <c r="FJ33" s="13">
        <f t="shared" si="56"/>
        <v>9.1177967051780939E-3</v>
      </c>
      <c r="FK33" s="1">
        <v>333</v>
      </c>
      <c r="FL33" s="13">
        <f t="shared" si="57"/>
        <v>0.10264900662251653</v>
      </c>
      <c r="FM33" s="1">
        <v>362144.07645876589</v>
      </c>
      <c r="FN33" s="13">
        <f t="shared" si="58"/>
        <v>-1.547129718795226E-3</v>
      </c>
      <c r="FO33" s="1">
        <v>328</v>
      </c>
      <c r="FP33" s="13">
        <f t="shared" si="59"/>
        <v>-1.501501501501501E-2</v>
      </c>
      <c r="FQ33" s="1">
        <v>362311.92411079531</v>
      </c>
      <c r="FR33" s="13">
        <f t="shared" si="60"/>
        <v>4.6348308018928641E-4</v>
      </c>
      <c r="FS33">
        <v>328</v>
      </c>
      <c r="FT33" s="13">
        <f t="shared" si="61"/>
        <v>0</v>
      </c>
      <c r="FU33" s="1">
        <v>361709.30948837922</v>
      </c>
      <c r="FV33" s="13">
        <f t="shared" si="62"/>
        <v>-1.6632481083670436E-3</v>
      </c>
      <c r="FW33" s="1">
        <v>341</v>
      </c>
      <c r="FX33" s="13">
        <f t="shared" si="63"/>
        <v>3.9634146341463339E-2</v>
      </c>
      <c r="FY33" s="1">
        <v>361713.94846738112</v>
      </c>
      <c r="FZ33" s="13">
        <f t="shared" si="64"/>
        <v>1.2825157882812022E-5</v>
      </c>
      <c r="GA33" s="1">
        <v>350</v>
      </c>
      <c r="GB33" s="13">
        <f t="shared" si="65"/>
        <v>2.6392961876832821E-2</v>
      </c>
      <c r="GC33" s="1">
        <v>364555.91919196281</v>
      </c>
      <c r="GD33" s="13">
        <f t="shared" si="66"/>
        <v>7.8569564060866348E-3</v>
      </c>
      <c r="GE33" s="1">
        <v>324</v>
      </c>
      <c r="GF33" s="13">
        <f t="shared" si="67"/>
        <v>-7.4285714285714288E-2</v>
      </c>
      <c r="GG33" s="1">
        <f>IFERROR(VLOOKUP(A33,[3]Москва_продажа_районы!$C$2:$F$149,3,0),"")</f>
        <v>365308.66093565407</v>
      </c>
      <c r="GH33" s="13">
        <v>2.064818328446627E-3</v>
      </c>
      <c r="GI33" s="1">
        <v>335</v>
      </c>
      <c r="GJ33" s="13">
        <f t="shared" si="68"/>
        <v>3.3950617283950546E-2</v>
      </c>
      <c r="GK33" s="1">
        <v>366242.51221857668</v>
      </c>
      <c r="GL33" s="13">
        <f t="shared" si="69"/>
        <v>2.5563349101298538E-3</v>
      </c>
      <c r="GM33" s="1">
        <v>344</v>
      </c>
      <c r="GN33" s="13">
        <f t="shared" si="70"/>
        <v>2.6865671641790989E-2</v>
      </c>
      <c r="GO33" s="1">
        <v>370905.94121537107</v>
      </c>
      <c r="GP33" s="13">
        <f t="shared" si="71"/>
        <v>1.2733172259399517E-2</v>
      </c>
      <c r="GQ33" s="1">
        <v>371.29000000000008</v>
      </c>
      <c r="GR33" s="13">
        <f t="shared" si="72"/>
        <v>7.9331395348837486E-2</v>
      </c>
      <c r="GS33" s="1">
        <v>371613.9509500374</v>
      </c>
      <c r="GT33" s="13">
        <f t="shared" si="93"/>
        <v>1.9088659845845068E-3</v>
      </c>
      <c r="GU33">
        <v>360</v>
      </c>
      <c r="GV33" s="13">
        <f t="shared" si="94"/>
        <v>-3.040749818201427E-2</v>
      </c>
      <c r="GW33">
        <v>371658.69076880929</v>
      </c>
      <c r="GX33" s="13">
        <f t="shared" si="73"/>
        <v>1.2039327010593404E-4</v>
      </c>
      <c r="GY33">
        <v>327</v>
      </c>
      <c r="GZ33" s="13">
        <f t="shared" si="74"/>
        <v>-9.1666666666666674E-2</v>
      </c>
      <c r="HA33">
        <v>383476.49852430448</v>
      </c>
      <c r="HB33" s="13">
        <v>3.1797474535168346E-2</v>
      </c>
      <c r="HC33">
        <v>301</v>
      </c>
      <c r="HD33" s="13">
        <v>-7.9510703363914415E-2</v>
      </c>
      <c r="HE33">
        <v>382273.20459099539</v>
      </c>
      <c r="HF33" s="13">
        <v>-3.1378557432844012E-3</v>
      </c>
      <c r="HG33">
        <v>292</v>
      </c>
      <c r="HH33" s="13">
        <v>-2.9900332225913595E-2</v>
      </c>
      <c r="HI33">
        <f>VLOOKUP(A33,[4]Москва_продажа_районы!$C$4:$F$151,3,0)</f>
        <v>380467.15846568189</v>
      </c>
      <c r="HJ33" s="13">
        <f t="shared" si="75"/>
        <v>-4.7244905047578722E-3</v>
      </c>
      <c r="HK33">
        <f>VLOOKUP(A33,[4]Москва_продажа_районы!$C$4:$F$151,2,0)</f>
        <v>298</v>
      </c>
      <c r="HL33" s="13">
        <f t="shared" si="76"/>
        <v>2.0547945205479534E-2</v>
      </c>
      <c r="HM33" s="1">
        <f>VLOOKUP(A33,Лист3!$C$4:$F$149,3,0)</f>
        <v>379838.4030429761</v>
      </c>
      <c r="HN33" s="13">
        <f t="shared" si="77"/>
        <v>-1.6525879007307509E-3</v>
      </c>
      <c r="HO33">
        <f>VLOOKUP(A33,Лист3!$C$4:$F$149,2,0)</f>
        <v>285</v>
      </c>
      <c r="HP33" s="13">
        <f t="shared" si="78"/>
        <v>-4.3624161073825496E-2</v>
      </c>
      <c r="HQ33" s="1">
        <v>383356.52144688013</v>
      </c>
      <c r="HR33" s="13">
        <v>9.2621451009680111E-3</v>
      </c>
      <c r="HS33">
        <v>302</v>
      </c>
      <c r="HT33" s="13">
        <v>5.9649122807017507E-2</v>
      </c>
      <c r="HU33" s="34">
        <v>381921.16570714623</v>
      </c>
      <c r="HV33" s="13">
        <v>-3.7441797893942308E-3</v>
      </c>
      <c r="HW33">
        <v>283</v>
      </c>
      <c r="HX33" s="13">
        <v>-6.29139072847682E-2</v>
      </c>
      <c r="HY33">
        <v>388469.76200584089</v>
      </c>
      <c r="HZ33" s="13">
        <v>1.7146460805778085E-2</v>
      </c>
      <c r="IA33">
        <v>275</v>
      </c>
      <c r="IB33" s="13">
        <v>-2.8268551236749095E-2</v>
      </c>
      <c r="IC33" s="34">
        <v>392246.52574072621</v>
      </c>
      <c r="ID33" s="13">
        <v>9.7221562764222558E-3</v>
      </c>
      <c r="IE33">
        <v>248</v>
      </c>
      <c r="IF33" s="13">
        <v>-9.8181818181818148E-2</v>
      </c>
    </row>
    <row r="34" spans="1:240" ht="15.6" thickTop="1" thickBot="1" x14ac:dyDescent="0.35">
      <c r="A34" s="229" t="s">
        <v>160</v>
      </c>
      <c r="B34" s="228"/>
      <c r="C34" s="228"/>
      <c r="D34" s="228"/>
      <c r="E34" s="228"/>
      <c r="F34" s="228"/>
      <c r="G34" s="228"/>
      <c r="H34" s="228"/>
      <c r="I34" s="228"/>
      <c r="J34" s="228"/>
      <c r="K34" s="228"/>
      <c r="L34" s="228"/>
      <c r="M34" s="228"/>
      <c r="N34" s="228"/>
      <c r="O34" s="228"/>
      <c r="P34" s="228"/>
      <c r="Q34" s="228"/>
      <c r="U34" s="13"/>
      <c r="V34" s="1"/>
      <c r="AA34" s="81"/>
      <c r="AF34" s="13"/>
      <c r="AK34">
        <f>AK35-AJ35</f>
        <v>99</v>
      </c>
      <c r="AL34" s="35"/>
      <c r="BA34" s="119"/>
      <c r="BF34" s="13"/>
      <c r="BL34" s="13"/>
      <c r="BM34" s="34"/>
      <c r="BN34" s="109"/>
      <c r="BP34" s="13"/>
      <c r="BR34" s="13" t="str">
        <f t="shared" si="5"/>
        <v/>
      </c>
      <c r="BT34" s="13" t="str">
        <f t="shared" si="6"/>
        <v/>
      </c>
      <c r="BV34" s="13"/>
      <c r="BX34" s="13"/>
      <c r="BZ34" s="13"/>
      <c r="CB34" s="13"/>
      <c r="CC34" s="1"/>
      <c r="CD34" s="13"/>
      <c r="CF34" s="13"/>
      <c r="CG34" s="1"/>
      <c r="CH34" s="13"/>
      <c r="CJ34" s="13"/>
      <c r="CK34" s="1"/>
      <c r="CL34" s="13"/>
      <c r="CN34" s="13"/>
      <c r="CO34" s="1" t="s">
        <v>184</v>
      </c>
      <c r="CP34" s="13" t="s">
        <v>184</v>
      </c>
      <c r="CQ34" t="s">
        <v>184</v>
      </c>
      <c r="CR34" s="13" t="s">
        <v>184</v>
      </c>
      <c r="CS34" s="1" t="s">
        <v>184</v>
      </c>
      <c r="CT34" s="13" t="str">
        <f t="shared" si="24"/>
        <v/>
      </c>
      <c r="CU34" t="s">
        <v>184</v>
      </c>
      <c r="CV34" s="13" t="str">
        <f t="shared" si="25"/>
        <v/>
      </c>
      <c r="CW34" s="1" t="s">
        <v>184</v>
      </c>
      <c r="CX34" s="13" t="str">
        <f t="shared" si="26"/>
        <v/>
      </c>
      <c r="CY34" t="s">
        <v>184</v>
      </c>
      <c r="CZ34" s="13" t="str">
        <f t="shared" si="27"/>
        <v/>
      </c>
      <c r="DA34" s="1" t="s">
        <v>184</v>
      </c>
      <c r="DB34" s="13" t="str">
        <f t="shared" si="28"/>
        <v/>
      </c>
      <c r="DC34" t="s">
        <v>184</v>
      </c>
      <c r="DD34" s="13" t="str">
        <f t="shared" si="29"/>
        <v/>
      </c>
      <c r="DE34" s="1" t="s">
        <v>184</v>
      </c>
      <c r="DF34" s="13" t="str">
        <f t="shared" si="30"/>
        <v/>
      </c>
      <c r="DG34" s="1" t="s">
        <v>184</v>
      </c>
      <c r="DH34" s="13" t="str">
        <f t="shared" si="31"/>
        <v/>
      </c>
      <c r="DI34" s="1" t="s">
        <v>184</v>
      </c>
      <c r="DJ34" s="13" t="str">
        <f t="shared" si="32"/>
        <v/>
      </c>
      <c r="DK34" s="1" t="s">
        <v>184</v>
      </c>
      <c r="DL34" s="13" t="str">
        <f t="shared" si="33"/>
        <v/>
      </c>
      <c r="DM34" s="1" t="s">
        <v>184</v>
      </c>
      <c r="DN34" s="13" t="str">
        <f t="shared" si="34"/>
        <v/>
      </c>
      <c r="DO34" s="1" t="s">
        <v>184</v>
      </c>
      <c r="DP34" s="13" t="str">
        <f t="shared" si="35"/>
        <v/>
      </c>
      <c r="DQ34" s="1" t="s">
        <v>184</v>
      </c>
      <c r="DR34" s="13" t="str">
        <f t="shared" si="36"/>
        <v/>
      </c>
      <c r="DS34" t="s">
        <v>184</v>
      </c>
      <c r="DT34" s="13" t="str">
        <f t="shared" si="37"/>
        <v/>
      </c>
      <c r="DU34" s="1" t="s">
        <v>184</v>
      </c>
      <c r="DV34" s="13" t="str">
        <f t="shared" si="38"/>
        <v/>
      </c>
      <c r="DW34" t="s">
        <v>184</v>
      </c>
      <c r="DX34" s="13" t="str">
        <f t="shared" si="39"/>
        <v/>
      </c>
      <c r="DY34" s="1" t="s">
        <v>184</v>
      </c>
      <c r="DZ34" s="13" t="str">
        <f t="shared" si="40"/>
        <v/>
      </c>
      <c r="EA34" s="1" t="s">
        <v>184</v>
      </c>
      <c r="EB34" s="13" t="str">
        <f t="shared" si="41"/>
        <v/>
      </c>
      <c r="EC34" s="1" t="s">
        <v>184</v>
      </c>
      <c r="ED34" s="13" t="str">
        <f t="shared" si="42"/>
        <v/>
      </c>
      <c r="EE34" s="1" t="str">
        <f>IFERROR(VLOOKUP($A34,[1]Москва_продажа_районы!$C$2:$F$148,2,0),"")</f>
        <v/>
      </c>
      <c r="EF34" s="13" t="s">
        <v>184</v>
      </c>
      <c r="EG34" s="1" t="s">
        <v>184</v>
      </c>
      <c r="EH34" s="13" t="str">
        <f t="shared" si="43"/>
        <v/>
      </c>
      <c r="EI34" s="1" t="str">
        <f>IFERROR(VLOOKUP($A34,[2]Москва_продажа_районы!$C$2:$F$150,2,0),"")</f>
        <v/>
      </c>
      <c r="EJ34" s="13" t="s">
        <v>184</v>
      </c>
      <c r="EK34" s="1" t="s">
        <v>184</v>
      </c>
      <c r="EL34" s="13" t="str">
        <f t="shared" si="44"/>
        <v/>
      </c>
      <c r="EM34" t="s">
        <v>184</v>
      </c>
      <c r="EN34" s="13" t="str">
        <f t="shared" si="45"/>
        <v/>
      </c>
      <c r="EO34" s="1" t="s">
        <v>184</v>
      </c>
      <c r="EP34" s="13" t="str">
        <f t="shared" si="46"/>
        <v/>
      </c>
      <c r="EQ34" t="s">
        <v>184</v>
      </c>
      <c r="ER34" s="13" t="str">
        <f t="shared" si="47"/>
        <v/>
      </c>
      <c r="ES34" s="183" t="s">
        <v>184</v>
      </c>
      <c r="ET34" s="13" t="str">
        <f t="shared" si="48"/>
        <v/>
      </c>
      <c r="EU34" t="s">
        <v>184</v>
      </c>
      <c r="EV34" s="13" t="str">
        <f t="shared" si="49"/>
        <v/>
      </c>
      <c r="EW34" s="183" t="s">
        <v>184</v>
      </c>
      <c r="EX34" s="13" t="str">
        <f t="shared" si="50"/>
        <v/>
      </c>
      <c r="EY34" t="s">
        <v>184</v>
      </c>
      <c r="EZ34" s="13" t="str">
        <f t="shared" si="51"/>
        <v/>
      </c>
      <c r="FA34" s="1" t="s">
        <v>184</v>
      </c>
      <c r="FB34" s="13" t="str">
        <f t="shared" si="52"/>
        <v/>
      </c>
      <c r="FC34" s="1" t="s">
        <v>184</v>
      </c>
      <c r="FD34" s="13" t="str">
        <f t="shared" si="53"/>
        <v/>
      </c>
      <c r="FE34" s="1" t="s">
        <v>184</v>
      </c>
      <c r="FF34" s="13" t="str">
        <f t="shared" si="54"/>
        <v/>
      </c>
      <c r="FG34" s="1" t="s">
        <v>184</v>
      </c>
      <c r="FH34" s="13" t="str">
        <f t="shared" si="55"/>
        <v/>
      </c>
      <c r="FI34" s="1" t="s">
        <v>184</v>
      </c>
      <c r="FJ34" s="13" t="str">
        <f t="shared" si="56"/>
        <v/>
      </c>
      <c r="FK34" s="1" t="s">
        <v>184</v>
      </c>
      <c r="FL34" s="13" t="str">
        <f t="shared" si="57"/>
        <v/>
      </c>
      <c r="FM34" s="1" t="s">
        <v>184</v>
      </c>
      <c r="FN34" s="13" t="str">
        <f t="shared" si="58"/>
        <v/>
      </c>
      <c r="FO34" s="1" t="s">
        <v>184</v>
      </c>
      <c r="FP34" s="13" t="str">
        <f t="shared" si="59"/>
        <v/>
      </c>
      <c r="FQ34" s="1" t="s">
        <v>184</v>
      </c>
      <c r="FR34" s="13" t="str">
        <f t="shared" si="60"/>
        <v/>
      </c>
      <c r="FS34" t="s">
        <v>184</v>
      </c>
      <c r="FT34" s="13" t="str">
        <f t="shared" si="61"/>
        <v/>
      </c>
      <c r="FU34" s="1" t="s">
        <v>184</v>
      </c>
      <c r="FV34" s="13" t="str">
        <f t="shared" si="62"/>
        <v/>
      </c>
      <c r="FW34" s="1" t="s">
        <v>184</v>
      </c>
      <c r="FX34" s="13" t="str">
        <f t="shared" si="63"/>
        <v/>
      </c>
      <c r="FY34" s="1" t="s">
        <v>184</v>
      </c>
      <c r="FZ34" s="13" t="str">
        <f t="shared" si="64"/>
        <v/>
      </c>
      <c r="GA34" s="1" t="s">
        <v>184</v>
      </c>
      <c r="GB34" s="13" t="str">
        <f t="shared" si="65"/>
        <v/>
      </c>
      <c r="GC34" s="1" t="s">
        <v>184</v>
      </c>
      <c r="GD34" s="13" t="str">
        <f t="shared" si="66"/>
        <v/>
      </c>
      <c r="GE34" s="1" t="s">
        <v>184</v>
      </c>
      <c r="GF34" s="13" t="str">
        <f t="shared" si="67"/>
        <v/>
      </c>
      <c r="GG34" s="1" t="str">
        <f>IFERROR(VLOOKUP(A34,[3]Москва_продажа_районы!$C$2:$F$149,3,0),"")</f>
        <v/>
      </c>
      <c r="GH34" s="13" t="s">
        <v>184</v>
      </c>
      <c r="GI34" s="1" t="s">
        <v>184</v>
      </c>
      <c r="GJ34" s="13" t="str">
        <f t="shared" si="68"/>
        <v/>
      </c>
      <c r="GK34" s="1" t="s">
        <v>184</v>
      </c>
      <c r="GL34" s="13" t="str">
        <f t="shared" si="69"/>
        <v/>
      </c>
      <c r="GM34" s="1" t="s">
        <v>184</v>
      </c>
      <c r="GN34" s="13" t="str">
        <f t="shared" si="70"/>
        <v/>
      </c>
      <c r="GO34" s="1" t="s">
        <v>184</v>
      </c>
      <c r="GP34" s="13" t="str">
        <f t="shared" si="71"/>
        <v/>
      </c>
      <c r="GQ34" s="1" t="s">
        <v>184</v>
      </c>
      <c r="GR34" s="13" t="str">
        <f t="shared" si="72"/>
        <v/>
      </c>
      <c r="GT34" s="13"/>
      <c r="GV34" s="13"/>
      <c r="GX34" s="13"/>
      <c r="GZ34" s="13"/>
      <c r="HB34" s="13"/>
      <c r="HD34" s="13"/>
      <c r="HE34" t="e">
        <v>#N/A</v>
      </c>
      <c r="HF34" s="13" t="e">
        <v>#N/A</v>
      </c>
      <c r="HG34" t="e">
        <v>#N/A</v>
      </c>
      <c r="HH34" s="13" t="e">
        <v>#N/A</v>
      </c>
      <c r="HI34" t="e">
        <f>VLOOKUP(A34,[4]Москва_продажа_районы!$C$4:$F$151,3,0)</f>
        <v>#N/A</v>
      </c>
      <c r="HJ34" s="13" t="e">
        <f t="shared" si="75"/>
        <v>#N/A</v>
      </c>
      <c r="HK34" t="e">
        <f>VLOOKUP(A34,[4]Москва_продажа_районы!$C$4:$F$151,2,0)</f>
        <v>#N/A</v>
      </c>
      <c r="HL34" s="13" t="e">
        <f t="shared" si="76"/>
        <v>#N/A</v>
      </c>
      <c r="HM34" s="1" t="e">
        <f>VLOOKUP(A34,Лист3!$C$4:$F$149,3,0)</f>
        <v>#N/A</v>
      </c>
      <c r="HN34" s="13" t="e">
        <f t="shared" si="77"/>
        <v>#N/A</v>
      </c>
      <c r="HO34" t="e">
        <f>VLOOKUP(A34,Лист3!$C$4:$F$149,2,0)</f>
        <v>#N/A</v>
      </c>
      <c r="HP34" s="13" t="e">
        <f t="shared" si="78"/>
        <v>#N/A</v>
      </c>
      <c r="HQ34" s="1" t="e">
        <v>#N/A</v>
      </c>
      <c r="HR34" s="13" t="e">
        <v>#N/A</v>
      </c>
      <c r="HS34" t="e">
        <v>#N/A</v>
      </c>
      <c r="HT34" s="13" t="e">
        <v>#N/A</v>
      </c>
      <c r="HU34" s="34" t="e">
        <v>#N/A</v>
      </c>
      <c r="HV34" s="13" t="e">
        <v>#N/A</v>
      </c>
      <c r="HW34" t="e">
        <v>#N/A</v>
      </c>
      <c r="HX34" s="13" t="e">
        <v>#N/A</v>
      </c>
      <c r="HY34" t="e">
        <v>#N/A</v>
      </c>
      <c r="HZ34" s="13" t="e">
        <v>#N/A</v>
      </c>
      <c r="IA34" t="e">
        <v>#N/A</v>
      </c>
      <c r="IB34" s="13" t="e">
        <v>#N/A</v>
      </c>
      <c r="IC34" s="34" t="e">
        <v>#N/A</v>
      </c>
      <c r="ID34" s="13" t="e">
        <v>#N/A</v>
      </c>
      <c r="IE34" t="e">
        <v>#N/A</v>
      </c>
      <c r="IF34" s="13" t="e">
        <v>#N/A</v>
      </c>
    </row>
    <row r="35" spans="1:240" ht="15" thickTop="1" x14ac:dyDescent="0.3">
      <c r="A35" s="24" t="s">
        <v>49</v>
      </c>
      <c r="B35" s="25"/>
      <c r="C35" s="26"/>
      <c r="D35" s="25"/>
      <c r="E35" s="26"/>
      <c r="F35" s="25">
        <v>148782.51226842104</v>
      </c>
      <c r="G35" s="26">
        <v>19</v>
      </c>
      <c r="H35" s="25">
        <v>156814.24185070829</v>
      </c>
      <c r="I35" s="26">
        <v>16</v>
      </c>
      <c r="J35" s="25">
        <v>153490.48643276523</v>
      </c>
      <c r="K35" s="26">
        <v>22</v>
      </c>
      <c r="L35" s="25">
        <v>162033.43008549089</v>
      </c>
      <c r="M35" s="26">
        <v>22</v>
      </c>
      <c r="N35" s="25">
        <v>159849.97731488277</v>
      </c>
      <c r="O35" s="27">
        <v>13</v>
      </c>
      <c r="P35" s="38">
        <v>162647.12667115618</v>
      </c>
      <c r="Q35" s="27">
        <v>16</v>
      </c>
      <c r="R35" s="38">
        <v>171139.14299386617</v>
      </c>
      <c r="S35" s="26">
        <v>15</v>
      </c>
      <c r="T35" s="50">
        <v>188568.82177134903</v>
      </c>
      <c r="U35" s="45">
        <v>11</v>
      </c>
      <c r="V35" s="55">
        <v>185115.62215430531</v>
      </c>
      <c r="W35" s="45">
        <v>26</v>
      </c>
      <c r="X35" s="55">
        <v>186166.86324732151</v>
      </c>
      <c r="Y35" s="45">
        <v>39</v>
      </c>
      <c r="Z35" s="34">
        <v>184944.14202073999</v>
      </c>
      <c r="AA35" s="81">
        <v>63</v>
      </c>
      <c r="AB35" s="1">
        <v>196838.35284078101</v>
      </c>
      <c r="AC35">
        <v>57</v>
      </c>
      <c r="AD35" s="1">
        <v>204757.99595998789</v>
      </c>
      <c r="AE35">
        <v>44</v>
      </c>
      <c r="AF35" s="13">
        <f t="shared" si="19"/>
        <v>9.9862738128472239E-2</v>
      </c>
      <c r="AG35" s="85">
        <f>AE35/$AJ$35</f>
        <v>4.6267087276550996E-2</v>
      </c>
      <c r="AH35" s="35">
        <f>AG35*$AK$34</f>
        <v>4.5804416403785488</v>
      </c>
      <c r="AI35" s="86">
        <f>AH35+AE35</f>
        <v>48.580441640378552</v>
      </c>
      <c r="AJ35">
        <f>SUM(AE35:AE45)</f>
        <v>951</v>
      </c>
      <c r="AK35">
        <v>1050</v>
      </c>
      <c r="AL35" s="1">
        <v>209509.90492796691</v>
      </c>
      <c r="AM35">
        <v>45</v>
      </c>
      <c r="AN35" s="13">
        <f>AM35/SUM($AM$35:$AM$45)</f>
        <v>4.6632124352331605E-2</v>
      </c>
      <c r="AO35">
        <f>SUM(AM35:AM45)</f>
        <v>965</v>
      </c>
      <c r="AP35">
        <f>998-AO35</f>
        <v>33</v>
      </c>
      <c r="AQ35" s="35">
        <f>$AP$35*AN35</f>
        <v>1.5388601036269429</v>
      </c>
      <c r="AR35" s="86">
        <f>AQ35+AM35</f>
        <v>46.538860103626945</v>
      </c>
      <c r="AS35">
        <v>38</v>
      </c>
      <c r="AT35" s="1">
        <v>209503.41343790799</v>
      </c>
      <c r="AU35" s="13">
        <f>AT35/AL35-1</f>
        <v>-3.0984167842307286E-5</v>
      </c>
      <c r="AV35">
        <v>19</v>
      </c>
      <c r="AW35" s="1">
        <v>203796.5899010805</v>
      </c>
      <c r="AX35" s="61"/>
      <c r="AY35" s="119">
        <v>205116.79831064201</v>
      </c>
      <c r="AZ35" s="120">
        <v>12</v>
      </c>
      <c r="BA35" s="119">
        <v>204458.84503510001</v>
      </c>
      <c r="BB35">
        <v>13</v>
      </c>
      <c r="BC35" s="125">
        <f>BA35/AY35-1</f>
        <v>-3.2077005928377034E-3</v>
      </c>
      <c r="BD35">
        <v>117</v>
      </c>
      <c r="BE35" s="1">
        <v>238703.5291131355</v>
      </c>
      <c r="BF35" s="13">
        <f>BE35/BA35-1</f>
        <v>0.16748937455924984</v>
      </c>
      <c r="BG35">
        <v>208</v>
      </c>
      <c r="BH35" s="1">
        <v>234367.45853734831</v>
      </c>
      <c r="BI35" s="13">
        <f>BH35/BE35-1</f>
        <v>-1.8165087847243688E-2</v>
      </c>
      <c r="BJ35">
        <v>193</v>
      </c>
      <c r="BK35" s="1">
        <v>236827.5262736009</v>
      </c>
      <c r="BL35" s="13">
        <f t="shared" ref="BL35:BL45" si="103">BK35/BH35-1</f>
        <v>1.0496626756997252E-2</v>
      </c>
      <c r="BM35" s="1">
        <v>244252.59438311739</v>
      </c>
      <c r="BN35" s="109">
        <f t="shared" ref="BN35:BN45" si="104">BM35/BK35-1</f>
        <v>3.13522174822638E-2</v>
      </c>
      <c r="BO35">
        <v>133</v>
      </c>
      <c r="BP35" s="13">
        <f t="shared" ref="BP35:BP45" si="105">BO35/BJ35-1</f>
        <v>-0.31088082901554404</v>
      </c>
      <c r="BQ35" s="1">
        <v>251367.49668636371</v>
      </c>
      <c r="BR35" s="13">
        <f t="shared" si="5"/>
        <v>2.912928037147644E-2</v>
      </c>
      <c r="BS35">
        <v>155</v>
      </c>
      <c r="BT35" s="13">
        <f t="shared" si="6"/>
        <v>0.16541353383458657</v>
      </c>
      <c r="BU35" s="1">
        <v>264043.60513160448</v>
      </c>
      <c r="BV35" s="13">
        <f>BU35/BQ35-1</f>
        <v>5.0428590061733392E-2</v>
      </c>
      <c r="BW35">
        <v>144</v>
      </c>
      <c r="BX35" s="13">
        <f t="shared" ref="BX35:BX45" si="106">BW35/BS35-1</f>
        <v>-7.096774193548383E-2</v>
      </c>
      <c r="BY35" s="1">
        <v>264920.96524684579</v>
      </c>
      <c r="BZ35" s="13">
        <f t="shared" ref="BZ35:BZ45" si="107">BY35/BU35-1</f>
        <v>3.3227849422978739E-3</v>
      </c>
      <c r="CA35">
        <v>137</v>
      </c>
      <c r="CB35" s="13">
        <f t="shared" ref="CB35:CB45" si="108">CA35/BW35-1</f>
        <v>-4.861111111111116E-2</v>
      </c>
      <c r="CC35" s="1">
        <v>261581.46561663831</v>
      </c>
      <c r="CD35" s="13">
        <f t="shared" ref="CD35:CD45" si="109">CC35/BY35-1</f>
        <v>-1.2605644959415852E-2</v>
      </c>
      <c r="CE35">
        <v>172</v>
      </c>
      <c r="CF35" s="13">
        <f t="shared" ref="CF35:CF45" si="110">CE35/CA35-1</f>
        <v>0.25547445255474455</v>
      </c>
      <c r="CG35" s="1">
        <v>260157.8834455584</v>
      </c>
      <c r="CH35" s="13">
        <f t="shared" ref="CH35:CH45" si="111">CG35/CC35-1</f>
        <v>-5.4422134524096943E-3</v>
      </c>
      <c r="CI35">
        <v>189</v>
      </c>
      <c r="CJ35" s="13">
        <f t="shared" ref="CJ35:CJ45" si="112">CI35/CE35-1</f>
        <v>9.8837209302325535E-2</v>
      </c>
      <c r="CK35" s="1">
        <v>257783.01931072719</v>
      </c>
      <c r="CL35" s="13">
        <f t="shared" ref="CL35:CL45" si="113">CK35/CG35-1</f>
        <v>-9.1285495691241225E-3</v>
      </c>
      <c r="CM35">
        <v>198</v>
      </c>
      <c r="CN35" s="13">
        <f t="shared" ref="CN35:CN45" si="114">CM35/CI35-1</f>
        <v>4.7619047619047672E-2</v>
      </c>
      <c r="CO35" s="1">
        <v>254732.46722904861</v>
      </c>
      <c r="CP35" s="13">
        <v>-1.1833797624976605E-2</v>
      </c>
      <c r="CQ35">
        <v>199</v>
      </c>
      <c r="CR35" s="13">
        <v>5.050505050504972E-3</v>
      </c>
      <c r="CS35" s="1">
        <v>251382.7400263873</v>
      </c>
      <c r="CT35" s="13">
        <f t="shared" si="24"/>
        <v>-1.3149981386743725E-2</v>
      </c>
      <c r="CU35">
        <v>215</v>
      </c>
      <c r="CV35" s="13">
        <f t="shared" si="25"/>
        <v>8.040201005025116E-2</v>
      </c>
      <c r="CW35" s="1">
        <v>243979.70079967671</v>
      </c>
      <c r="CX35" s="13">
        <f t="shared" si="26"/>
        <v>-2.9449274146401194E-2</v>
      </c>
      <c r="CY35">
        <v>202</v>
      </c>
      <c r="CZ35" s="13">
        <f t="shared" si="27"/>
        <v>-6.0465116279069808E-2</v>
      </c>
      <c r="DA35" s="1">
        <v>243737.40740975071</v>
      </c>
      <c r="DB35" s="13">
        <f t="shared" si="28"/>
        <v>-9.9308831485511728E-4</v>
      </c>
      <c r="DC35">
        <v>167</v>
      </c>
      <c r="DD35" s="13">
        <f t="shared" si="29"/>
        <v>-0.17326732673267331</v>
      </c>
      <c r="DE35" s="1">
        <v>243334.17012212699</v>
      </c>
      <c r="DF35" s="13">
        <f t="shared" si="30"/>
        <v>-1.6543922900839059E-3</v>
      </c>
      <c r="DG35" s="1">
        <v>180</v>
      </c>
      <c r="DH35" s="13">
        <f t="shared" si="31"/>
        <v>7.7844311377245567E-2</v>
      </c>
      <c r="DI35" s="1">
        <v>241200.98612988001</v>
      </c>
      <c r="DJ35" s="13">
        <f t="shared" si="32"/>
        <v>-8.7664794105010158E-3</v>
      </c>
      <c r="DK35" s="1">
        <v>168</v>
      </c>
      <c r="DL35" s="13">
        <f t="shared" si="33"/>
        <v>-6.6666666666666652E-2</v>
      </c>
      <c r="DM35" s="1">
        <v>244120.89642706531</v>
      </c>
      <c r="DN35" s="13">
        <f t="shared" si="34"/>
        <v>1.2105714591121197E-2</v>
      </c>
      <c r="DO35" s="1">
        <v>183</v>
      </c>
      <c r="DP35" s="13">
        <f t="shared" si="35"/>
        <v>8.9285714285714191E-2</v>
      </c>
      <c r="DQ35" s="1">
        <v>244111.35470711291</v>
      </c>
      <c r="DR35" s="13">
        <f t="shared" si="36"/>
        <v>-3.9086043399194637E-5</v>
      </c>
      <c r="DS35">
        <v>207</v>
      </c>
      <c r="DT35" s="13">
        <f t="shared" si="37"/>
        <v>0.13114754098360648</v>
      </c>
      <c r="DU35" s="1">
        <v>245431.18586120801</v>
      </c>
      <c r="DV35" s="13">
        <f t="shared" si="38"/>
        <v>5.4066766196871896E-3</v>
      </c>
      <c r="DW35">
        <v>171</v>
      </c>
      <c r="DX35" s="13">
        <f t="shared" si="39"/>
        <v>-0.17391304347826086</v>
      </c>
      <c r="DY35" s="1">
        <v>242377.4661426706</v>
      </c>
      <c r="DZ35" s="13">
        <f t="shared" si="40"/>
        <v>-1.2442264449083917E-2</v>
      </c>
      <c r="EA35" s="1">
        <v>159</v>
      </c>
      <c r="EB35" s="13">
        <f t="shared" si="41"/>
        <v>-7.0175438596491224E-2</v>
      </c>
      <c r="EC35" s="1">
        <v>246333.3422745321</v>
      </c>
      <c r="ED35" s="13">
        <f t="shared" si="42"/>
        <v>1.6321138242830546E-2</v>
      </c>
      <c r="EE35" s="1">
        <f>IFERROR(VLOOKUP($A35,[1]Москва_продажа_районы!$C$2:$F$148,2,0),"")</f>
        <v>151</v>
      </c>
      <c r="EF35" s="13">
        <v>-5.031446540880502E-2</v>
      </c>
      <c r="EG35" s="1">
        <v>251393.9173951151</v>
      </c>
      <c r="EH35" s="13">
        <f t="shared" si="43"/>
        <v>2.054360596846494E-2</v>
      </c>
      <c r="EI35" s="1">
        <f>IFERROR(VLOOKUP($A35,[2]Москва_продажа_районы!$C$2:$F$150,2,0),"")</f>
        <v>133</v>
      </c>
      <c r="EJ35" s="13">
        <v>-0.11920529801324509</v>
      </c>
      <c r="EK35" s="1">
        <v>248148.21242133711</v>
      </c>
      <c r="EL35" s="13">
        <f t="shared" si="44"/>
        <v>-1.2910833354319862E-2</v>
      </c>
      <c r="EM35">
        <v>121</v>
      </c>
      <c r="EN35" s="13">
        <f t="shared" si="45"/>
        <v>-9.0225563909774431E-2</v>
      </c>
      <c r="EO35" s="1">
        <v>249886.4165589734</v>
      </c>
      <c r="EP35" s="13">
        <f t="shared" si="46"/>
        <v>7.0047014269236652E-3</v>
      </c>
      <c r="EQ35">
        <v>105</v>
      </c>
      <c r="ER35" s="13">
        <f t="shared" si="47"/>
        <v>-0.13223140495867769</v>
      </c>
      <c r="ES35" s="183">
        <v>258488.5091073894</v>
      </c>
      <c r="ET35" s="13">
        <f t="shared" si="48"/>
        <v>3.4424010183786491E-2</v>
      </c>
      <c r="EU35">
        <v>111</v>
      </c>
      <c r="EV35" s="13">
        <f t="shared" si="49"/>
        <v>5.7142857142857162E-2</v>
      </c>
      <c r="EW35" s="183">
        <v>257141.51160342389</v>
      </c>
      <c r="EX35" s="13">
        <f t="shared" si="50"/>
        <v>-5.2110537084103514E-3</v>
      </c>
      <c r="EY35">
        <v>114</v>
      </c>
      <c r="EZ35" s="13">
        <f t="shared" si="51"/>
        <v>2.7027027027026973E-2</v>
      </c>
      <c r="FA35" s="1">
        <v>255518.83309080251</v>
      </c>
      <c r="FB35" s="13">
        <f t="shared" si="52"/>
        <v>-6.3104494583665627E-3</v>
      </c>
      <c r="FC35" s="1">
        <v>111</v>
      </c>
      <c r="FD35" s="13">
        <f t="shared" si="53"/>
        <v>-2.6315789473684181E-2</v>
      </c>
      <c r="FE35" s="1">
        <v>264264.99401389097</v>
      </c>
      <c r="FF35" s="13">
        <f t="shared" si="54"/>
        <v>3.4229026554689845E-2</v>
      </c>
      <c r="FG35" s="1">
        <v>102</v>
      </c>
      <c r="FH35" s="13">
        <f t="shared" si="55"/>
        <v>-8.108108108108103E-2</v>
      </c>
      <c r="FI35" s="1">
        <v>264230.62658388581</v>
      </c>
      <c r="FJ35" s="13">
        <f t="shared" si="56"/>
        <v>-1.300491203286569E-4</v>
      </c>
      <c r="FK35" s="1">
        <v>124</v>
      </c>
      <c r="FL35" s="13">
        <f t="shared" si="57"/>
        <v>0.21568627450980382</v>
      </c>
      <c r="FM35" s="1">
        <v>269417.32092809927</v>
      </c>
      <c r="FN35" s="13">
        <f t="shared" si="58"/>
        <v>1.9629421506771605E-2</v>
      </c>
      <c r="FO35" s="1">
        <v>154</v>
      </c>
      <c r="FP35" s="13">
        <f t="shared" si="59"/>
        <v>0.24193548387096775</v>
      </c>
      <c r="FQ35" s="1">
        <v>266712.22285109758</v>
      </c>
      <c r="FR35" s="13">
        <f t="shared" si="60"/>
        <v>-1.0040549982766711E-2</v>
      </c>
      <c r="FS35">
        <v>166</v>
      </c>
      <c r="FT35" s="13">
        <f t="shared" si="61"/>
        <v>7.7922077922077948E-2</v>
      </c>
      <c r="FU35" s="1">
        <v>266579.32573444198</v>
      </c>
      <c r="FV35" s="13">
        <f t="shared" si="62"/>
        <v>-4.9827906360999652E-4</v>
      </c>
      <c r="FW35" s="1">
        <v>169</v>
      </c>
      <c r="FX35" s="13">
        <f t="shared" si="63"/>
        <v>1.8072289156626509E-2</v>
      </c>
      <c r="FY35" s="1">
        <v>264996.08570020419</v>
      </c>
      <c r="FZ35" s="13">
        <f t="shared" si="64"/>
        <v>-5.9390953513588363E-3</v>
      </c>
      <c r="GA35" s="1">
        <v>163</v>
      </c>
      <c r="GB35" s="13">
        <f t="shared" si="65"/>
        <v>-3.5502958579881616E-2</v>
      </c>
      <c r="GC35" s="1">
        <v>273673.81225781108</v>
      </c>
      <c r="GD35" s="13">
        <f t="shared" si="66"/>
        <v>3.2746621651703167E-2</v>
      </c>
      <c r="GE35" s="1">
        <v>318</v>
      </c>
      <c r="GF35" s="13">
        <f t="shared" si="67"/>
        <v>0.95092024539877307</v>
      </c>
      <c r="GG35" s="1">
        <f>IFERROR(VLOOKUP(A35,[3]Москва_продажа_районы!$C$2:$F$149,3,0),"")</f>
        <v>272558.19788030052</v>
      </c>
      <c r="GH35" s="13">
        <v>-4.0764381813032102E-3</v>
      </c>
      <c r="GI35" s="1">
        <v>359</v>
      </c>
      <c r="GJ35" s="13">
        <f t="shared" si="68"/>
        <v>0.12893081761006298</v>
      </c>
      <c r="GK35" s="1">
        <v>266405.39348344581</v>
      </c>
      <c r="GL35" s="13">
        <f t="shared" si="69"/>
        <v>-2.257427751102481E-2</v>
      </c>
      <c r="GM35" s="1">
        <v>204</v>
      </c>
      <c r="GN35" s="13">
        <f t="shared" si="70"/>
        <v>-0.43175487465181062</v>
      </c>
      <c r="GO35" s="1">
        <v>269112.37390627898</v>
      </c>
      <c r="GP35" s="13">
        <f t="shared" si="71"/>
        <v>1.0161132203208911E-2</v>
      </c>
      <c r="GQ35" s="1">
        <v>194.74</v>
      </c>
      <c r="GR35" s="13">
        <f t="shared" si="72"/>
        <v>-4.5392156862745003E-2</v>
      </c>
      <c r="GS35" s="1">
        <v>270592.71215611289</v>
      </c>
      <c r="GT35" s="13">
        <f t="shared" ref="GT35:GT45" si="115">GS35/GO35-1</f>
        <v>5.5008182208278189E-3</v>
      </c>
      <c r="GU35">
        <v>192</v>
      </c>
      <c r="GV35" s="13">
        <f t="shared" ref="GV35:GV45" si="116">GU35/GQ35-1</f>
        <v>-1.4070042107425351E-2</v>
      </c>
      <c r="GW35">
        <v>273270.44306533883</v>
      </c>
      <c r="GX35" s="13">
        <f t="shared" si="73"/>
        <v>9.8957983305960617E-3</v>
      </c>
      <c r="GY35">
        <v>164</v>
      </c>
      <c r="GZ35" s="13">
        <f t="shared" si="74"/>
        <v>-0.14583333333333337</v>
      </c>
      <c r="HA35">
        <v>277590.05694383592</v>
      </c>
      <c r="HB35" s="13">
        <v>1.5807102407574547E-2</v>
      </c>
      <c r="HC35">
        <v>126</v>
      </c>
      <c r="HD35" s="13">
        <v>-0.23170731707317072</v>
      </c>
      <c r="HE35">
        <v>275396.35215336242</v>
      </c>
      <c r="HF35" s="13">
        <v>-7.9026778358900485E-3</v>
      </c>
      <c r="HG35">
        <v>116</v>
      </c>
      <c r="HH35" s="13">
        <v>-7.9365079365079416E-2</v>
      </c>
      <c r="HI35">
        <f>VLOOKUP(A35,[4]Москва_продажа_районы!$C$4:$F$151,3,0)</f>
        <v>266496.79123227479</v>
      </c>
      <c r="HJ35" s="13">
        <f t="shared" si="75"/>
        <v>-3.2315464062979471E-2</v>
      </c>
      <c r="HK35">
        <f>VLOOKUP(A35,[4]Москва_продажа_районы!$C$4:$F$151,2,0)</f>
        <v>86</v>
      </c>
      <c r="HL35" s="13">
        <f t="shared" si="76"/>
        <v>-0.25862068965517238</v>
      </c>
      <c r="HM35" s="1">
        <f>VLOOKUP(A35,Лист3!$C$4:$F$149,3,0)</f>
        <v>267446.06971365551</v>
      </c>
      <c r="HN35" s="13">
        <f t="shared" si="77"/>
        <v>3.5620634567166132E-3</v>
      </c>
      <c r="HO35">
        <f>VLOOKUP(A35,Лист3!$C$4:$F$149,2,0)</f>
        <v>81</v>
      </c>
      <c r="HP35" s="13">
        <f t="shared" si="78"/>
        <v>-5.8139534883720922E-2</v>
      </c>
      <c r="HQ35" s="1">
        <v>265984.6255679786</v>
      </c>
      <c r="HR35" s="13">
        <v>-5.4644442793331249E-3</v>
      </c>
      <c r="HS35">
        <v>79</v>
      </c>
      <c r="HT35" s="13">
        <v>-2.4691358024691357E-2</v>
      </c>
      <c r="HU35" s="34">
        <v>266205.98714538128</v>
      </c>
      <c r="HV35" s="13">
        <v>8.3223448321501081E-4</v>
      </c>
      <c r="HW35">
        <v>63</v>
      </c>
      <c r="HX35" s="13">
        <v>-0.20253164556962022</v>
      </c>
      <c r="HY35">
        <v>287205.69863138878</v>
      </c>
      <c r="HZ35" s="13">
        <v>7.8885196051353468E-2</v>
      </c>
      <c r="IA35">
        <v>32</v>
      </c>
      <c r="IB35" s="13">
        <v>-0.49206349206349209</v>
      </c>
      <c r="IC35" s="34">
        <v>269411.44698970579</v>
      </c>
      <c r="ID35" s="13">
        <v>-6.1956471359994936E-2</v>
      </c>
      <c r="IE35">
        <v>16</v>
      </c>
      <c r="IF35" s="13">
        <v>-0.5</v>
      </c>
    </row>
    <row r="36" spans="1:240" x14ac:dyDescent="0.3">
      <c r="A36" s="23" t="s">
        <v>50</v>
      </c>
      <c r="B36" s="22">
        <v>156075.60843094828</v>
      </c>
      <c r="C36">
        <v>116</v>
      </c>
      <c r="D36" s="22">
        <v>157960.47156634612</v>
      </c>
      <c r="E36">
        <v>104</v>
      </c>
      <c r="F36" s="22">
        <v>153456.1401935617</v>
      </c>
      <c r="G36">
        <v>73</v>
      </c>
      <c r="H36" s="22">
        <v>151541.50157448419</v>
      </c>
      <c r="I36">
        <v>92</v>
      </c>
      <c r="J36" s="22">
        <v>154850.91357952007</v>
      </c>
      <c r="K36">
        <v>101</v>
      </c>
      <c r="L36" s="22">
        <v>158128.74893564242</v>
      </c>
      <c r="M36">
        <v>92</v>
      </c>
      <c r="N36" s="22">
        <v>158922.79388106885</v>
      </c>
      <c r="O36" s="28">
        <v>81</v>
      </c>
      <c r="P36" s="39">
        <v>164717.62755675049</v>
      </c>
      <c r="Q36" s="28">
        <v>77</v>
      </c>
      <c r="R36" s="39">
        <v>167745.99750623878</v>
      </c>
      <c r="S36">
        <v>55</v>
      </c>
      <c r="T36" s="46">
        <v>154625.4138662511</v>
      </c>
      <c r="U36" s="47">
        <v>13</v>
      </c>
      <c r="V36" s="56">
        <v>170179.86537135401</v>
      </c>
      <c r="W36" s="47">
        <v>11</v>
      </c>
      <c r="X36" s="56">
        <v>134801.49447282421</v>
      </c>
      <c r="Y36" s="47">
        <v>11</v>
      </c>
      <c r="Z36" s="34">
        <v>135479.05724988304</v>
      </c>
      <c r="AA36" s="81">
        <v>7</v>
      </c>
      <c r="AB36" s="1">
        <v>149248.27071663321</v>
      </c>
      <c r="AC36">
        <v>11</v>
      </c>
      <c r="AD36" s="1">
        <v>151333.80930272199</v>
      </c>
      <c r="AE36">
        <v>5</v>
      </c>
      <c r="AF36" s="13">
        <f t="shared" si="19"/>
        <v>0.12264192540707075</v>
      </c>
      <c r="AG36" s="85">
        <f t="shared" ref="AG36:AG45" si="117">AE36/$AJ$35</f>
        <v>5.2576235541535229E-3</v>
      </c>
      <c r="AH36" s="35">
        <f t="shared" ref="AH36:AH45" si="118">AG36*$AK$34</f>
        <v>0.52050473186119872</v>
      </c>
      <c r="AI36" s="87">
        <f t="shared" ref="AI36:AI45" si="119">AH36+AE36</f>
        <v>5.5205047318611991</v>
      </c>
      <c r="AL36" s="1">
        <v>130583.5165533298</v>
      </c>
      <c r="AM36">
        <v>4</v>
      </c>
      <c r="AN36" s="13">
        <f t="shared" ref="AN36:AN45" si="120">AM36/SUM($AM$35:$AM$45)</f>
        <v>4.1450777202072537E-3</v>
      </c>
      <c r="AQ36" s="35">
        <f t="shared" ref="AQ36:AQ45" si="121">$AP$35*AN36</f>
        <v>0.13678756476683937</v>
      </c>
      <c r="AR36" s="87">
        <f t="shared" ref="AR36:AR44" si="122">AQ36+AM36</f>
        <v>4.1367875647668395</v>
      </c>
      <c r="AS36">
        <v>4</v>
      </c>
      <c r="AT36" s="1"/>
      <c r="AU36" s="13"/>
      <c r="AV36">
        <v>6</v>
      </c>
      <c r="AW36" s="1">
        <v>156769.57194140309</v>
      </c>
      <c r="AX36" s="61"/>
      <c r="AY36" s="121">
        <v>154554.33592075799</v>
      </c>
      <c r="AZ36" s="122">
        <v>2</v>
      </c>
      <c r="BA36" s="119"/>
      <c r="BC36" s="125"/>
      <c r="BD36">
        <v>1</v>
      </c>
      <c r="BE36" s="1">
        <v>238947.36842105261</v>
      </c>
      <c r="BF36" s="13"/>
      <c r="BG36">
        <v>3</v>
      </c>
      <c r="BH36" s="1">
        <v>218871.5217446048</v>
      </c>
      <c r="BI36" s="13">
        <f t="shared" ref="BI36:BI89" si="123">BH36/BE36-1</f>
        <v>-8.4017860540200107E-2</v>
      </c>
      <c r="BJ36">
        <v>5</v>
      </c>
      <c r="BK36" s="1">
        <v>208797.7820479965</v>
      </c>
      <c r="BL36" s="13">
        <f t="shared" si="103"/>
        <v>-4.6025812843587199E-2</v>
      </c>
      <c r="BM36" s="1">
        <v>175696.88109161801</v>
      </c>
      <c r="BN36" s="109">
        <f t="shared" si="104"/>
        <v>-0.15853090311452434</v>
      </c>
      <c r="BO36">
        <v>3</v>
      </c>
      <c r="BP36" s="13">
        <f t="shared" si="105"/>
        <v>-0.4</v>
      </c>
      <c r="BQ36" s="1">
        <v>233430.0039053736</v>
      </c>
      <c r="BR36" s="13">
        <f t="shared" ref="BR36:BR67" si="124">IFERROR(BQ36/BM36-1,"")</f>
        <v>0.32859503512558286</v>
      </c>
      <c r="BS36">
        <v>6</v>
      </c>
      <c r="BT36" s="13">
        <f t="shared" ref="BT36:BT67" si="125">IFERROR(BS36/BO36-1,"")</f>
        <v>1</v>
      </c>
      <c r="BU36" s="1">
        <v>172408.0084137349</v>
      </c>
      <c r="BV36" s="13"/>
      <c r="BW36">
        <v>7</v>
      </c>
      <c r="BX36" s="13">
        <f t="shared" si="106"/>
        <v>0.16666666666666674</v>
      </c>
      <c r="BY36" s="1">
        <v>162812.25087132319</v>
      </c>
      <c r="BZ36" s="13">
        <f t="shared" si="107"/>
        <v>-5.5657261113905787E-2</v>
      </c>
      <c r="CA36">
        <v>15</v>
      </c>
      <c r="CB36" s="13">
        <f t="shared" si="108"/>
        <v>1.1428571428571428</v>
      </c>
      <c r="CC36" s="1">
        <v>189013.42288177629</v>
      </c>
      <c r="CD36" s="13">
        <f t="shared" si="109"/>
        <v>0.16092874995728002</v>
      </c>
      <c r="CE36">
        <v>30</v>
      </c>
      <c r="CF36" s="13">
        <f t="shared" si="110"/>
        <v>1</v>
      </c>
      <c r="CG36" s="1">
        <v>195984.89128470921</v>
      </c>
      <c r="CH36" s="13">
        <f t="shared" si="111"/>
        <v>3.6883456723036057E-2</v>
      </c>
      <c r="CI36">
        <v>43</v>
      </c>
      <c r="CJ36" s="13">
        <f t="shared" si="112"/>
        <v>0.43333333333333335</v>
      </c>
      <c r="CK36" s="1">
        <v>197972.76249126531</v>
      </c>
      <c r="CL36" s="13">
        <f t="shared" si="113"/>
        <v>1.0142981908071169E-2</v>
      </c>
      <c r="CM36">
        <v>44</v>
      </c>
      <c r="CN36" s="13">
        <f t="shared" si="114"/>
        <v>2.3255813953488413E-2</v>
      </c>
      <c r="CO36" s="1">
        <v>192087.41213388779</v>
      </c>
      <c r="CP36" s="13">
        <v>-2.972808119317516E-2</v>
      </c>
      <c r="CQ36">
        <v>47</v>
      </c>
      <c r="CR36" s="13">
        <v>6.8181818181818121E-2</v>
      </c>
      <c r="CS36" s="1">
        <v>191128.21420081399</v>
      </c>
      <c r="CT36" s="13">
        <f t="shared" si="24"/>
        <v>-4.9935491473289684E-3</v>
      </c>
      <c r="CU36">
        <v>57</v>
      </c>
      <c r="CV36" s="13">
        <f t="shared" si="25"/>
        <v>0.2127659574468086</v>
      </c>
      <c r="CW36" s="1">
        <v>193542.9671760379</v>
      </c>
      <c r="CX36" s="13">
        <f t="shared" si="26"/>
        <v>1.2634204663717341E-2</v>
      </c>
      <c r="CY36">
        <v>58</v>
      </c>
      <c r="CZ36" s="13">
        <f t="shared" si="27"/>
        <v>1.7543859649122862E-2</v>
      </c>
      <c r="DA36" s="1">
        <v>181578.74294874101</v>
      </c>
      <c r="DB36" s="13">
        <f t="shared" si="28"/>
        <v>-6.1816889561348787E-2</v>
      </c>
      <c r="DC36">
        <v>56</v>
      </c>
      <c r="DD36" s="13">
        <f t="shared" si="29"/>
        <v>-3.4482758620689613E-2</v>
      </c>
      <c r="DE36" s="1">
        <v>190364.0364921024</v>
      </c>
      <c r="DF36" s="13">
        <f t="shared" si="30"/>
        <v>4.8382830504787977E-2</v>
      </c>
      <c r="DG36" s="1">
        <v>61</v>
      </c>
      <c r="DH36" s="13">
        <f t="shared" si="31"/>
        <v>8.9285714285714191E-2</v>
      </c>
      <c r="DI36" s="1">
        <v>192919.00862306831</v>
      </c>
      <c r="DJ36" s="13">
        <f t="shared" si="32"/>
        <v>1.3421506383491266E-2</v>
      </c>
      <c r="DK36" s="1">
        <v>54</v>
      </c>
      <c r="DL36" s="13">
        <f t="shared" si="33"/>
        <v>-0.11475409836065575</v>
      </c>
      <c r="DM36" s="1">
        <v>186928.4205602218</v>
      </c>
      <c r="DN36" s="13">
        <f t="shared" si="34"/>
        <v>-3.105234733271478E-2</v>
      </c>
      <c r="DO36" s="1">
        <v>47</v>
      </c>
      <c r="DP36" s="13">
        <f t="shared" si="35"/>
        <v>-0.12962962962962965</v>
      </c>
      <c r="DQ36" s="1">
        <v>191638.76760417831</v>
      </c>
      <c r="DR36" s="13">
        <f t="shared" si="36"/>
        <v>2.5198667114608275E-2</v>
      </c>
      <c r="DS36">
        <v>52</v>
      </c>
      <c r="DT36" s="13">
        <f t="shared" si="37"/>
        <v>0.1063829787234043</v>
      </c>
      <c r="DU36" s="1">
        <v>190216.34632226251</v>
      </c>
      <c r="DV36" s="13">
        <f t="shared" si="38"/>
        <v>-7.422408835636829E-3</v>
      </c>
      <c r="DW36">
        <v>45</v>
      </c>
      <c r="DX36" s="13">
        <f t="shared" si="39"/>
        <v>-0.13461538461538458</v>
      </c>
      <c r="DY36" s="1">
        <v>183092.64596478979</v>
      </c>
      <c r="DZ36" s="13">
        <f t="shared" si="40"/>
        <v>-3.7450516189622474E-2</v>
      </c>
      <c r="EA36" s="1">
        <v>51</v>
      </c>
      <c r="EB36" s="13">
        <f t="shared" si="41"/>
        <v>0.1333333333333333</v>
      </c>
      <c r="EC36" s="1">
        <v>197108.27013727979</v>
      </c>
      <c r="ED36" s="13">
        <f t="shared" si="42"/>
        <v>7.6549356194160367E-2</v>
      </c>
      <c r="EE36" s="1">
        <f>IFERROR(VLOOKUP($A36,[1]Москва_продажа_районы!$C$2:$F$148,2,0),"")</f>
        <v>61</v>
      </c>
      <c r="EF36" s="13">
        <v>0.19607843137254899</v>
      </c>
      <c r="EG36" s="1">
        <v>199497.38876031619</v>
      </c>
      <c r="EH36" s="13">
        <f t="shared" si="43"/>
        <v>1.2120844150133481E-2</v>
      </c>
      <c r="EI36" s="1">
        <f>IFERROR(VLOOKUP($A36,[2]Москва_продажа_районы!$C$2:$F$150,2,0),"")</f>
        <v>73</v>
      </c>
      <c r="EJ36" s="13">
        <v>0.19672131147540983</v>
      </c>
      <c r="EK36" s="1">
        <v>200351.88009649821</v>
      </c>
      <c r="EL36" s="13">
        <f t="shared" si="44"/>
        <v>4.2832206551266516E-3</v>
      </c>
      <c r="EM36">
        <v>61</v>
      </c>
      <c r="EN36" s="13">
        <f t="shared" si="45"/>
        <v>-0.16438356164383561</v>
      </c>
      <c r="EO36" s="1">
        <v>203039.6996641614</v>
      </c>
      <c r="EP36" s="13">
        <f t="shared" si="46"/>
        <v>1.3415494610625078E-2</v>
      </c>
      <c r="EQ36">
        <v>44</v>
      </c>
      <c r="ER36" s="13">
        <f t="shared" si="47"/>
        <v>-0.27868852459016391</v>
      </c>
      <c r="ES36" s="183">
        <v>199993.0674120544</v>
      </c>
      <c r="ET36" s="13">
        <f t="shared" si="48"/>
        <v>-1.5005106179462935E-2</v>
      </c>
      <c r="EU36">
        <v>41</v>
      </c>
      <c r="EV36" s="13">
        <f t="shared" si="49"/>
        <v>-6.8181818181818232E-2</v>
      </c>
      <c r="EW36" s="183">
        <v>195722.4750059591</v>
      </c>
      <c r="EX36" s="13">
        <f t="shared" si="50"/>
        <v>-2.135370221256927E-2</v>
      </c>
      <c r="EY36">
        <v>42</v>
      </c>
      <c r="EZ36" s="13">
        <f t="shared" si="51"/>
        <v>2.4390243902439046E-2</v>
      </c>
      <c r="FA36" s="1">
        <v>196090.5323804848</v>
      </c>
      <c r="FB36" s="13">
        <f t="shared" si="52"/>
        <v>1.880506439102092E-3</v>
      </c>
      <c r="FC36" s="1">
        <v>33</v>
      </c>
      <c r="FD36" s="13">
        <f t="shared" si="53"/>
        <v>-0.2142857142857143</v>
      </c>
      <c r="FE36" s="1">
        <v>199810.44543208141</v>
      </c>
      <c r="FF36" s="13">
        <f t="shared" si="54"/>
        <v>1.8970385803118051E-2</v>
      </c>
      <c r="FG36" s="1">
        <v>30</v>
      </c>
      <c r="FH36" s="13">
        <f t="shared" si="55"/>
        <v>-9.0909090909090939E-2</v>
      </c>
      <c r="FI36" s="1">
        <v>205494.25040201639</v>
      </c>
      <c r="FJ36" s="13">
        <f t="shared" si="56"/>
        <v>2.8445985181825728E-2</v>
      </c>
      <c r="FK36" s="1">
        <v>46</v>
      </c>
      <c r="FL36" s="13">
        <f t="shared" si="57"/>
        <v>0.53333333333333344</v>
      </c>
      <c r="FM36" s="1">
        <v>206831.73267479171</v>
      </c>
      <c r="FN36" s="13">
        <f t="shared" si="58"/>
        <v>6.5086116529233795E-3</v>
      </c>
      <c r="FO36" s="1">
        <v>51</v>
      </c>
      <c r="FP36" s="13">
        <f t="shared" si="59"/>
        <v>0.10869565217391308</v>
      </c>
      <c r="FQ36" s="1">
        <v>199316.0064496384</v>
      </c>
      <c r="FR36" s="13">
        <f t="shared" si="60"/>
        <v>-3.6337394305788306E-2</v>
      </c>
      <c r="FS36">
        <v>42</v>
      </c>
      <c r="FT36" s="13">
        <f t="shared" si="61"/>
        <v>-0.17647058823529416</v>
      </c>
      <c r="FU36" s="1">
        <v>200454.64501606391</v>
      </c>
      <c r="FV36" s="13">
        <f t="shared" si="62"/>
        <v>5.7127301851354062E-3</v>
      </c>
      <c r="FW36" s="1">
        <v>43</v>
      </c>
      <c r="FX36" s="13">
        <f t="shared" si="63"/>
        <v>2.3809523809523725E-2</v>
      </c>
      <c r="FY36" s="1">
        <v>195922.81251340819</v>
      </c>
      <c r="FZ36" s="13">
        <f t="shared" si="64"/>
        <v>-2.2607769963587265E-2</v>
      </c>
      <c r="GA36" s="1">
        <v>38</v>
      </c>
      <c r="GB36" s="13">
        <f t="shared" si="65"/>
        <v>-0.11627906976744184</v>
      </c>
      <c r="GC36" s="1">
        <v>224418.10104035749</v>
      </c>
      <c r="GD36" s="13">
        <f t="shared" si="66"/>
        <v>0.14544140195516642</v>
      </c>
      <c r="GE36" s="1">
        <v>73</v>
      </c>
      <c r="GF36" s="13">
        <f t="shared" si="67"/>
        <v>0.92105263157894735</v>
      </c>
      <c r="GG36" s="1">
        <f>IFERROR(VLOOKUP(A36,[3]Москва_продажа_районы!$C$2:$F$149,3,0),"")</f>
        <v>225156.61068866911</v>
      </c>
      <c r="GH36" s="13">
        <v>3.2907757658051651E-3</v>
      </c>
      <c r="GI36" s="1">
        <v>90</v>
      </c>
      <c r="GJ36" s="13">
        <f t="shared" si="68"/>
        <v>0.23287671232876717</v>
      </c>
      <c r="GK36" s="1">
        <v>217504.42778283861</v>
      </c>
      <c r="GL36" s="13">
        <f t="shared" si="69"/>
        <v>-3.3986045901230111E-2</v>
      </c>
      <c r="GM36" s="1">
        <v>75</v>
      </c>
      <c r="GN36" s="13">
        <f t="shared" si="70"/>
        <v>-0.16666666666666663</v>
      </c>
      <c r="GO36" s="1">
        <v>224125.25038084321</v>
      </c>
      <c r="GP36" s="13">
        <f t="shared" si="71"/>
        <v>3.0439943984105877E-2</v>
      </c>
      <c r="GQ36" s="1">
        <v>96.3</v>
      </c>
      <c r="GR36" s="13">
        <f t="shared" si="72"/>
        <v>0.28400000000000003</v>
      </c>
      <c r="GS36" s="1">
        <v>224806.55644223039</v>
      </c>
      <c r="GT36" s="13">
        <f t="shared" si="115"/>
        <v>3.0398451768798296E-3</v>
      </c>
      <c r="GU36">
        <v>120</v>
      </c>
      <c r="GV36" s="13">
        <f t="shared" si="116"/>
        <v>0.2461059190031154</v>
      </c>
      <c r="GW36">
        <v>226670.46905057959</v>
      </c>
      <c r="GX36" s="13">
        <f t="shared" si="73"/>
        <v>8.2911843757909054E-3</v>
      </c>
      <c r="GY36">
        <v>105</v>
      </c>
      <c r="GZ36" s="13">
        <f t="shared" si="74"/>
        <v>-0.125</v>
      </c>
      <c r="HA36">
        <v>227002.9556534985</v>
      </c>
      <c r="HB36" s="13">
        <v>1.4668280535685696E-3</v>
      </c>
      <c r="HC36">
        <v>87</v>
      </c>
      <c r="HD36" s="13">
        <v>-0.17142857142857137</v>
      </c>
      <c r="HE36">
        <v>226704.60200107191</v>
      </c>
      <c r="HF36" s="13">
        <v>-1.3143161575481788E-3</v>
      </c>
      <c r="HG36">
        <v>82</v>
      </c>
      <c r="HH36" s="13">
        <v>-5.7471264367816133E-2</v>
      </c>
      <c r="HI36">
        <f>VLOOKUP(A36,[4]Москва_продажа_районы!$C$4:$F$151,3,0)</f>
        <v>225740.5121662415</v>
      </c>
      <c r="HJ36" s="13">
        <f t="shared" si="75"/>
        <v>-4.252625779629482E-3</v>
      </c>
      <c r="HK36">
        <f>VLOOKUP(A36,[4]Москва_продажа_районы!$C$4:$F$151,2,0)</f>
        <v>76</v>
      </c>
      <c r="HL36" s="13">
        <f t="shared" si="76"/>
        <v>-7.3170731707317027E-2</v>
      </c>
      <c r="HM36" s="1">
        <f>VLOOKUP(A36,Лист3!$C$4:$F$149,3,0)</f>
        <v>226504.8403761372</v>
      </c>
      <c r="HN36" s="13">
        <f t="shared" si="77"/>
        <v>3.3858708060909848E-3</v>
      </c>
      <c r="HO36">
        <f>VLOOKUP(A36,Лист3!$C$4:$F$149,2,0)</f>
        <v>79</v>
      </c>
      <c r="HP36" s="13">
        <f t="shared" si="78"/>
        <v>3.9473684210526327E-2</v>
      </c>
      <c r="HQ36" s="1">
        <v>233216.57274003391</v>
      </c>
      <c r="HR36" s="13">
        <v>2.9631739227961251E-2</v>
      </c>
      <c r="HS36">
        <v>78</v>
      </c>
      <c r="HT36" s="13">
        <v>-1.2658227848101222E-2</v>
      </c>
      <c r="HU36" s="34">
        <v>237555.57173476121</v>
      </c>
      <c r="HV36" s="13">
        <v>1.8605019976706272E-2</v>
      </c>
      <c r="HW36">
        <v>58</v>
      </c>
      <c r="HX36" s="13">
        <v>-0.25641025641025639</v>
      </c>
      <c r="HY36">
        <v>233819.2012508937</v>
      </c>
      <c r="HZ36" s="13">
        <v>-1.5728406017095131E-2</v>
      </c>
      <c r="IA36">
        <v>46</v>
      </c>
      <c r="IB36" s="13">
        <v>-0.2068965517241379</v>
      </c>
      <c r="IC36" s="34">
        <v>223756.53339870361</v>
      </c>
      <c r="ID36" s="13">
        <v>-4.3036105667783042E-2</v>
      </c>
      <c r="IE36">
        <v>20</v>
      </c>
      <c r="IF36" s="13">
        <v>-0.56521739130434789</v>
      </c>
    </row>
    <row r="37" spans="1:240" x14ac:dyDescent="0.3">
      <c r="A37" s="23" t="s">
        <v>51</v>
      </c>
      <c r="B37" s="22">
        <v>138868.44475607484</v>
      </c>
      <c r="C37">
        <v>214</v>
      </c>
      <c r="D37" s="22">
        <v>140196.79747399999</v>
      </c>
      <c r="E37">
        <v>175</v>
      </c>
      <c r="F37" s="22">
        <v>143992.64569420283</v>
      </c>
      <c r="G37">
        <v>138</v>
      </c>
      <c r="H37" s="22">
        <v>144059.22429584069</v>
      </c>
      <c r="I37">
        <v>157</v>
      </c>
      <c r="J37" s="22">
        <v>146330.42462463569</v>
      </c>
      <c r="K37">
        <v>171</v>
      </c>
      <c r="L37" s="22">
        <v>145205.274426722</v>
      </c>
      <c r="M37">
        <v>152</v>
      </c>
      <c r="N37" s="22">
        <v>145062.91494274023</v>
      </c>
      <c r="O37" s="28">
        <v>151</v>
      </c>
      <c r="P37" s="39">
        <v>152355.85798439154</v>
      </c>
      <c r="Q37" s="28">
        <v>136</v>
      </c>
      <c r="R37" s="39">
        <v>161680.63682867205</v>
      </c>
      <c r="S37">
        <v>158</v>
      </c>
      <c r="T37" s="46">
        <v>161417.99807017884</v>
      </c>
      <c r="U37" s="47">
        <v>139</v>
      </c>
      <c r="V37" s="56">
        <v>164690.09306771759</v>
      </c>
      <c r="W37" s="47">
        <v>97</v>
      </c>
      <c r="X37" s="56">
        <v>171720.1713692632</v>
      </c>
      <c r="Y37" s="47">
        <v>121</v>
      </c>
      <c r="Z37" s="34">
        <v>173116</v>
      </c>
      <c r="AA37" s="81">
        <v>183</v>
      </c>
      <c r="AB37" s="1">
        <v>183146.4458845089</v>
      </c>
      <c r="AC37">
        <v>202</v>
      </c>
      <c r="AD37" s="1">
        <v>185452.909374315</v>
      </c>
      <c r="AE37">
        <v>259</v>
      </c>
      <c r="AF37" s="13">
        <f t="shared" si="19"/>
        <v>7.9971606687494035E-2</v>
      </c>
      <c r="AG37" s="85">
        <f t="shared" si="117"/>
        <v>0.2723449001051525</v>
      </c>
      <c r="AH37" s="35">
        <f t="shared" si="118"/>
        <v>26.962145110410098</v>
      </c>
      <c r="AI37" s="87">
        <f t="shared" si="119"/>
        <v>285.96214511041012</v>
      </c>
      <c r="AL37" s="1">
        <v>188570.6467242392</v>
      </c>
      <c r="AM37">
        <v>267</v>
      </c>
      <c r="AN37" s="13">
        <f t="shared" si="120"/>
        <v>0.27668393782383421</v>
      </c>
      <c r="AQ37" s="35">
        <f t="shared" si="121"/>
        <v>9.1305699481865297</v>
      </c>
      <c r="AR37" s="87">
        <f t="shared" si="122"/>
        <v>276.13056994818652</v>
      </c>
      <c r="AS37">
        <v>258</v>
      </c>
      <c r="AT37" s="1">
        <v>189886.61546880021</v>
      </c>
      <c r="AU37" s="13">
        <f t="shared" ref="AU37:AU45" si="126">AT37/AL37-1</f>
        <v>6.9786510648470745E-3</v>
      </c>
      <c r="AV37" s="35">
        <v>251</v>
      </c>
      <c r="AW37" s="1">
        <v>191215.98298053711</v>
      </c>
      <c r="AX37" s="61"/>
      <c r="AY37" s="121">
        <v>192956.44432088759</v>
      </c>
      <c r="AZ37" s="122">
        <v>205</v>
      </c>
      <c r="BA37" s="119">
        <v>193592.96052832599</v>
      </c>
      <c r="BB37">
        <v>212</v>
      </c>
      <c r="BC37" s="125">
        <f t="shared" ref="BC37:BC45" si="127">BA37/AY37-1</f>
        <v>3.2987558911474757E-3</v>
      </c>
      <c r="BD37">
        <v>241</v>
      </c>
      <c r="BE37" s="1">
        <v>197262.66619496039</v>
      </c>
      <c r="BF37" s="13">
        <f t="shared" ref="BF37:BF45" si="128">BE37/BA37-1</f>
        <v>1.8955780502656561E-2</v>
      </c>
      <c r="BG37">
        <v>222</v>
      </c>
      <c r="BH37" s="1">
        <v>200379.7850772407</v>
      </c>
      <c r="BI37" s="13">
        <f t="shared" si="123"/>
        <v>1.580186936741268E-2</v>
      </c>
      <c r="BJ37">
        <v>232</v>
      </c>
      <c r="BK37" s="1">
        <v>204712.52342235571</v>
      </c>
      <c r="BL37" s="13">
        <f t="shared" si="103"/>
        <v>2.1622631960828143E-2</v>
      </c>
      <c r="BM37" s="1">
        <v>210236.95443563131</v>
      </c>
      <c r="BN37" s="109">
        <f t="shared" si="104"/>
        <v>2.6986287506591822E-2</v>
      </c>
      <c r="BO37">
        <v>193</v>
      </c>
      <c r="BP37" s="13">
        <f t="shared" si="105"/>
        <v>-0.1681034482758621</v>
      </c>
      <c r="BQ37" s="1">
        <v>213793.6123914468</v>
      </c>
      <c r="BR37" s="13">
        <f t="shared" si="124"/>
        <v>1.6917377657810651E-2</v>
      </c>
      <c r="BS37">
        <v>201</v>
      </c>
      <c r="BT37" s="13">
        <f t="shared" si="125"/>
        <v>4.1450777202072464E-2</v>
      </c>
      <c r="BU37" s="1">
        <v>219945.89749987889</v>
      </c>
      <c r="BV37" s="13">
        <f t="shared" ref="BV37:BV45" si="129">BU37/BQ37-1</f>
        <v>2.877674893844584E-2</v>
      </c>
      <c r="BW37">
        <v>152</v>
      </c>
      <c r="BX37" s="13">
        <f t="shared" si="106"/>
        <v>-0.24378109452736318</v>
      </c>
      <c r="BY37" s="1">
        <v>222749.25538096359</v>
      </c>
      <c r="BZ37" s="13">
        <f t="shared" si="107"/>
        <v>1.2745670244139085E-2</v>
      </c>
      <c r="CA37">
        <v>136</v>
      </c>
      <c r="CB37" s="13">
        <f t="shared" si="108"/>
        <v>-0.10526315789473684</v>
      </c>
      <c r="CC37" s="1">
        <v>222722.15632275271</v>
      </c>
      <c r="CD37" s="13">
        <f t="shared" si="109"/>
        <v>-1.2165723366630576E-4</v>
      </c>
      <c r="CE37">
        <v>156</v>
      </c>
      <c r="CF37" s="13">
        <f t="shared" si="110"/>
        <v>0.14705882352941169</v>
      </c>
      <c r="CG37" s="1">
        <v>218815.94966976179</v>
      </c>
      <c r="CH37" s="13">
        <f t="shared" si="111"/>
        <v>-1.7538473573910363E-2</v>
      </c>
      <c r="CI37">
        <v>167</v>
      </c>
      <c r="CJ37" s="13">
        <f t="shared" si="112"/>
        <v>7.0512820512820484E-2</v>
      </c>
      <c r="CK37" s="1">
        <v>217868.79394205319</v>
      </c>
      <c r="CL37" s="13">
        <f t="shared" si="113"/>
        <v>-4.3285497658559491E-3</v>
      </c>
      <c r="CM37">
        <v>194</v>
      </c>
      <c r="CN37" s="13">
        <f t="shared" si="114"/>
        <v>0.16167664670658688</v>
      </c>
      <c r="CO37" s="1">
        <v>218706.9818509327</v>
      </c>
      <c r="CP37" s="13">
        <v>3.8472141590981668E-3</v>
      </c>
      <c r="CQ37">
        <v>217</v>
      </c>
      <c r="CR37" s="13">
        <v>0.11855670103092786</v>
      </c>
      <c r="CS37" s="1">
        <v>217550.07263806291</v>
      </c>
      <c r="CT37" s="13">
        <f t="shared" si="24"/>
        <v>-5.289768086408575E-3</v>
      </c>
      <c r="CU37">
        <v>247</v>
      </c>
      <c r="CV37" s="13">
        <f t="shared" si="25"/>
        <v>0.13824884792626735</v>
      </c>
      <c r="CW37" s="1">
        <v>212328.51609386841</v>
      </c>
      <c r="CX37" s="13">
        <f t="shared" si="26"/>
        <v>-2.4001630892955705E-2</v>
      </c>
      <c r="CY37">
        <v>274</v>
      </c>
      <c r="CZ37" s="13">
        <f t="shared" si="27"/>
        <v>0.10931174089068829</v>
      </c>
      <c r="DA37" s="1">
        <v>208687.38783141179</v>
      </c>
      <c r="DB37" s="13">
        <f t="shared" si="28"/>
        <v>-1.7148559832853127E-2</v>
      </c>
      <c r="DC37">
        <v>274</v>
      </c>
      <c r="DD37" s="13">
        <f t="shared" si="29"/>
        <v>0</v>
      </c>
      <c r="DE37" s="1">
        <v>211636.9993625207</v>
      </c>
      <c r="DF37" s="13">
        <f t="shared" si="30"/>
        <v>1.4134114963822109E-2</v>
      </c>
      <c r="DG37" s="1">
        <v>280</v>
      </c>
      <c r="DH37" s="13">
        <f t="shared" si="31"/>
        <v>2.1897810218978186E-2</v>
      </c>
      <c r="DI37" s="1">
        <v>211363.03112717529</v>
      </c>
      <c r="DJ37" s="13">
        <f t="shared" si="32"/>
        <v>-1.2945195602406256E-3</v>
      </c>
      <c r="DK37" s="1">
        <v>267</v>
      </c>
      <c r="DL37" s="13">
        <f t="shared" si="33"/>
        <v>-4.6428571428571375E-2</v>
      </c>
      <c r="DM37" s="1">
        <v>210477.15939939479</v>
      </c>
      <c r="DN37" s="13">
        <f t="shared" si="34"/>
        <v>-4.1912330792014396E-3</v>
      </c>
      <c r="DO37" s="1">
        <v>273</v>
      </c>
      <c r="DP37" s="13">
        <f t="shared" si="35"/>
        <v>2.2471910112359605E-2</v>
      </c>
      <c r="DQ37" s="1">
        <v>207949.09227331099</v>
      </c>
      <c r="DR37" s="13">
        <f t="shared" si="36"/>
        <v>-1.2011123360357701E-2</v>
      </c>
      <c r="DS37">
        <v>272</v>
      </c>
      <c r="DT37" s="13">
        <f t="shared" si="37"/>
        <v>-3.66300366300365E-3</v>
      </c>
      <c r="DU37" s="1">
        <v>205751.03411015761</v>
      </c>
      <c r="DV37" s="13">
        <f t="shared" si="38"/>
        <v>-1.0570174359138096E-2</v>
      </c>
      <c r="DW37">
        <v>285</v>
      </c>
      <c r="DX37" s="13">
        <f t="shared" si="39"/>
        <v>4.7794117647058876E-2</v>
      </c>
      <c r="DY37" s="1">
        <v>206730.6178299099</v>
      </c>
      <c r="DZ37" s="13">
        <f t="shared" si="40"/>
        <v>4.7610148060195367E-3</v>
      </c>
      <c r="EA37" s="1">
        <v>302</v>
      </c>
      <c r="EB37" s="13">
        <f t="shared" si="41"/>
        <v>5.9649122807017507E-2</v>
      </c>
      <c r="EC37" s="1">
        <v>209197.92171567219</v>
      </c>
      <c r="ED37" s="13">
        <f t="shared" si="42"/>
        <v>1.1934874048469712E-2</v>
      </c>
      <c r="EE37" s="1">
        <f>IFERROR(VLOOKUP($A37,[1]Москва_продажа_районы!$C$2:$F$148,2,0),"")</f>
        <v>295</v>
      </c>
      <c r="EF37" s="13">
        <v>-2.3178807947019875E-2</v>
      </c>
      <c r="EG37" s="1">
        <v>212753.31944462229</v>
      </c>
      <c r="EH37" s="13">
        <f t="shared" si="43"/>
        <v>1.6995377868917583E-2</v>
      </c>
      <c r="EI37" s="1">
        <f>IFERROR(VLOOKUP($A37,[2]Москва_продажа_районы!$C$2:$F$150,2,0),"")</f>
        <v>287</v>
      </c>
      <c r="EJ37" s="13">
        <v>-2.7118644067796627E-2</v>
      </c>
      <c r="EK37" s="1">
        <v>214998.08632302511</v>
      </c>
      <c r="EL37" s="13">
        <f t="shared" si="44"/>
        <v>1.0551031045074266E-2</v>
      </c>
      <c r="EM37">
        <v>306</v>
      </c>
      <c r="EN37" s="13">
        <f t="shared" si="45"/>
        <v>6.6202090592334395E-2</v>
      </c>
      <c r="EO37" s="1">
        <v>219166.3026859932</v>
      </c>
      <c r="EP37" s="13">
        <f t="shared" si="46"/>
        <v>1.9387225413278975E-2</v>
      </c>
      <c r="EQ37">
        <v>292</v>
      </c>
      <c r="ER37" s="13">
        <f t="shared" si="47"/>
        <v>-4.5751633986928053E-2</v>
      </c>
      <c r="ES37" s="183">
        <v>222066.83348069451</v>
      </c>
      <c r="ET37" s="13">
        <f t="shared" si="48"/>
        <v>1.3234383019441687E-2</v>
      </c>
      <c r="EU37">
        <v>323</v>
      </c>
      <c r="EV37" s="13">
        <f t="shared" si="49"/>
        <v>0.10616438356164393</v>
      </c>
      <c r="EW37" s="183">
        <v>218056.800482322</v>
      </c>
      <c r="EX37" s="13">
        <f t="shared" si="50"/>
        <v>-1.8057775380136309E-2</v>
      </c>
      <c r="EY37">
        <v>311</v>
      </c>
      <c r="EZ37" s="13">
        <f t="shared" si="51"/>
        <v>-3.7151702786377694E-2</v>
      </c>
      <c r="FA37" s="1">
        <v>218168.9673568962</v>
      </c>
      <c r="FB37" s="13">
        <f t="shared" si="52"/>
        <v>5.1439292113841795E-4</v>
      </c>
      <c r="FC37" s="1">
        <v>273</v>
      </c>
      <c r="FD37" s="13">
        <f t="shared" si="53"/>
        <v>-0.12218649517684887</v>
      </c>
      <c r="FE37" s="1">
        <v>219435.41915602909</v>
      </c>
      <c r="FF37" s="13">
        <f t="shared" si="54"/>
        <v>5.8049126531416473E-3</v>
      </c>
      <c r="FG37" s="1">
        <v>270</v>
      </c>
      <c r="FH37" s="13">
        <f t="shared" si="55"/>
        <v>-1.098901098901095E-2</v>
      </c>
      <c r="FI37" s="1">
        <v>221945.80401040829</v>
      </c>
      <c r="FJ37" s="13">
        <f t="shared" si="56"/>
        <v>1.1440198961655268E-2</v>
      </c>
      <c r="FK37" s="1">
        <v>307</v>
      </c>
      <c r="FL37" s="13">
        <f t="shared" si="57"/>
        <v>0.13703703703703707</v>
      </c>
      <c r="FM37" s="1">
        <v>221988.97205475901</v>
      </c>
      <c r="FN37" s="13">
        <f t="shared" si="58"/>
        <v>1.9449813229499568E-4</v>
      </c>
      <c r="FO37" s="1">
        <v>308</v>
      </c>
      <c r="FP37" s="13">
        <f t="shared" si="59"/>
        <v>3.2573289902280145E-3</v>
      </c>
      <c r="FQ37" s="1">
        <v>219443.1035884369</v>
      </c>
      <c r="FR37" s="13">
        <f t="shared" si="60"/>
        <v>-1.1468445674382877E-2</v>
      </c>
      <c r="FS37">
        <v>275</v>
      </c>
      <c r="FT37" s="13">
        <f t="shared" si="61"/>
        <v>-0.1071428571428571</v>
      </c>
      <c r="FU37" s="1">
        <v>217456.45183845839</v>
      </c>
      <c r="FV37" s="13">
        <f t="shared" si="62"/>
        <v>-9.0531518990200066E-3</v>
      </c>
      <c r="FW37" s="1">
        <v>252</v>
      </c>
      <c r="FX37" s="13">
        <f t="shared" si="63"/>
        <v>-8.363636363636362E-2</v>
      </c>
      <c r="FY37" s="1">
        <v>217172.66136740829</v>
      </c>
      <c r="FZ37" s="13">
        <f t="shared" si="64"/>
        <v>-1.3050450729368279E-3</v>
      </c>
      <c r="GA37" s="1">
        <v>276</v>
      </c>
      <c r="GB37" s="13">
        <f t="shared" si="65"/>
        <v>9.5238095238095344E-2</v>
      </c>
      <c r="GC37" s="1">
        <v>219025.97994944191</v>
      </c>
      <c r="GD37" s="13">
        <f t="shared" si="66"/>
        <v>8.5338484612398346E-3</v>
      </c>
      <c r="GE37" s="1">
        <v>444</v>
      </c>
      <c r="GF37" s="13">
        <f t="shared" si="67"/>
        <v>0.60869565217391308</v>
      </c>
      <c r="GG37" s="1">
        <f>IFERROR(VLOOKUP(A37,[3]Москва_продажа_районы!$C$2:$F$149,3,0),"")</f>
        <v>221183.16616344289</v>
      </c>
      <c r="GH37" s="13">
        <v>9.8489969751485162E-3</v>
      </c>
      <c r="GI37" s="1">
        <v>587</v>
      </c>
      <c r="GJ37" s="13">
        <f t="shared" si="68"/>
        <v>0.322072072072072</v>
      </c>
      <c r="GK37" s="1">
        <v>220073.46937480569</v>
      </c>
      <c r="GL37" s="13">
        <f t="shared" si="69"/>
        <v>-5.0170942386148498E-3</v>
      </c>
      <c r="GM37" s="1">
        <v>498</v>
      </c>
      <c r="GN37" s="13">
        <f t="shared" si="70"/>
        <v>-0.151618398637138</v>
      </c>
      <c r="GO37" s="1">
        <v>218280.17427201039</v>
      </c>
      <c r="GP37" s="13">
        <f t="shared" si="71"/>
        <v>-8.1486201307671147E-3</v>
      </c>
      <c r="GQ37" s="1">
        <v>498.62</v>
      </c>
      <c r="GR37" s="13">
        <f t="shared" si="72"/>
        <v>1.244979919678757E-3</v>
      </c>
      <c r="GS37" s="1">
        <v>225740.80027015609</v>
      </c>
      <c r="GT37" s="13">
        <f t="shared" si="115"/>
        <v>3.4179127916805774E-2</v>
      </c>
      <c r="GU37">
        <v>360</v>
      </c>
      <c r="GV37" s="13">
        <f t="shared" si="116"/>
        <v>-0.27800730014840958</v>
      </c>
      <c r="GW37">
        <v>218954.79937157329</v>
      </c>
      <c r="GX37" s="13">
        <f t="shared" si="73"/>
        <v>-3.0061029687418639E-2</v>
      </c>
      <c r="GY37">
        <v>233</v>
      </c>
      <c r="GZ37" s="13">
        <f t="shared" si="74"/>
        <v>-0.35277777777777775</v>
      </c>
      <c r="HA37">
        <v>216265.9801884132</v>
      </c>
      <c r="HB37" s="13">
        <v>-1.228024775377079E-2</v>
      </c>
      <c r="HC37">
        <v>165</v>
      </c>
      <c r="HD37" s="13">
        <v>-0.29184549356223177</v>
      </c>
      <c r="HE37">
        <v>211774.6228593523</v>
      </c>
      <c r="HF37" s="13">
        <v>-2.0767747775900736E-2</v>
      </c>
      <c r="HG37">
        <v>170</v>
      </c>
      <c r="HH37" s="13">
        <v>3.0303030303030276E-2</v>
      </c>
      <c r="HI37">
        <f>VLOOKUP(A37,[4]Москва_продажа_районы!$C$4:$F$151,3,0)</f>
        <v>214277.28879145739</v>
      </c>
      <c r="HJ37" s="13">
        <f t="shared" si="75"/>
        <v>1.1817591259587479E-2</v>
      </c>
      <c r="HK37">
        <f>VLOOKUP(A37,[4]Москва_продажа_районы!$C$4:$F$151,2,0)</f>
        <v>158</v>
      </c>
      <c r="HL37" s="13">
        <f t="shared" si="76"/>
        <v>-7.0588235294117618E-2</v>
      </c>
      <c r="HM37" s="1">
        <f>VLOOKUP(A37,Лист3!$C$4:$F$149,3,0)</f>
        <v>217042.25073748271</v>
      </c>
      <c r="HN37" s="13">
        <f t="shared" si="77"/>
        <v>1.2903663106901941E-2</v>
      </c>
      <c r="HO37">
        <f>VLOOKUP(A37,Лист3!$C$4:$F$149,2,0)</f>
        <v>139</v>
      </c>
      <c r="HP37" s="13">
        <f t="shared" si="78"/>
        <v>-0.120253164556962</v>
      </c>
      <c r="HQ37" s="1">
        <v>215687.2035624572</v>
      </c>
      <c r="HR37" s="13">
        <v>-6.243241444563119E-3</v>
      </c>
      <c r="HS37">
        <v>166</v>
      </c>
      <c r="HT37" s="13">
        <v>0.19424460431654667</v>
      </c>
      <c r="HU37" s="34">
        <v>216612.15807601609</v>
      </c>
      <c r="HV37" s="13">
        <v>4.2884069999593599E-3</v>
      </c>
      <c r="HW37">
        <v>161</v>
      </c>
      <c r="HX37" s="13">
        <v>-3.0120481927710885E-2</v>
      </c>
      <c r="HY37">
        <v>220249.08301650241</v>
      </c>
      <c r="HZ37" s="13">
        <v>1.6790031422012852E-2</v>
      </c>
      <c r="IA37">
        <v>154</v>
      </c>
      <c r="IB37" s="13">
        <v>-4.3478260869565188E-2</v>
      </c>
      <c r="IC37" s="34">
        <v>218054.14170787111</v>
      </c>
      <c r="ID37" s="13">
        <v>-9.9657228015194166E-3</v>
      </c>
      <c r="IE37">
        <v>170</v>
      </c>
      <c r="IF37" s="13">
        <v>0.10389610389610393</v>
      </c>
    </row>
    <row r="38" spans="1:240" x14ac:dyDescent="0.3">
      <c r="A38" s="23" t="s">
        <v>52</v>
      </c>
      <c r="B38" s="22"/>
      <c r="D38" s="22"/>
      <c r="F38" s="22">
        <v>120925.92871666666</v>
      </c>
      <c r="G38">
        <v>6</v>
      </c>
      <c r="H38" s="22">
        <v>125098.26619164948</v>
      </c>
      <c r="I38">
        <v>5</v>
      </c>
      <c r="J38" s="22">
        <v>134731.85682139188</v>
      </c>
      <c r="K38">
        <v>9</v>
      </c>
      <c r="L38" s="22">
        <v>129875.47022278637</v>
      </c>
      <c r="M38">
        <v>10</v>
      </c>
      <c r="N38" s="22">
        <v>133754.67311242613</v>
      </c>
      <c r="O38" s="28">
        <v>11</v>
      </c>
      <c r="P38" s="39">
        <v>135522.90962744443</v>
      </c>
      <c r="Q38" s="28">
        <v>16</v>
      </c>
      <c r="R38" s="39">
        <v>133425.0057237361</v>
      </c>
      <c r="S38">
        <v>12</v>
      </c>
      <c r="T38" s="46">
        <v>134585.27340721519</v>
      </c>
      <c r="U38" s="47">
        <v>11</v>
      </c>
      <c r="V38" s="56"/>
      <c r="W38" s="47"/>
      <c r="X38" s="56">
        <v>149637.52011338339</v>
      </c>
      <c r="Y38" s="47">
        <v>21</v>
      </c>
      <c r="Z38" s="34">
        <v>148191.4767770413</v>
      </c>
      <c r="AA38" s="81">
        <v>28</v>
      </c>
      <c r="AB38" s="1">
        <v>153417.32477912589</v>
      </c>
      <c r="AC38">
        <v>27</v>
      </c>
      <c r="AD38" s="1">
        <v>150987.40410864391</v>
      </c>
      <c r="AE38">
        <v>36</v>
      </c>
      <c r="AF38" s="13">
        <f t="shared" si="19"/>
        <v>9.0210262388583651E-3</v>
      </c>
      <c r="AG38" s="85">
        <f t="shared" si="117"/>
        <v>3.7854889589905363E-2</v>
      </c>
      <c r="AH38" s="35">
        <f t="shared" si="118"/>
        <v>3.7476340694006312</v>
      </c>
      <c r="AI38" s="87">
        <f t="shared" si="119"/>
        <v>39.747634069400632</v>
      </c>
      <c r="AL38" s="1">
        <v>156908.01467819029</v>
      </c>
      <c r="AM38">
        <v>29</v>
      </c>
      <c r="AN38" s="13">
        <f t="shared" si="120"/>
        <v>3.0051813471502591E-2</v>
      </c>
      <c r="AQ38" s="35">
        <f t="shared" si="121"/>
        <v>0.99170984455958544</v>
      </c>
      <c r="AR38" s="87">
        <f t="shared" si="122"/>
        <v>29.991709844559587</v>
      </c>
      <c r="AS38">
        <v>41</v>
      </c>
      <c r="AT38" s="1">
        <v>154595.41426697501</v>
      </c>
      <c r="AU38" s="13">
        <f t="shared" si="126"/>
        <v>-1.4738574163711715E-2</v>
      </c>
      <c r="AV38" s="35">
        <v>43</v>
      </c>
      <c r="AW38" s="1">
        <v>163412.82960815731</v>
      </c>
      <c r="AX38" s="61"/>
      <c r="AY38" s="121">
        <v>161403.4948235729</v>
      </c>
      <c r="AZ38" s="122">
        <v>47</v>
      </c>
      <c r="BA38" s="119">
        <v>164915.79875701151</v>
      </c>
      <c r="BB38">
        <v>49</v>
      </c>
      <c r="BC38" s="125">
        <f t="shared" si="127"/>
        <v>2.1761015381221105E-2</v>
      </c>
      <c r="BD38">
        <v>45</v>
      </c>
      <c r="BE38" s="1">
        <v>168877.5836387029</v>
      </c>
      <c r="BF38" s="13">
        <f t="shared" si="128"/>
        <v>2.4023076694603018E-2</v>
      </c>
      <c r="BG38">
        <v>48</v>
      </c>
      <c r="BH38" s="1">
        <v>180110.5858781742</v>
      </c>
      <c r="BI38" s="13">
        <f t="shared" si="123"/>
        <v>6.6515649960406931E-2</v>
      </c>
      <c r="BJ38">
        <v>58</v>
      </c>
      <c r="BK38" s="1">
        <v>181780.42567675631</v>
      </c>
      <c r="BL38" s="13">
        <f t="shared" si="103"/>
        <v>9.2711918649333036E-3</v>
      </c>
      <c r="BM38" s="1">
        <v>189704.02850509901</v>
      </c>
      <c r="BN38" s="109">
        <f t="shared" si="104"/>
        <v>4.358886716676813E-2</v>
      </c>
      <c r="BO38">
        <v>39</v>
      </c>
      <c r="BP38" s="13">
        <f t="shared" si="105"/>
        <v>-0.32758620689655171</v>
      </c>
      <c r="BQ38" s="1">
        <v>185704.04274797891</v>
      </c>
      <c r="BR38" s="13">
        <f t="shared" si="124"/>
        <v>-2.108540229029765E-2</v>
      </c>
      <c r="BS38">
        <v>44</v>
      </c>
      <c r="BT38" s="13">
        <f t="shared" si="125"/>
        <v>0.12820512820512819</v>
      </c>
      <c r="BU38" s="1">
        <v>197007.8558879433</v>
      </c>
      <c r="BV38" s="13">
        <f t="shared" si="129"/>
        <v>6.087004339105806E-2</v>
      </c>
      <c r="BW38">
        <v>35</v>
      </c>
      <c r="BX38" s="13">
        <f t="shared" si="106"/>
        <v>-0.20454545454545459</v>
      </c>
      <c r="BY38" s="1">
        <v>194764.4041190407</v>
      </c>
      <c r="BZ38" s="13">
        <f t="shared" si="107"/>
        <v>-1.1387625933955925E-2</v>
      </c>
      <c r="CA38">
        <v>34</v>
      </c>
      <c r="CB38" s="13">
        <f t="shared" si="108"/>
        <v>-2.8571428571428581E-2</v>
      </c>
      <c r="CC38" s="1">
        <v>192615.57333166391</v>
      </c>
      <c r="CD38" s="13">
        <f t="shared" si="109"/>
        <v>-1.1032974927304595E-2</v>
      </c>
      <c r="CE38">
        <v>36</v>
      </c>
      <c r="CF38" s="13">
        <f t="shared" si="110"/>
        <v>5.8823529411764719E-2</v>
      </c>
      <c r="CG38" s="1">
        <v>189837.72813015021</v>
      </c>
      <c r="CH38" s="13">
        <f t="shared" si="111"/>
        <v>-1.4421706165630432E-2</v>
      </c>
      <c r="CI38">
        <v>41</v>
      </c>
      <c r="CJ38" s="13">
        <f t="shared" si="112"/>
        <v>0.13888888888888884</v>
      </c>
      <c r="CK38" s="1">
        <v>185120.98593962949</v>
      </c>
      <c r="CL38" s="13">
        <f t="shared" si="113"/>
        <v>-2.4846179086630116E-2</v>
      </c>
      <c r="CM38">
        <v>47</v>
      </c>
      <c r="CN38" s="13">
        <f t="shared" si="114"/>
        <v>0.14634146341463405</v>
      </c>
      <c r="CO38" s="1">
        <v>187366.03057591509</v>
      </c>
      <c r="CP38" s="13">
        <v>1.2127445329281894E-2</v>
      </c>
      <c r="CQ38">
        <v>42</v>
      </c>
      <c r="CR38" s="13">
        <v>-0.1063829787234043</v>
      </c>
      <c r="CS38" s="1">
        <v>183993.56612160249</v>
      </c>
      <c r="CT38" s="13">
        <f t="shared" si="24"/>
        <v>-1.799933768115014E-2</v>
      </c>
      <c r="CU38">
        <v>54</v>
      </c>
      <c r="CV38" s="13">
        <f t="shared" si="25"/>
        <v>0.28571428571428581</v>
      </c>
      <c r="CW38" s="1">
        <v>186312.84610077331</v>
      </c>
      <c r="CX38" s="13">
        <f t="shared" si="26"/>
        <v>1.2605223258937093E-2</v>
      </c>
      <c r="CY38">
        <v>50</v>
      </c>
      <c r="CZ38" s="13">
        <f t="shared" si="27"/>
        <v>-7.407407407407407E-2</v>
      </c>
      <c r="DA38" s="1">
        <v>184936.3643585839</v>
      </c>
      <c r="DB38" s="13">
        <f t="shared" si="28"/>
        <v>-7.3880130704723213E-3</v>
      </c>
      <c r="DC38">
        <v>51</v>
      </c>
      <c r="DD38" s="13">
        <f t="shared" si="29"/>
        <v>2.0000000000000018E-2</v>
      </c>
      <c r="DE38" s="1">
        <v>183323.91107130231</v>
      </c>
      <c r="DF38" s="13">
        <f t="shared" si="30"/>
        <v>-8.7189628328321334E-3</v>
      </c>
      <c r="DG38" s="1">
        <v>48</v>
      </c>
      <c r="DH38" s="13">
        <f t="shared" si="31"/>
        <v>-5.8823529411764719E-2</v>
      </c>
      <c r="DI38" s="1">
        <v>184338.81943882929</v>
      </c>
      <c r="DJ38" s="13">
        <f t="shared" si="32"/>
        <v>5.536148348549208E-3</v>
      </c>
      <c r="DK38" s="1">
        <v>48</v>
      </c>
      <c r="DL38" s="13">
        <f t="shared" si="33"/>
        <v>0</v>
      </c>
      <c r="DM38" s="1">
        <v>182007.43381897479</v>
      </c>
      <c r="DN38" s="13">
        <f t="shared" si="34"/>
        <v>-1.2647285183618906E-2</v>
      </c>
      <c r="DO38" s="1">
        <v>56</v>
      </c>
      <c r="DP38" s="13">
        <f t="shared" si="35"/>
        <v>0.16666666666666674</v>
      </c>
      <c r="DQ38" s="1">
        <v>186753.59021935271</v>
      </c>
      <c r="DR38" s="13">
        <f t="shared" si="36"/>
        <v>2.6076717311988906E-2</v>
      </c>
      <c r="DS38">
        <v>75</v>
      </c>
      <c r="DT38" s="13">
        <f t="shared" si="37"/>
        <v>0.33928571428571419</v>
      </c>
      <c r="DU38" s="1">
        <v>192006.65405328249</v>
      </c>
      <c r="DV38" s="13">
        <f t="shared" si="38"/>
        <v>2.8128315111692004E-2</v>
      </c>
      <c r="DW38">
        <v>80</v>
      </c>
      <c r="DX38" s="13">
        <f t="shared" si="39"/>
        <v>6.6666666666666652E-2</v>
      </c>
      <c r="DY38" s="1">
        <v>194696.7274486415</v>
      </c>
      <c r="DZ38" s="13">
        <f t="shared" si="40"/>
        <v>1.4010313385350193E-2</v>
      </c>
      <c r="EA38" s="1">
        <v>78</v>
      </c>
      <c r="EB38" s="13">
        <f t="shared" si="41"/>
        <v>-2.5000000000000022E-2</v>
      </c>
      <c r="EC38" s="1">
        <v>189408.84941551241</v>
      </c>
      <c r="ED38" s="13">
        <f t="shared" si="42"/>
        <v>-2.7159562990209829E-2</v>
      </c>
      <c r="EE38" s="1">
        <f>IFERROR(VLOOKUP($A38,[1]Москва_продажа_районы!$C$2:$F$148,2,0),"")</f>
        <v>75</v>
      </c>
      <c r="EF38" s="13">
        <v>-3.8461538461538436E-2</v>
      </c>
      <c r="EG38" s="1">
        <v>190852.9851116424</v>
      </c>
      <c r="EH38" s="13">
        <f t="shared" si="43"/>
        <v>7.6244362424795487E-3</v>
      </c>
      <c r="EI38" s="1">
        <f>IFERROR(VLOOKUP($A38,[2]Москва_продажа_районы!$C$2:$F$150,2,0),"")</f>
        <v>74</v>
      </c>
      <c r="EJ38" s="13">
        <v>-1.3333333333333308E-2</v>
      </c>
      <c r="EK38" s="1">
        <v>195122.9701525874</v>
      </c>
      <c r="EL38" s="13">
        <f t="shared" si="44"/>
        <v>2.2373163503034643E-2</v>
      </c>
      <c r="EM38">
        <v>81</v>
      </c>
      <c r="EN38" s="13">
        <f t="shared" si="45"/>
        <v>9.4594594594594517E-2</v>
      </c>
      <c r="EO38" s="1">
        <v>196068.47253251649</v>
      </c>
      <c r="EP38" s="13">
        <f t="shared" si="46"/>
        <v>4.8456743928697588E-3</v>
      </c>
      <c r="EQ38">
        <v>83</v>
      </c>
      <c r="ER38" s="13">
        <f t="shared" si="47"/>
        <v>2.4691358024691468E-2</v>
      </c>
      <c r="ES38" s="183">
        <v>195232.64366378789</v>
      </c>
      <c r="ET38" s="13">
        <f t="shared" si="48"/>
        <v>-4.2629437457875063E-3</v>
      </c>
      <c r="EU38">
        <v>89</v>
      </c>
      <c r="EV38" s="13">
        <f t="shared" si="49"/>
        <v>7.2289156626506035E-2</v>
      </c>
      <c r="EW38" s="183">
        <v>198621.6802717142</v>
      </c>
      <c r="EX38" s="13">
        <f t="shared" si="50"/>
        <v>1.7358964896068363E-2</v>
      </c>
      <c r="EY38">
        <v>88</v>
      </c>
      <c r="EZ38" s="13">
        <f t="shared" si="51"/>
        <v>-1.1235955056179803E-2</v>
      </c>
      <c r="FA38" s="1">
        <v>198644.16597410539</v>
      </c>
      <c r="FB38" s="13">
        <f t="shared" si="52"/>
        <v>1.1320870088527002E-4</v>
      </c>
      <c r="FC38" s="1">
        <v>87</v>
      </c>
      <c r="FD38" s="13">
        <f t="shared" si="53"/>
        <v>-1.1363636363636354E-2</v>
      </c>
      <c r="FE38" s="1">
        <v>197996.1716304174</v>
      </c>
      <c r="FF38" s="13">
        <f t="shared" si="54"/>
        <v>-3.2620859540997138E-3</v>
      </c>
      <c r="FG38" s="1">
        <v>77</v>
      </c>
      <c r="FH38" s="13">
        <f t="shared" si="55"/>
        <v>-0.11494252873563215</v>
      </c>
      <c r="FI38" s="1">
        <v>197187.34847582129</v>
      </c>
      <c r="FJ38" s="13">
        <f t="shared" si="56"/>
        <v>-4.0850444124034269E-3</v>
      </c>
      <c r="FK38" s="1">
        <v>87</v>
      </c>
      <c r="FL38" s="13">
        <f t="shared" si="57"/>
        <v>0.12987012987012991</v>
      </c>
      <c r="FM38" s="1">
        <v>191943.45845754861</v>
      </c>
      <c r="FN38" s="13">
        <f t="shared" si="58"/>
        <v>-2.6593440496085807E-2</v>
      </c>
      <c r="FO38" s="1">
        <v>90</v>
      </c>
      <c r="FP38" s="13">
        <f t="shared" si="59"/>
        <v>3.4482758620689724E-2</v>
      </c>
      <c r="FQ38" s="1">
        <v>189622.47705635289</v>
      </c>
      <c r="FR38" s="13">
        <f t="shared" si="60"/>
        <v>-1.2092005738809974E-2</v>
      </c>
      <c r="FS38">
        <v>95</v>
      </c>
      <c r="FT38" s="13">
        <f t="shared" si="61"/>
        <v>5.555555555555558E-2</v>
      </c>
      <c r="FU38" s="1">
        <v>187266.7771491319</v>
      </c>
      <c r="FV38" s="13">
        <f t="shared" si="62"/>
        <v>-1.2423104812204877E-2</v>
      </c>
      <c r="FW38" s="1">
        <v>108</v>
      </c>
      <c r="FX38" s="13">
        <f t="shared" si="63"/>
        <v>0.13684210526315788</v>
      </c>
      <c r="FY38" s="1">
        <v>180521.2510715239</v>
      </c>
      <c r="FZ38" s="13">
        <f t="shared" si="64"/>
        <v>-3.6020943919145454E-2</v>
      </c>
      <c r="GA38" s="1">
        <v>112</v>
      </c>
      <c r="GB38" s="13">
        <f t="shared" si="65"/>
        <v>3.7037037037036979E-2</v>
      </c>
      <c r="GC38" s="1">
        <v>186178.47107141319</v>
      </c>
      <c r="GD38" s="13">
        <f t="shared" si="66"/>
        <v>3.1338249465420853E-2</v>
      </c>
      <c r="GE38" s="1">
        <v>126</v>
      </c>
      <c r="GF38" s="13">
        <f t="shared" si="67"/>
        <v>0.125</v>
      </c>
      <c r="GG38" s="1">
        <f>IFERROR(VLOOKUP(A38,[3]Москва_продажа_районы!$C$2:$F$149,3,0),"")</f>
        <v>195990.20386845811</v>
      </c>
      <c r="GH38" s="13">
        <v>5.2700684137004128E-2</v>
      </c>
      <c r="GI38" s="1">
        <v>130</v>
      </c>
      <c r="GJ38" s="13">
        <f t="shared" si="68"/>
        <v>3.1746031746031855E-2</v>
      </c>
      <c r="GK38" s="1">
        <v>197034.09777282749</v>
      </c>
      <c r="GL38" s="13">
        <f t="shared" si="69"/>
        <v>5.3262555156583513E-3</v>
      </c>
      <c r="GM38" s="1">
        <v>111</v>
      </c>
      <c r="GN38" s="13">
        <f t="shared" si="70"/>
        <v>-0.14615384615384619</v>
      </c>
      <c r="GO38" s="1">
        <v>201162.6584977023</v>
      </c>
      <c r="GP38" s="13">
        <f t="shared" si="71"/>
        <v>2.0953534294530396E-2</v>
      </c>
      <c r="GQ38" s="1">
        <v>112.35000000000001</v>
      </c>
      <c r="GR38" s="13">
        <f t="shared" si="72"/>
        <v>1.2162162162162149E-2</v>
      </c>
      <c r="GS38" s="1">
        <v>198588.30379901681</v>
      </c>
      <c r="GT38" s="13">
        <f t="shared" si="115"/>
        <v>-1.2797378588605635E-2</v>
      </c>
      <c r="GU38">
        <v>113</v>
      </c>
      <c r="GV38" s="13">
        <f t="shared" si="116"/>
        <v>5.7854917668000994E-3</v>
      </c>
      <c r="GW38">
        <v>195336.95587304159</v>
      </c>
      <c r="GX38" s="13">
        <f t="shared" si="73"/>
        <v>-1.6372303221169449E-2</v>
      </c>
      <c r="GY38">
        <v>99</v>
      </c>
      <c r="GZ38" s="13">
        <f t="shared" si="74"/>
        <v>-0.12389380530973448</v>
      </c>
      <c r="HA38">
        <v>187333.65264065831</v>
      </c>
      <c r="HB38" s="13">
        <v>-4.0971782306185811E-2</v>
      </c>
      <c r="HC38">
        <v>72</v>
      </c>
      <c r="HD38" s="13">
        <v>-0.27272727272727271</v>
      </c>
      <c r="HE38">
        <v>184549.74358806189</v>
      </c>
      <c r="HF38" s="13">
        <v>-1.4860699150176182E-2</v>
      </c>
      <c r="HG38">
        <v>78</v>
      </c>
      <c r="HH38" s="13">
        <v>8.3333333333333259E-2</v>
      </c>
      <c r="HI38">
        <f>VLOOKUP(A38,[4]Москва_продажа_районы!$C$4:$F$151,3,0)</f>
        <v>184972.30546036031</v>
      </c>
      <c r="HJ38" s="13">
        <f t="shared" si="75"/>
        <v>2.2896909206313598E-3</v>
      </c>
      <c r="HK38">
        <f>VLOOKUP(A38,[4]Москва_продажа_районы!$C$4:$F$151,2,0)</f>
        <v>75</v>
      </c>
      <c r="HL38" s="13">
        <f t="shared" si="76"/>
        <v>-3.8461538461538436E-2</v>
      </c>
      <c r="HM38" s="1">
        <f>VLOOKUP(A38,Лист3!$C$4:$F$149,3,0)</f>
        <v>183613.73060052609</v>
      </c>
      <c r="HN38" s="13">
        <f t="shared" si="77"/>
        <v>-7.3447474012554581E-3</v>
      </c>
      <c r="HO38">
        <f>VLOOKUP(A38,Лист3!$C$4:$F$149,2,0)</f>
        <v>66</v>
      </c>
      <c r="HP38" s="13">
        <f t="shared" si="78"/>
        <v>-0.12</v>
      </c>
      <c r="HQ38" s="1">
        <v>192383.85898150509</v>
      </c>
      <c r="HR38" s="13">
        <v>4.776401172339062E-2</v>
      </c>
      <c r="HS38">
        <v>60</v>
      </c>
      <c r="HT38" s="13">
        <v>-9.0909090909090939E-2</v>
      </c>
      <c r="HU38" s="34">
        <v>190671.15439504629</v>
      </c>
      <c r="HV38" s="13">
        <v>-8.9025378507635589E-3</v>
      </c>
      <c r="HW38">
        <v>60</v>
      </c>
      <c r="HX38" s="13">
        <v>0</v>
      </c>
      <c r="HY38">
        <v>186167.70832927409</v>
      </c>
      <c r="HZ38" s="13">
        <v>-2.3618916453621686E-2</v>
      </c>
      <c r="IA38">
        <v>62</v>
      </c>
      <c r="IB38" s="13">
        <v>3.3333333333333437E-2</v>
      </c>
      <c r="IC38" s="34">
        <v>184410.771552955</v>
      </c>
      <c r="ID38" s="13">
        <v>-9.4373873540495312E-3</v>
      </c>
      <c r="IE38">
        <v>69</v>
      </c>
      <c r="IF38" s="13">
        <v>0.11290322580645151</v>
      </c>
    </row>
    <row r="39" spans="1:240" x14ac:dyDescent="0.3">
      <c r="A39" s="23" t="s">
        <v>53</v>
      </c>
      <c r="B39" s="22">
        <v>100044.73145733333</v>
      </c>
      <c r="C39">
        <v>15</v>
      </c>
      <c r="D39" s="22">
        <v>104378.54125473683</v>
      </c>
      <c r="E39">
        <v>19</v>
      </c>
      <c r="F39" s="22">
        <v>109760.71419470587</v>
      </c>
      <c r="G39">
        <v>17</v>
      </c>
      <c r="H39" s="22">
        <v>116599.8223786615</v>
      </c>
      <c r="I39">
        <v>23</v>
      </c>
      <c r="J39" s="22">
        <v>115809.91043493377</v>
      </c>
      <c r="K39">
        <v>26</v>
      </c>
      <c r="L39" s="22">
        <v>125391.40834534148</v>
      </c>
      <c r="M39">
        <v>28</v>
      </c>
      <c r="N39" s="22">
        <v>133111.87691309181</v>
      </c>
      <c r="O39" s="28">
        <v>26</v>
      </c>
      <c r="P39" s="39">
        <v>137959.6332963364</v>
      </c>
      <c r="Q39" s="28">
        <v>39</v>
      </c>
      <c r="R39" s="39">
        <v>134235.67855744882</v>
      </c>
      <c r="S39">
        <v>30</v>
      </c>
      <c r="T39" s="46">
        <v>138215.28060857675</v>
      </c>
      <c r="U39" s="47">
        <v>28</v>
      </c>
      <c r="V39" s="56">
        <v>151776.0607628237</v>
      </c>
      <c r="W39" s="47">
        <v>5</v>
      </c>
      <c r="X39" s="56">
        <v>142098.69869975321</v>
      </c>
      <c r="Y39" s="47">
        <v>41</v>
      </c>
      <c r="Z39" s="34">
        <v>143797</v>
      </c>
      <c r="AA39" s="81">
        <v>46</v>
      </c>
      <c r="AB39" s="1">
        <v>149004.00321816749</v>
      </c>
      <c r="AC39">
        <v>35</v>
      </c>
      <c r="AD39" s="1">
        <v>139850.06130808819</v>
      </c>
      <c r="AE39">
        <v>26</v>
      </c>
      <c r="AF39" s="13">
        <f t="shared" si="19"/>
        <v>-1.5824475609141686E-2</v>
      </c>
      <c r="AG39" s="85">
        <f t="shared" si="117"/>
        <v>2.7339642481598318E-2</v>
      </c>
      <c r="AH39" s="35">
        <f t="shared" si="118"/>
        <v>2.7066246056782335</v>
      </c>
      <c r="AI39" s="87">
        <f t="shared" si="119"/>
        <v>28.706624605678233</v>
      </c>
      <c r="AL39" s="1">
        <v>140657.93903679901</v>
      </c>
      <c r="AM39">
        <v>30</v>
      </c>
      <c r="AN39" s="13">
        <f t="shared" si="120"/>
        <v>3.1088082901554404E-2</v>
      </c>
      <c r="AQ39" s="35">
        <f t="shared" si="121"/>
        <v>1.0259067357512954</v>
      </c>
      <c r="AR39" s="87">
        <f t="shared" si="122"/>
        <v>31.025906735751295</v>
      </c>
      <c r="AS39">
        <v>27</v>
      </c>
      <c r="AT39" s="1">
        <v>142794.80192158921</v>
      </c>
      <c r="AU39" s="13">
        <f t="shared" si="126"/>
        <v>1.519191095378658E-2</v>
      </c>
      <c r="AV39" s="35">
        <v>30</v>
      </c>
      <c r="AW39" s="1">
        <v>137116.16983491101</v>
      </c>
      <c r="AX39" s="61"/>
      <c r="AY39" s="121">
        <v>134913.38424212651</v>
      </c>
      <c r="AZ39" s="122">
        <v>25</v>
      </c>
      <c r="BA39" s="119">
        <v>131929.12376766</v>
      </c>
      <c r="BB39">
        <v>29</v>
      </c>
      <c r="BC39" s="125">
        <f t="shared" si="127"/>
        <v>-2.2119825184362174E-2</v>
      </c>
      <c r="BD39">
        <v>33</v>
      </c>
      <c r="BE39" s="1">
        <v>170515.08068449149</v>
      </c>
      <c r="BF39" s="13">
        <f t="shared" si="128"/>
        <v>0.292474897239408</v>
      </c>
      <c r="BG39">
        <v>34</v>
      </c>
      <c r="BH39" s="1">
        <v>162307.50174176111</v>
      </c>
      <c r="BI39" s="13">
        <f t="shared" si="123"/>
        <v>-4.813403547523798E-2</v>
      </c>
      <c r="BJ39">
        <v>35</v>
      </c>
      <c r="BK39" s="1">
        <v>173501.20366723221</v>
      </c>
      <c r="BL39" s="13">
        <f t="shared" si="103"/>
        <v>6.8966017006908409E-2</v>
      </c>
      <c r="BM39" s="1">
        <v>183076.02543060039</v>
      </c>
      <c r="BN39" s="109">
        <f t="shared" si="104"/>
        <v>5.5185909728512783E-2</v>
      </c>
      <c r="BO39">
        <v>28</v>
      </c>
      <c r="BP39" s="13">
        <f t="shared" si="105"/>
        <v>-0.19999999999999996</v>
      </c>
      <c r="BQ39" s="1">
        <v>168323.956542367</v>
      </c>
      <c r="BR39" s="13">
        <f t="shared" si="124"/>
        <v>-8.0578922628105287E-2</v>
      </c>
      <c r="BS39">
        <v>44</v>
      </c>
      <c r="BT39" s="13">
        <f t="shared" si="125"/>
        <v>0.5714285714285714</v>
      </c>
      <c r="BU39" s="1">
        <v>184428.14321378109</v>
      </c>
      <c r="BV39" s="13">
        <f t="shared" si="129"/>
        <v>9.5673765055306781E-2</v>
      </c>
      <c r="BW39">
        <v>42</v>
      </c>
      <c r="BX39" s="13">
        <f t="shared" si="106"/>
        <v>-4.5454545454545414E-2</v>
      </c>
      <c r="BY39" s="1">
        <v>194961.2420049941</v>
      </c>
      <c r="BZ39" s="13">
        <f t="shared" si="107"/>
        <v>5.7112209707623096E-2</v>
      </c>
      <c r="CA39">
        <v>39</v>
      </c>
      <c r="CB39" s="13">
        <f t="shared" si="108"/>
        <v>-7.1428571428571397E-2</v>
      </c>
      <c r="CC39" s="1">
        <v>189181.30411251471</v>
      </c>
      <c r="CD39" s="13">
        <f t="shared" si="109"/>
        <v>-2.9646599667903839E-2</v>
      </c>
      <c r="CE39">
        <v>38</v>
      </c>
      <c r="CF39" s="13">
        <f t="shared" si="110"/>
        <v>-2.5641025641025661E-2</v>
      </c>
      <c r="CG39" s="1">
        <v>186061.88309689131</v>
      </c>
      <c r="CH39" s="13">
        <f t="shared" si="111"/>
        <v>-1.6489055460618629E-2</v>
      </c>
      <c r="CI39">
        <v>44</v>
      </c>
      <c r="CJ39" s="13">
        <f t="shared" si="112"/>
        <v>0.15789473684210531</v>
      </c>
      <c r="CK39" s="1">
        <v>187333.87741643839</v>
      </c>
      <c r="CL39" s="13">
        <f t="shared" si="113"/>
        <v>6.8364046325635197E-3</v>
      </c>
      <c r="CM39">
        <v>55</v>
      </c>
      <c r="CN39" s="13">
        <f t="shared" si="114"/>
        <v>0.25</v>
      </c>
      <c r="CO39" s="1">
        <v>187075.2093791962</v>
      </c>
      <c r="CP39" s="13">
        <v>-1.3807862240911017E-3</v>
      </c>
      <c r="CQ39">
        <v>59</v>
      </c>
      <c r="CR39" s="13">
        <v>7.2727272727272751E-2</v>
      </c>
      <c r="CS39" s="1">
        <v>184891.90571040619</v>
      </c>
      <c r="CT39" s="13">
        <f t="shared" si="24"/>
        <v>-1.1670726848497126E-2</v>
      </c>
      <c r="CU39">
        <v>56</v>
      </c>
      <c r="CV39" s="13">
        <f t="shared" si="25"/>
        <v>-5.084745762711862E-2</v>
      </c>
      <c r="CW39" s="1">
        <v>174901.18347862869</v>
      </c>
      <c r="CX39" s="13">
        <f t="shared" si="26"/>
        <v>-5.4035476530951199E-2</v>
      </c>
      <c r="CY39">
        <v>41</v>
      </c>
      <c r="CZ39" s="13">
        <f t="shared" si="27"/>
        <v>-0.2678571428571429</v>
      </c>
      <c r="DA39" s="1">
        <v>170397.8230646431</v>
      </c>
      <c r="DB39" s="13">
        <f t="shared" si="28"/>
        <v>-2.5748027111182181E-2</v>
      </c>
      <c r="DC39">
        <v>44</v>
      </c>
      <c r="DD39" s="13">
        <f t="shared" si="29"/>
        <v>7.3170731707317138E-2</v>
      </c>
      <c r="DE39" s="1">
        <v>174063.39290312739</v>
      </c>
      <c r="DF39" s="13">
        <f t="shared" si="30"/>
        <v>2.1511834908205962E-2</v>
      </c>
      <c r="DG39" s="1">
        <v>49</v>
      </c>
      <c r="DH39" s="13">
        <f t="shared" si="31"/>
        <v>0.11363636363636354</v>
      </c>
      <c r="DI39" s="1">
        <v>172443.01564699059</v>
      </c>
      <c r="DJ39" s="13">
        <f t="shared" si="32"/>
        <v>-9.3091214017562152E-3</v>
      </c>
      <c r="DK39" s="1">
        <v>36</v>
      </c>
      <c r="DL39" s="13">
        <f t="shared" si="33"/>
        <v>-0.26530612244897955</v>
      </c>
      <c r="DM39" s="1">
        <v>186102.65680637359</v>
      </c>
      <c r="DN39" s="13">
        <f t="shared" si="34"/>
        <v>7.921249293938204E-2</v>
      </c>
      <c r="DO39" s="1">
        <v>37</v>
      </c>
      <c r="DP39" s="13">
        <f t="shared" si="35"/>
        <v>2.7777777777777679E-2</v>
      </c>
      <c r="DQ39" s="1">
        <v>191716.42681340221</v>
      </c>
      <c r="DR39" s="13">
        <f t="shared" si="36"/>
        <v>3.0164910610971818E-2</v>
      </c>
      <c r="DS39">
        <v>39</v>
      </c>
      <c r="DT39" s="13">
        <f t="shared" si="37"/>
        <v>5.4054054054053946E-2</v>
      </c>
      <c r="DU39" s="1">
        <v>188707.70577135999</v>
      </c>
      <c r="DV39" s="13">
        <f t="shared" si="38"/>
        <v>-1.5693600658281626E-2</v>
      </c>
      <c r="DW39">
        <v>49</v>
      </c>
      <c r="DX39" s="13">
        <f t="shared" si="39"/>
        <v>0.25641025641025639</v>
      </c>
      <c r="DY39" s="1">
        <v>183407.41242852109</v>
      </c>
      <c r="DZ39" s="13">
        <f t="shared" si="40"/>
        <v>-2.8087318009476503E-2</v>
      </c>
      <c r="EA39" s="1">
        <v>44</v>
      </c>
      <c r="EB39" s="13">
        <f t="shared" si="41"/>
        <v>-0.10204081632653061</v>
      </c>
      <c r="EC39" s="1">
        <v>190261.46720059149</v>
      </c>
      <c r="ED39" s="13">
        <f t="shared" si="42"/>
        <v>3.737065302495135E-2</v>
      </c>
      <c r="EE39" s="1">
        <f>IFERROR(VLOOKUP($A39,[1]Москва_продажа_районы!$C$2:$F$148,2,0),"")</f>
        <v>63</v>
      </c>
      <c r="EF39" s="13">
        <v>0.43181818181818188</v>
      </c>
      <c r="EG39" s="1">
        <v>189611.0902327091</v>
      </c>
      <c r="EH39" s="13">
        <f t="shared" si="43"/>
        <v>-3.4183325580933177E-3</v>
      </c>
      <c r="EI39" s="1">
        <f>IFERROR(VLOOKUP($A39,[2]Москва_продажа_районы!$C$2:$F$150,2,0),"")</f>
        <v>57</v>
      </c>
      <c r="EJ39" s="13">
        <v>-9.5238095238095233E-2</v>
      </c>
      <c r="EK39" s="1">
        <v>191556.30498478611</v>
      </c>
      <c r="EL39" s="13">
        <f t="shared" si="44"/>
        <v>1.0258971401354566E-2</v>
      </c>
      <c r="EM39">
        <v>48</v>
      </c>
      <c r="EN39" s="13">
        <f t="shared" si="45"/>
        <v>-0.15789473684210531</v>
      </c>
      <c r="EO39" s="1">
        <v>196184.32665113779</v>
      </c>
      <c r="EP39" s="13">
        <f t="shared" si="46"/>
        <v>2.4160111392414141E-2</v>
      </c>
      <c r="EQ39">
        <v>41</v>
      </c>
      <c r="ER39" s="13">
        <f t="shared" si="47"/>
        <v>-0.14583333333333337</v>
      </c>
      <c r="ES39" s="183">
        <v>189924.31608360671</v>
      </c>
      <c r="ET39" s="13">
        <f t="shared" si="48"/>
        <v>-3.1908821027598511E-2</v>
      </c>
      <c r="EU39">
        <v>45</v>
      </c>
      <c r="EV39" s="13">
        <f t="shared" si="49"/>
        <v>9.7560975609756184E-2</v>
      </c>
      <c r="EW39" s="183">
        <v>186396.9967397427</v>
      </c>
      <c r="EX39" s="13">
        <f t="shared" si="50"/>
        <v>-1.8572236649841312E-2</v>
      </c>
      <c r="EY39">
        <v>56</v>
      </c>
      <c r="EZ39" s="13">
        <f t="shared" si="51"/>
        <v>0.24444444444444446</v>
      </c>
      <c r="FA39" s="1">
        <v>186861.39543641929</v>
      </c>
      <c r="FB39" s="13">
        <f t="shared" si="52"/>
        <v>2.4914494589471925E-3</v>
      </c>
      <c r="FC39" s="1">
        <v>51</v>
      </c>
      <c r="FD39" s="13">
        <f t="shared" si="53"/>
        <v>-8.9285714285714302E-2</v>
      </c>
      <c r="FE39" s="1">
        <v>188026.55919671239</v>
      </c>
      <c r="FF39" s="13">
        <f t="shared" si="54"/>
        <v>6.2354439640774917E-3</v>
      </c>
      <c r="FG39" s="1">
        <v>53</v>
      </c>
      <c r="FH39" s="13">
        <f t="shared" si="55"/>
        <v>3.9215686274509887E-2</v>
      </c>
      <c r="FI39" s="1">
        <v>192308.55387645701</v>
      </c>
      <c r="FJ39" s="13">
        <f t="shared" si="56"/>
        <v>2.277335020136606E-2</v>
      </c>
      <c r="FK39" s="1">
        <v>64</v>
      </c>
      <c r="FL39" s="13">
        <f t="shared" si="57"/>
        <v>0.20754716981132071</v>
      </c>
      <c r="FM39" s="1">
        <v>193799.1318554593</v>
      </c>
      <c r="FN39" s="13">
        <f t="shared" si="58"/>
        <v>7.7509707652414495E-3</v>
      </c>
      <c r="FO39" s="1">
        <v>50</v>
      </c>
      <c r="FP39" s="13">
        <f t="shared" si="59"/>
        <v>-0.21875</v>
      </c>
      <c r="FQ39" s="1">
        <v>194101.85290735369</v>
      </c>
      <c r="FR39" s="13">
        <f t="shared" si="60"/>
        <v>1.5620351288270218E-3</v>
      </c>
      <c r="FS39">
        <v>51</v>
      </c>
      <c r="FT39" s="13">
        <f t="shared" si="61"/>
        <v>2.0000000000000018E-2</v>
      </c>
      <c r="FU39" s="1">
        <v>193308.85998749311</v>
      </c>
      <c r="FV39" s="13">
        <f t="shared" si="62"/>
        <v>-4.0854474492785231E-3</v>
      </c>
      <c r="FW39" s="1">
        <v>57</v>
      </c>
      <c r="FX39" s="13">
        <f t="shared" si="63"/>
        <v>0.11764705882352944</v>
      </c>
      <c r="FY39" s="1">
        <v>193991.71586554049</v>
      </c>
      <c r="FZ39" s="13">
        <f t="shared" si="64"/>
        <v>3.5324603232960161E-3</v>
      </c>
      <c r="GA39" s="1">
        <v>62</v>
      </c>
      <c r="GB39" s="13">
        <f t="shared" si="65"/>
        <v>8.7719298245614086E-2</v>
      </c>
      <c r="GC39" s="1">
        <v>200257.22415088041</v>
      </c>
      <c r="GD39" s="13">
        <f t="shared" si="66"/>
        <v>3.2297813632839123E-2</v>
      </c>
      <c r="GE39" s="1">
        <v>90</v>
      </c>
      <c r="GF39" s="13">
        <f t="shared" si="67"/>
        <v>0.45161290322580649</v>
      </c>
      <c r="GG39" s="1">
        <f>IFERROR(VLOOKUP(A39,[3]Москва_продажа_районы!$C$2:$F$149,3,0),"")</f>
        <v>198370.4705524923</v>
      </c>
      <c r="GH39" s="13">
        <v>-9.4216506115483156E-3</v>
      </c>
      <c r="GI39" s="1">
        <v>129</v>
      </c>
      <c r="GJ39" s="13">
        <f t="shared" si="68"/>
        <v>0.43333333333333335</v>
      </c>
      <c r="GK39" s="1">
        <v>201674.76615025059</v>
      </c>
      <c r="GL39" s="13">
        <f t="shared" si="69"/>
        <v>1.6657194937105935E-2</v>
      </c>
      <c r="GM39" s="1">
        <v>132</v>
      </c>
      <c r="GN39" s="13">
        <f t="shared" si="70"/>
        <v>2.3255813953488413E-2</v>
      </c>
      <c r="GO39" s="1">
        <v>209612.301397642</v>
      </c>
      <c r="GP39" s="13">
        <f t="shared" si="71"/>
        <v>3.9358098184072432E-2</v>
      </c>
      <c r="GQ39" s="1">
        <v>80.25</v>
      </c>
      <c r="GR39" s="13">
        <f t="shared" si="72"/>
        <v>-0.39204545454545459</v>
      </c>
      <c r="GS39" s="1">
        <v>188789.06989340231</v>
      </c>
      <c r="GT39" s="13">
        <f t="shared" si="115"/>
        <v>-9.9341648201921484E-2</v>
      </c>
      <c r="GU39">
        <v>52</v>
      </c>
      <c r="GV39" s="13">
        <f t="shared" si="116"/>
        <v>-0.3520249221183801</v>
      </c>
      <c r="GW39">
        <v>199515.35574285791</v>
      </c>
      <c r="GX39" s="13">
        <f t="shared" si="73"/>
        <v>5.681624394628404E-2</v>
      </c>
      <c r="GY39">
        <v>41</v>
      </c>
      <c r="GZ39" s="13">
        <f t="shared" si="74"/>
        <v>-0.21153846153846156</v>
      </c>
      <c r="HA39">
        <v>198923.30056574149</v>
      </c>
      <c r="HB39" s="13">
        <v>-2.9674667140883182E-3</v>
      </c>
      <c r="HC39">
        <v>41</v>
      </c>
      <c r="HD39" s="13">
        <v>0</v>
      </c>
      <c r="HE39">
        <v>200876.37331721219</v>
      </c>
      <c r="HF39" s="13">
        <v>9.8182201175835981E-3</v>
      </c>
      <c r="HG39">
        <v>36</v>
      </c>
      <c r="HH39" s="13">
        <v>-0.12195121951219512</v>
      </c>
      <c r="HI39">
        <f>VLOOKUP(A39,[4]Москва_продажа_районы!$C$4:$F$151,3,0)</f>
        <v>200844.76183130301</v>
      </c>
      <c r="HJ39" s="13">
        <f t="shared" si="75"/>
        <v>-1.573678645584442E-4</v>
      </c>
      <c r="HK39">
        <f>VLOOKUP(A39,[4]Москва_продажа_районы!$C$4:$F$151,2,0)</f>
        <v>35</v>
      </c>
      <c r="HL39" s="13">
        <f t="shared" si="76"/>
        <v>-2.777777777777779E-2</v>
      </c>
      <c r="HM39" s="1">
        <f>VLOOKUP(A39,Лист3!$C$4:$F$149,3,0)</f>
        <v>196052.32361932739</v>
      </c>
      <c r="HN39" s="13">
        <f t="shared" si="77"/>
        <v>-2.3861405038787975E-2</v>
      </c>
      <c r="HO39">
        <f>VLOOKUP(A39,Лист3!$C$4:$F$149,2,0)</f>
        <v>38</v>
      </c>
      <c r="HP39" s="13">
        <f t="shared" si="78"/>
        <v>8.5714285714285632E-2</v>
      </c>
      <c r="HQ39" s="1">
        <v>200375.3904790869</v>
      </c>
      <c r="HR39" s="13">
        <v>2.2050577008990491E-2</v>
      </c>
      <c r="HS39">
        <v>41</v>
      </c>
      <c r="HT39" s="13">
        <v>7.8947368421052655E-2</v>
      </c>
      <c r="HU39" s="34">
        <v>190550.61057334341</v>
      </c>
      <c r="HV39" s="13">
        <v>-4.9031869044661391E-2</v>
      </c>
      <c r="HW39">
        <v>33</v>
      </c>
      <c r="HX39" s="13">
        <v>-0.19512195121951215</v>
      </c>
      <c r="HY39">
        <v>179069.7693782126</v>
      </c>
      <c r="HZ39" s="13">
        <v>-6.0250875925227265E-2</v>
      </c>
      <c r="IA39">
        <v>45</v>
      </c>
      <c r="IB39" s="13">
        <v>0.36363636363636354</v>
      </c>
      <c r="IC39" s="34">
        <v>184893.4105974159</v>
      </c>
      <c r="ID39" s="13">
        <v>3.2521632430894565E-2</v>
      </c>
      <c r="IE39">
        <v>43</v>
      </c>
      <c r="IF39" s="13">
        <v>-4.4444444444444398E-2</v>
      </c>
    </row>
    <row r="40" spans="1:240" x14ac:dyDescent="0.3">
      <c r="A40" s="23" t="s">
        <v>54</v>
      </c>
      <c r="B40" s="22">
        <v>187935.96350217395</v>
      </c>
      <c r="C40">
        <v>92</v>
      </c>
      <c r="D40" s="22">
        <v>188268.49060135137</v>
      </c>
      <c r="E40">
        <v>74</v>
      </c>
      <c r="F40" s="22">
        <v>181640.25619999997</v>
      </c>
      <c r="G40">
        <v>66</v>
      </c>
      <c r="H40" s="22">
        <v>180753.49340190401</v>
      </c>
      <c r="I40">
        <v>73</v>
      </c>
      <c r="J40" s="22">
        <v>175151.14526823643</v>
      </c>
      <c r="K40">
        <v>89</v>
      </c>
      <c r="L40" s="22">
        <v>175501.37722566738</v>
      </c>
      <c r="M40">
        <v>74</v>
      </c>
      <c r="N40" s="22">
        <v>178383.74356321798</v>
      </c>
      <c r="O40" s="28">
        <v>69</v>
      </c>
      <c r="P40" s="39">
        <v>183930.10981363803</v>
      </c>
      <c r="Q40" s="28">
        <v>57</v>
      </c>
      <c r="R40" s="39">
        <v>189330.67691809722</v>
      </c>
      <c r="S40">
        <v>43</v>
      </c>
      <c r="T40" s="46">
        <v>194941.07811762663</v>
      </c>
      <c r="U40" s="47">
        <v>22</v>
      </c>
      <c r="V40" s="56">
        <v>216322.1548343084</v>
      </c>
      <c r="W40" s="47">
        <v>56</v>
      </c>
      <c r="X40" s="56">
        <v>194818.05469771451</v>
      </c>
      <c r="Y40" s="47">
        <v>141</v>
      </c>
      <c r="Z40" s="34">
        <v>215693.53888886623</v>
      </c>
      <c r="AA40" s="81">
        <v>65</v>
      </c>
      <c r="AB40" s="1">
        <v>226376.81937147951</v>
      </c>
      <c r="AC40">
        <v>50</v>
      </c>
      <c r="AD40" s="1">
        <v>209004.0845785549</v>
      </c>
      <c r="AE40">
        <v>31</v>
      </c>
      <c r="AF40" s="13">
        <f t="shared" si="19"/>
        <v>7.2816813117510426E-2</v>
      </c>
      <c r="AG40" s="85">
        <f t="shared" si="117"/>
        <v>3.2597266035751839E-2</v>
      </c>
      <c r="AH40" s="35">
        <f t="shared" si="118"/>
        <v>3.2271293375394321</v>
      </c>
      <c r="AI40" s="87">
        <f t="shared" si="119"/>
        <v>34.227129337539431</v>
      </c>
      <c r="AL40" s="1">
        <v>222754.86325893429</v>
      </c>
      <c r="AM40">
        <v>30</v>
      </c>
      <c r="AN40" s="13">
        <f t="shared" si="120"/>
        <v>3.1088082901554404E-2</v>
      </c>
      <c r="AQ40" s="35">
        <f t="shared" si="121"/>
        <v>1.0259067357512954</v>
      </c>
      <c r="AR40" s="87">
        <f t="shared" si="122"/>
        <v>31.025906735751295</v>
      </c>
      <c r="AS40">
        <v>21</v>
      </c>
      <c r="AT40" s="1">
        <v>220587.980812072</v>
      </c>
      <c r="AU40" s="13">
        <f t="shared" si="126"/>
        <v>-9.7276549439168081E-3</v>
      </c>
      <c r="AV40" s="35">
        <v>23</v>
      </c>
      <c r="AW40" s="35">
        <v>217567.98128699628</v>
      </c>
      <c r="AX40" s="35"/>
      <c r="AY40" s="121">
        <v>220989.01685183501</v>
      </c>
      <c r="AZ40" s="122">
        <v>20</v>
      </c>
      <c r="BA40" s="119">
        <v>219787.7150131521</v>
      </c>
      <c r="BB40">
        <v>14</v>
      </c>
      <c r="BC40" s="125">
        <f t="shared" si="127"/>
        <v>-5.4360250830398638E-3</v>
      </c>
      <c r="BD40">
        <v>15</v>
      </c>
      <c r="BE40" s="1">
        <v>240578.9494730171</v>
      </c>
      <c r="BF40" s="13">
        <f t="shared" si="128"/>
        <v>9.4596890725311189E-2</v>
      </c>
      <c r="BG40">
        <v>13</v>
      </c>
      <c r="BH40" s="1">
        <v>254572.0468620309</v>
      </c>
      <c r="BI40" s="13">
        <f t="shared" si="123"/>
        <v>5.81642634140076E-2</v>
      </c>
      <c r="BJ40">
        <v>22</v>
      </c>
      <c r="BK40" s="1">
        <v>244899.05790077671</v>
      </c>
      <c r="BL40" s="13">
        <f t="shared" si="103"/>
        <v>-3.799705851639168E-2</v>
      </c>
      <c r="BM40" s="1">
        <v>243633.97484635009</v>
      </c>
      <c r="BN40" s="109">
        <f t="shared" si="104"/>
        <v>-5.1657326298869544E-3</v>
      </c>
      <c r="BO40">
        <v>13</v>
      </c>
      <c r="BP40" s="13">
        <f t="shared" si="105"/>
        <v>-0.40909090909090906</v>
      </c>
      <c r="BQ40" s="1">
        <v>236943.43306158151</v>
      </c>
      <c r="BR40" s="13">
        <f t="shared" si="124"/>
        <v>-2.7461448219559759E-2</v>
      </c>
      <c r="BS40">
        <v>35</v>
      </c>
      <c r="BT40" s="13">
        <f t="shared" si="125"/>
        <v>1.6923076923076925</v>
      </c>
      <c r="BU40" s="1">
        <v>248832.86885006889</v>
      </c>
      <c r="BV40" s="13">
        <f t="shared" si="129"/>
        <v>5.0178372258991022E-2</v>
      </c>
      <c r="BW40">
        <v>29</v>
      </c>
      <c r="BX40" s="13">
        <f t="shared" si="106"/>
        <v>-0.17142857142857137</v>
      </c>
      <c r="BY40" s="1">
        <v>251890.03327769501</v>
      </c>
      <c r="BZ40" s="13">
        <f t="shared" si="107"/>
        <v>1.2286015275048578E-2</v>
      </c>
      <c r="CA40">
        <v>30</v>
      </c>
      <c r="CB40" s="13">
        <f t="shared" si="108"/>
        <v>3.4482758620689724E-2</v>
      </c>
      <c r="CC40" s="1">
        <v>251834.562125558</v>
      </c>
      <c r="CD40" s="13">
        <f t="shared" si="109"/>
        <v>-2.2021971816510444E-4</v>
      </c>
      <c r="CE40">
        <v>28</v>
      </c>
      <c r="CF40" s="13">
        <f t="shared" si="110"/>
        <v>-6.6666666666666652E-2</v>
      </c>
      <c r="CG40" s="1">
        <v>265059.67330230208</v>
      </c>
      <c r="CH40" s="13">
        <f t="shared" si="111"/>
        <v>5.2515076028962104E-2</v>
      </c>
      <c r="CI40">
        <v>29</v>
      </c>
      <c r="CJ40" s="13">
        <f t="shared" si="112"/>
        <v>3.5714285714285809E-2</v>
      </c>
      <c r="CK40" s="1">
        <v>265635.64602444519</v>
      </c>
      <c r="CL40" s="13">
        <f t="shared" si="113"/>
        <v>2.1729926509272968E-3</v>
      </c>
      <c r="CM40">
        <v>39</v>
      </c>
      <c r="CN40" s="13">
        <f t="shared" si="114"/>
        <v>0.34482758620689657</v>
      </c>
      <c r="CO40" s="1">
        <v>250817.57097504431</v>
      </c>
      <c r="CP40" s="13">
        <v>-5.5783458549976572E-2</v>
      </c>
      <c r="CQ40">
        <v>39</v>
      </c>
      <c r="CR40" s="13">
        <v>0</v>
      </c>
      <c r="CS40" s="1">
        <v>245406.13067476079</v>
      </c>
      <c r="CT40" s="13">
        <f t="shared" si="24"/>
        <v>-2.1575204158332029E-2</v>
      </c>
      <c r="CU40">
        <v>37</v>
      </c>
      <c r="CV40" s="13">
        <f t="shared" si="25"/>
        <v>-5.1282051282051322E-2</v>
      </c>
      <c r="CW40" s="1">
        <v>231885.0289872672</v>
      </c>
      <c r="CX40" s="13">
        <f t="shared" si="26"/>
        <v>-5.5096837435627211E-2</v>
      </c>
      <c r="CY40">
        <v>33</v>
      </c>
      <c r="CZ40" s="13">
        <f t="shared" si="27"/>
        <v>-0.10810810810810811</v>
      </c>
      <c r="DA40" s="1">
        <v>216016.6556218456</v>
      </c>
      <c r="DB40" s="13">
        <f t="shared" si="28"/>
        <v>-6.8432073578553188E-2</v>
      </c>
      <c r="DC40">
        <v>25</v>
      </c>
      <c r="DD40" s="13">
        <f t="shared" si="29"/>
        <v>-0.24242424242424243</v>
      </c>
      <c r="DE40" s="1">
        <v>236406.4776315412</v>
      </c>
      <c r="DF40" s="13">
        <f t="shared" si="30"/>
        <v>9.4390045762904551E-2</v>
      </c>
      <c r="DG40" s="1">
        <v>22</v>
      </c>
      <c r="DH40" s="13">
        <f t="shared" si="31"/>
        <v>-0.12</v>
      </c>
      <c r="DI40" s="1">
        <v>259988.00046034239</v>
      </c>
      <c r="DJ40" s="13">
        <f t="shared" si="32"/>
        <v>9.9749901377723216E-2</v>
      </c>
      <c r="DK40" s="1">
        <v>18</v>
      </c>
      <c r="DL40" s="13">
        <f t="shared" si="33"/>
        <v>-0.18181818181818177</v>
      </c>
      <c r="DM40" s="1">
        <v>278607.80265303748</v>
      </c>
      <c r="DN40" s="13">
        <f t="shared" si="34"/>
        <v>7.1617929134138114E-2</v>
      </c>
      <c r="DO40" s="1">
        <v>48</v>
      </c>
      <c r="DP40" s="13">
        <f t="shared" si="35"/>
        <v>1.6666666666666665</v>
      </c>
      <c r="DQ40" s="1">
        <v>271253.88958455931</v>
      </c>
      <c r="DR40" s="13">
        <f t="shared" si="36"/>
        <v>-2.6395215778060366E-2</v>
      </c>
      <c r="DS40">
        <v>57</v>
      </c>
      <c r="DT40" s="13">
        <f t="shared" si="37"/>
        <v>0.1875</v>
      </c>
      <c r="DU40" s="1">
        <v>229874.88596222471</v>
      </c>
      <c r="DV40" s="13">
        <f t="shared" si="38"/>
        <v>-0.15254713466306002</v>
      </c>
      <c r="DW40">
        <v>197</v>
      </c>
      <c r="DX40" s="13">
        <f t="shared" si="39"/>
        <v>2.4561403508771931</v>
      </c>
      <c r="DY40" s="1">
        <v>225055.24330946009</v>
      </c>
      <c r="DZ40" s="13">
        <f t="shared" si="40"/>
        <v>-2.096637321902417E-2</v>
      </c>
      <c r="EA40" s="1">
        <v>193</v>
      </c>
      <c r="EB40" s="13">
        <f t="shared" si="41"/>
        <v>-2.0304568527918732E-2</v>
      </c>
      <c r="EC40" s="1">
        <v>226664.97709604271</v>
      </c>
      <c r="ED40" s="13">
        <f t="shared" si="42"/>
        <v>7.152616232847242E-3</v>
      </c>
      <c r="EE40" s="1">
        <f>IFERROR(VLOOKUP($A40,[1]Москва_продажа_районы!$C$2:$F$148,2,0),"")</f>
        <v>209</v>
      </c>
      <c r="EF40" s="13">
        <v>8.290155440414515E-2</v>
      </c>
      <c r="EG40" s="1">
        <v>237458.64485361439</v>
      </c>
      <c r="EH40" s="13">
        <f t="shared" si="43"/>
        <v>4.7619477414890587E-2</v>
      </c>
      <c r="EI40" s="1">
        <f>IFERROR(VLOOKUP($A40,[2]Москва_продажа_районы!$C$2:$F$150,2,0),"")</f>
        <v>226</v>
      </c>
      <c r="EJ40" s="13">
        <v>8.1339712918660378E-2</v>
      </c>
      <c r="EK40" s="1">
        <v>239402.88838229899</v>
      </c>
      <c r="EL40" s="13">
        <f t="shared" si="44"/>
        <v>8.1877142433923744E-3</v>
      </c>
      <c r="EM40">
        <v>226</v>
      </c>
      <c r="EN40" s="13">
        <f t="shared" si="45"/>
        <v>0</v>
      </c>
      <c r="EO40" s="1">
        <v>239357.13860564161</v>
      </c>
      <c r="EP40" s="13">
        <f t="shared" si="46"/>
        <v>-1.9109951833296002E-4</v>
      </c>
      <c r="EQ40">
        <v>200</v>
      </c>
      <c r="ER40" s="13">
        <f t="shared" si="47"/>
        <v>-0.11504424778761058</v>
      </c>
      <c r="ES40" s="183">
        <v>240922.84637778101</v>
      </c>
      <c r="ET40" s="13">
        <f t="shared" si="48"/>
        <v>6.5413038493873366E-3</v>
      </c>
      <c r="EU40">
        <v>167</v>
      </c>
      <c r="EV40" s="13">
        <f t="shared" si="49"/>
        <v>-0.16500000000000004</v>
      </c>
      <c r="EW40" s="183">
        <v>247953.0986531293</v>
      </c>
      <c r="EX40" s="13">
        <f t="shared" si="50"/>
        <v>2.9180513102208927E-2</v>
      </c>
      <c r="EY40">
        <v>157</v>
      </c>
      <c r="EZ40" s="13">
        <f t="shared" si="51"/>
        <v>-5.9880239520958112E-2</v>
      </c>
      <c r="FA40" s="1">
        <v>251518.3439388694</v>
      </c>
      <c r="FB40" s="13">
        <f t="shared" si="52"/>
        <v>1.4378708332770884E-2</v>
      </c>
      <c r="FC40" s="1">
        <v>151</v>
      </c>
      <c r="FD40" s="13">
        <f t="shared" si="53"/>
        <v>-3.8216560509554132E-2</v>
      </c>
      <c r="FE40" s="1">
        <v>257161.37089910699</v>
      </c>
      <c r="FF40" s="13">
        <f t="shared" si="54"/>
        <v>2.2435846514674562E-2</v>
      </c>
      <c r="FG40" s="1">
        <v>159</v>
      </c>
      <c r="FH40" s="13">
        <f t="shared" si="55"/>
        <v>5.2980132450331174E-2</v>
      </c>
      <c r="FI40" s="1">
        <v>260741.08895513861</v>
      </c>
      <c r="FJ40" s="13">
        <f t="shared" si="56"/>
        <v>1.3920123553222474E-2</v>
      </c>
      <c r="FK40" s="1">
        <v>193</v>
      </c>
      <c r="FL40" s="13">
        <f t="shared" si="57"/>
        <v>0.21383647798742134</v>
      </c>
      <c r="FM40" s="1">
        <v>258169.6145991192</v>
      </c>
      <c r="FN40" s="13">
        <f t="shared" si="58"/>
        <v>-9.8621754105729931E-3</v>
      </c>
      <c r="FO40" s="1">
        <v>189</v>
      </c>
      <c r="FP40" s="13">
        <f t="shared" si="59"/>
        <v>-2.0725388601036232E-2</v>
      </c>
      <c r="FQ40" s="1">
        <v>258284.56362384811</v>
      </c>
      <c r="FR40" s="13">
        <f t="shared" si="60"/>
        <v>4.4524614140750707E-4</v>
      </c>
      <c r="FS40">
        <v>186</v>
      </c>
      <c r="FT40" s="13">
        <f t="shared" si="61"/>
        <v>-1.5873015873015928E-2</v>
      </c>
      <c r="FU40" s="1">
        <v>257756.46644888149</v>
      </c>
      <c r="FV40" s="13">
        <f t="shared" si="62"/>
        <v>-2.0446331269556861E-3</v>
      </c>
      <c r="FW40" s="1">
        <v>172</v>
      </c>
      <c r="FX40" s="13">
        <f t="shared" si="63"/>
        <v>-7.5268817204301119E-2</v>
      </c>
      <c r="FY40" s="1">
        <v>271653.76416576421</v>
      </c>
      <c r="FZ40" s="13">
        <f t="shared" si="64"/>
        <v>5.3916388241762592E-2</v>
      </c>
      <c r="GA40" s="1">
        <v>462</v>
      </c>
      <c r="GB40" s="13">
        <f t="shared" si="65"/>
        <v>1.6860465116279069</v>
      </c>
      <c r="GC40" s="1">
        <v>280391.47592338797</v>
      </c>
      <c r="GD40" s="13">
        <f t="shared" si="66"/>
        <v>3.2164883797789035E-2</v>
      </c>
      <c r="GE40" s="1">
        <v>575</v>
      </c>
      <c r="GF40" s="13">
        <f t="shared" si="67"/>
        <v>0.24458874458874469</v>
      </c>
      <c r="GG40" s="1">
        <f>IFERROR(VLOOKUP(A40,[3]Москва_продажа_районы!$C$2:$F$149,3,0),"")</f>
        <v>274466.6265370695</v>
      </c>
      <c r="GH40" s="13">
        <v>-2.1130633043699665E-2</v>
      </c>
      <c r="GI40" s="1">
        <v>707</v>
      </c>
      <c r="GJ40" s="13">
        <f t="shared" si="68"/>
        <v>0.22956521739130431</v>
      </c>
      <c r="GK40" s="1">
        <v>268131.84607638518</v>
      </c>
      <c r="GL40" s="13">
        <f t="shared" si="69"/>
        <v>-2.3080330532749715E-2</v>
      </c>
      <c r="GM40" s="1">
        <v>682</v>
      </c>
      <c r="GN40" s="13">
        <f t="shared" si="70"/>
        <v>-3.536067892503536E-2</v>
      </c>
      <c r="GO40" s="1">
        <v>272962.70206989208</v>
      </c>
      <c r="GP40" s="13">
        <f t="shared" si="71"/>
        <v>1.8016718506949303E-2</v>
      </c>
      <c r="GQ40" s="1">
        <v>734.0200000000001</v>
      </c>
      <c r="GR40" s="13">
        <f t="shared" si="72"/>
        <v>7.6275659824047048E-2</v>
      </c>
      <c r="GS40" s="1">
        <v>275745.67949062702</v>
      </c>
      <c r="GT40" s="13">
        <f t="shared" si="115"/>
        <v>1.0195449413533231E-2</v>
      </c>
      <c r="GU40">
        <v>704</v>
      </c>
      <c r="GV40" s="13">
        <f t="shared" si="116"/>
        <v>-4.08980681725295E-2</v>
      </c>
      <c r="GW40">
        <v>270343.07433323888</v>
      </c>
      <c r="GX40" s="13">
        <f t="shared" si="73"/>
        <v>-1.9592710092024457E-2</v>
      </c>
      <c r="GY40">
        <v>430</v>
      </c>
      <c r="GZ40" s="13">
        <f t="shared" si="74"/>
        <v>-0.38920454545454541</v>
      </c>
      <c r="HA40">
        <v>271337.90883144562</v>
      </c>
      <c r="HB40" s="13">
        <v>3.6798963711586197E-3</v>
      </c>
      <c r="HC40">
        <v>364</v>
      </c>
      <c r="HD40" s="13">
        <v>-0.15348837209302324</v>
      </c>
      <c r="HE40">
        <v>265597.41400233062</v>
      </c>
      <c r="HF40" s="13">
        <v>-2.1156258091017288E-2</v>
      </c>
      <c r="HG40">
        <v>398</v>
      </c>
      <c r="HH40" s="13">
        <v>9.3406593406593297E-2</v>
      </c>
      <c r="HI40">
        <f>VLOOKUP(A40,[4]Москва_продажа_районы!$C$4:$F$151,3,0)</f>
        <v>275318.65507760178</v>
      </c>
      <c r="HJ40" s="13">
        <f t="shared" si="75"/>
        <v>3.6601414632696061E-2</v>
      </c>
      <c r="HK40">
        <f>VLOOKUP(A40,[4]Москва_продажа_районы!$C$4:$F$151,2,0)</f>
        <v>342</v>
      </c>
      <c r="HL40" s="13">
        <f t="shared" si="76"/>
        <v>-0.14070351758793975</v>
      </c>
      <c r="HM40" s="1">
        <f>VLOOKUP(A40,Лист3!$C$4:$F$149,3,0)</f>
        <v>266029.75355753611</v>
      </c>
      <c r="HN40" s="13">
        <f t="shared" si="77"/>
        <v>-3.3738729100821319E-2</v>
      </c>
      <c r="HO40">
        <f>VLOOKUP(A40,Лист3!$C$4:$F$149,2,0)</f>
        <v>424</v>
      </c>
      <c r="HP40" s="13">
        <f t="shared" si="78"/>
        <v>0.23976608187134496</v>
      </c>
      <c r="HQ40" s="1">
        <v>268819.40954510513</v>
      </c>
      <c r="HR40" s="13">
        <v>1.0486255579549963E-2</v>
      </c>
      <c r="HS40">
        <v>435</v>
      </c>
      <c r="HT40" s="13">
        <v>2.5943396226415061E-2</v>
      </c>
      <c r="HU40" s="34">
        <v>268718.56543199113</v>
      </c>
      <c r="HV40" s="13">
        <v>-3.7513702334457388E-4</v>
      </c>
      <c r="HW40">
        <v>381</v>
      </c>
      <c r="HX40" s="13">
        <v>-0.12413793103448278</v>
      </c>
      <c r="HY40">
        <v>264384.56719889469</v>
      </c>
      <c r="HZ40" s="13">
        <v>-1.6128391524155128E-2</v>
      </c>
      <c r="IA40">
        <v>321</v>
      </c>
      <c r="IB40" s="13">
        <v>-0.15748031496062997</v>
      </c>
      <c r="IC40" s="34">
        <v>265313.99791675649</v>
      </c>
      <c r="ID40" s="13">
        <v>3.5154499663461181E-3</v>
      </c>
      <c r="IE40">
        <v>320</v>
      </c>
      <c r="IF40" s="13">
        <v>-3.1152647975077885E-3</v>
      </c>
    </row>
    <row r="41" spans="1:240" x14ac:dyDescent="0.3">
      <c r="A41" s="23" t="s">
        <v>55</v>
      </c>
      <c r="B41" s="22"/>
      <c r="D41" s="22"/>
      <c r="F41" s="22">
        <v>132041.07335333331</v>
      </c>
      <c r="G41">
        <v>12</v>
      </c>
      <c r="H41" s="22">
        <v>118276.57825427587</v>
      </c>
      <c r="I41">
        <v>13</v>
      </c>
      <c r="J41" s="22">
        <v>140302.16376239175</v>
      </c>
      <c r="K41">
        <v>11</v>
      </c>
      <c r="L41" s="22">
        <v>137143.88017829377</v>
      </c>
      <c r="M41">
        <v>9</v>
      </c>
      <c r="N41" s="22">
        <v>142417.45710459366</v>
      </c>
      <c r="O41" s="28">
        <v>8</v>
      </c>
      <c r="P41" s="39">
        <v>137858.1149382272</v>
      </c>
      <c r="Q41" s="28">
        <v>6</v>
      </c>
      <c r="R41" s="39">
        <v>139977.53025960407</v>
      </c>
      <c r="S41">
        <v>6</v>
      </c>
      <c r="T41" s="46">
        <v>137050.57634664551</v>
      </c>
      <c r="U41" s="47">
        <v>5</v>
      </c>
      <c r="V41" s="56"/>
      <c r="W41" s="47"/>
      <c r="X41" s="56">
        <v>171791.0726935541</v>
      </c>
      <c r="Y41" s="47">
        <v>18</v>
      </c>
      <c r="Z41" s="34">
        <v>169074.69953186868</v>
      </c>
      <c r="AA41" s="81">
        <v>21</v>
      </c>
      <c r="AB41" s="1">
        <v>165774.32947345031</v>
      </c>
      <c r="AC41">
        <v>18</v>
      </c>
      <c r="AD41" s="1">
        <v>183390.1342599979</v>
      </c>
      <c r="AE41">
        <v>21</v>
      </c>
      <c r="AF41" s="13">
        <f t="shared" si="19"/>
        <v>6.7518418649929135E-2</v>
      </c>
      <c r="AG41" s="85">
        <f t="shared" si="117"/>
        <v>2.2082018927444796E-2</v>
      </c>
      <c r="AH41" s="35">
        <f t="shared" si="118"/>
        <v>2.1861198738170349</v>
      </c>
      <c r="AI41" s="87">
        <f t="shared" si="119"/>
        <v>23.186119873817034</v>
      </c>
      <c r="AL41" s="1">
        <v>187837.10820808099</v>
      </c>
      <c r="AM41">
        <v>20</v>
      </c>
      <c r="AN41" s="13">
        <f t="shared" si="120"/>
        <v>2.072538860103627E-2</v>
      </c>
      <c r="AQ41" s="35">
        <f t="shared" si="121"/>
        <v>0.68393782383419688</v>
      </c>
      <c r="AR41" s="87">
        <f t="shared" si="122"/>
        <v>20.683937823834196</v>
      </c>
      <c r="AS41">
        <v>21</v>
      </c>
      <c r="AT41" s="1">
        <v>183988.81532721501</v>
      </c>
      <c r="AU41" s="13">
        <f t="shared" si="126"/>
        <v>-2.048739419797152E-2</v>
      </c>
      <c r="AV41" s="35">
        <v>30</v>
      </c>
      <c r="AW41" s="1">
        <v>204490.79437692219</v>
      </c>
      <c r="AX41" s="61"/>
      <c r="AY41" s="121">
        <v>207050.27975898219</v>
      </c>
      <c r="AZ41" s="122">
        <v>44</v>
      </c>
      <c r="BA41" s="119">
        <v>198712.96381505061</v>
      </c>
      <c r="BB41">
        <v>40</v>
      </c>
      <c r="BC41" s="125">
        <f t="shared" si="127"/>
        <v>-4.0267107842774541E-2</v>
      </c>
      <c r="BD41">
        <v>41</v>
      </c>
      <c r="BE41" s="1">
        <v>196237.76080856979</v>
      </c>
      <c r="BF41" s="13">
        <f t="shared" si="128"/>
        <v>-1.2456172757730033E-2</v>
      </c>
      <c r="BG41">
        <v>55</v>
      </c>
      <c r="BH41" s="1">
        <v>204670.28816328949</v>
      </c>
      <c r="BI41" s="13">
        <f t="shared" si="123"/>
        <v>4.2970972151204156E-2</v>
      </c>
      <c r="BJ41">
        <v>49</v>
      </c>
      <c r="BK41" s="1">
        <v>215624.57626643611</v>
      </c>
      <c r="BL41" s="13">
        <f t="shared" si="103"/>
        <v>5.3521633264165258E-2</v>
      </c>
      <c r="BM41" s="1">
        <v>222578.48241150551</v>
      </c>
      <c r="BN41" s="109">
        <f t="shared" si="104"/>
        <v>3.2250062889291442E-2</v>
      </c>
      <c r="BO41">
        <v>40</v>
      </c>
      <c r="BP41" s="13">
        <f t="shared" si="105"/>
        <v>-0.18367346938775508</v>
      </c>
      <c r="BQ41" s="1">
        <v>219262.1865513293</v>
      </c>
      <c r="BR41" s="13">
        <f t="shared" si="124"/>
        <v>-1.4899445014837531E-2</v>
      </c>
      <c r="BS41">
        <v>49</v>
      </c>
      <c r="BT41" s="13">
        <f t="shared" si="125"/>
        <v>0.22500000000000009</v>
      </c>
      <c r="BU41" s="1">
        <v>223609.3011859933</v>
      </c>
      <c r="BV41" s="13">
        <f t="shared" si="129"/>
        <v>1.9826102726775208E-2</v>
      </c>
      <c r="BW41">
        <v>54</v>
      </c>
      <c r="BX41" s="13">
        <f t="shared" si="106"/>
        <v>0.1020408163265305</v>
      </c>
      <c r="BY41" s="1">
        <v>227156.45500773139</v>
      </c>
      <c r="BZ41" s="13">
        <f t="shared" si="107"/>
        <v>1.5863176544644864E-2</v>
      </c>
      <c r="CA41">
        <v>54</v>
      </c>
      <c r="CB41" s="13">
        <f t="shared" si="108"/>
        <v>0</v>
      </c>
      <c r="CC41" s="1">
        <v>223453.12395568201</v>
      </c>
      <c r="CD41" s="13">
        <f t="shared" si="109"/>
        <v>-1.6302997209228898E-2</v>
      </c>
      <c r="CE41">
        <v>51</v>
      </c>
      <c r="CF41" s="13">
        <f t="shared" si="110"/>
        <v>-5.555555555555558E-2</v>
      </c>
      <c r="CG41" s="1">
        <v>227853.33093679891</v>
      </c>
      <c r="CH41" s="13">
        <f t="shared" si="111"/>
        <v>1.9691857080456954E-2</v>
      </c>
      <c r="CI41">
        <v>52</v>
      </c>
      <c r="CJ41" s="13">
        <f t="shared" si="112"/>
        <v>1.9607843137254832E-2</v>
      </c>
      <c r="CK41" s="1">
        <v>222845.9234052141</v>
      </c>
      <c r="CL41" s="13">
        <f t="shared" si="113"/>
        <v>-2.1976450864234942E-2</v>
      </c>
      <c r="CM41">
        <v>66</v>
      </c>
      <c r="CN41" s="13">
        <f t="shared" si="114"/>
        <v>0.26923076923076916</v>
      </c>
      <c r="CO41" s="1">
        <v>222010.59041113229</v>
      </c>
      <c r="CP41" s="13">
        <v>-3.7484777882289544E-3</v>
      </c>
      <c r="CQ41">
        <v>63</v>
      </c>
      <c r="CR41" s="13">
        <v>-4.5454545454545414E-2</v>
      </c>
      <c r="CS41" s="1">
        <v>220976.35091970861</v>
      </c>
      <c r="CT41" s="13">
        <f t="shared" si="24"/>
        <v>-4.6585142155084469E-3</v>
      </c>
      <c r="CU41">
        <v>67</v>
      </c>
      <c r="CV41" s="13">
        <f t="shared" si="25"/>
        <v>6.3492063492063489E-2</v>
      </c>
      <c r="CW41" s="1">
        <v>217124.8071823066</v>
      </c>
      <c r="CX41" s="13">
        <f t="shared" si="26"/>
        <v>-1.7429664854957561E-2</v>
      </c>
      <c r="CY41">
        <v>62</v>
      </c>
      <c r="CZ41" s="13">
        <f t="shared" si="27"/>
        <v>-7.4626865671641784E-2</v>
      </c>
      <c r="DA41" s="1">
        <v>206625.58811263691</v>
      </c>
      <c r="DB41" s="13">
        <f t="shared" si="28"/>
        <v>-4.8355686325856517E-2</v>
      </c>
      <c r="DC41">
        <v>47</v>
      </c>
      <c r="DD41" s="13">
        <f t="shared" si="29"/>
        <v>-0.24193548387096775</v>
      </c>
      <c r="DE41" s="1">
        <v>212289.07832616521</v>
      </c>
      <c r="DF41" s="13">
        <f t="shared" si="30"/>
        <v>2.7409433000335826E-2</v>
      </c>
      <c r="DG41" s="1">
        <v>45</v>
      </c>
      <c r="DH41" s="13">
        <f t="shared" si="31"/>
        <v>-4.2553191489361653E-2</v>
      </c>
      <c r="DI41" s="1">
        <v>206225.13284088529</v>
      </c>
      <c r="DJ41" s="13">
        <f t="shared" si="32"/>
        <v>-2.8564566453876394E-2</v>
      </c>
      <c r="DK41" s="1">
        <v>52</v>
      </c>
      <c r="DL41" s="13">
        <f t="shared" si="33"/>
        <v>0.15555555555555545</v>
      </c>
      <c r="DM41" s="1">
        <v>195360.11807336929</v>
      </c>
      <c r="DN41" s="13">
        <f t="shared" si="34"/>
        <v>-5.2685211631789741E-2</v>
      </c>
      <c r="DO41" s="1">
        <v>56</v>
      </c>
      <c r="DP41" s="13">
        <f t="shared" si="35"/>
        <v>7.6923076923076872E-2</v>
      </c>
      <c r="DQ41" s="1">
        <v>206664.72212976241</v>
      </c>
      <c r="DR41" s="13">
        <f t="shared" si="36"/>
        <v>5.7865464905931141E-2</v>
      </c>
      <c r="DS41">
        <v>52</v>
      </c>
      <c r="DT41" s="13">
        <f t="shared" si="37"/>
        <v>-7.1428571428571397E-2</v>
      </c>
      <c r="DU41" s="1">
        <v>201002.98280867739</v>
      </c>
      <c r="DV41" s="13">
        <f t="shared" si="38"/>
        <v>-2.7395770612122505E-2</v>
      </c>
      <c r="DW41">
        <v>55</v>
      </c>
      <c r="DX41" s="13">
        <f t="shared" si="39"/>
        <v>5.7692307692307709E-2</v>
      </c>
      <c r="DY41" s="1">
        <v>200321.384410967</v>
      </c>
      <c r="DZ41" s="13">
        <f t="shared" si="40"/>
        <v>-3.3909864828183256E-3</v>
      </c>
      <c r="EA41" s="1">
        <v>55</v>
      </c>
      <c r="EB41" s="13">
        <f t="shared" si="41"/>
        <v>0</v>
      </c>
      <c r="EC41" s="1">
        <v>208817.05744917781</v>
      </c>
      <c r="ED41" s="13">
        <f t="shared" si="42"/>
        <v>4.2410215280769048E-2</v>
      </c>
      <c r="EE41" s="1">
        <f>IFERROR(VLOOKUP($A41,[1]Москва_продажа_районы!$C$2:$F$148,2,0),"")</f>
        <v>52</v>
      </c>
      <c r="EF41" s="13">
        <v>-5.4545454545454564E-2</v>
      </c>
      <c r="EG41" s="1">
        <v>199806.15287037959</v>
      </c>
      <c r="EH41" s="13">
        <f t="shared" si="43"/>
        <v>-4.3152148051848194E-2</v>
      </c>
      <c r="EI41" s="1">
        <f>IFERROR(VLOOKUP($A41,[2]Москва_продажа_районы!$C$2:$F$150,2,0),"")</f>
        <v>47</v>
      </c>
      <c r="EJ41" s="13">
        <v>-9.6153846153846145E-2</v>
      </c>
      <c r="EK41" s="1">
        <v>214797.74628168691</v>
      </c>
      <c r="EL41" s="13">
        <f t="shared" si="44"/>
        <v>7.5030689475477974E-2</v>
      </c>
      <c r="EM41">
        <v>50</v>
      </c>
      <c r="EN41" s="13">
        <f t="shared" si="45"/>
        <v>6.3829787234042534E-2</v>
      </c>
      <c r="EO41" s="1">
        <v>206766.91465431629</v>
      </c>
      <c r="EP41" s="13">
        <f t="shared" si="46"/>
        <v>-3.7387876578737211E-2</v>
      </c>
      <c r="EQ41">
        <v>39</v>
      </c>
      <c r="ER41" s="13">
        <f t="shared" si="47"/>
        <v>-0.21999999999999997</v>
      </c>
      <c r="ES41" s="183">
        <v>221652.39742768271</v>
      </c>
      <c r="ET41" s="13">
        <f t="shared" si="48"/>
        <v>7.1991608513638283E-2</v>
      </c>
      <c r="EU41">
        <v>44</v>
      </c>
      <c r="EV41" s="13">
        <f t="shared" si="49"/>
        <v>0.12820512820512819</v>
      </c>
      <c r="EW41" s="183">
        <v>223173.27714221779</v>
      </c>
      <c r="EX41" s="13">
        <f t="shared" si="50"/>
        <v>6.8615531895217519E-3</v>
      </c>
      <c r="EY41">
        <v>46</v>
      </c>
      <c r="EZ41" s="13">
        <f t="shared" si="51"/>
        <v>4.5454545454545414E-2</v>
      </c>
      <c r="FA41" s="1">
        <v>232336.63220232161</v>
      </c>
      <c r="FB41" s="13">
        <f t="shared" si="52"/>
        <v>4.1059374031884754E-2</v>
      </c>
      <c r="FC41" s="1">
        <v>38</v>
      </c>
      <c r="FD41" s="13">
        <f t="shared" si="53"/>
        <v>-0.17391304347826086</v>
      </c>
      <c r="FE41" s="1">
        <v>255779.79823326221</v>
      </c>
      <c r="FF41" s="13">
        <f t="shared" si="54"/>
        <v>0.1009017209586045</v>
      </c>
      <c r="FG41" s="1">
        <v>44</v>
      </c>
      <c r="FH41" s="13">
        <f t="shared" si="55"/>
        <v>0.15789473684210531</v>
      </c>
      <c r="FI41" s="1">
        <v>250816.91020330149</v>
      </c>
      <c r="FJ41" s="13">
        <f t="shared" si="56"/>
        <v>-1.9402971087789878E-2</v>
      </c>
      <c r="FK41" s="1">
        <v>64</v>
      </c>
      <c r="FL41" s="13">
        <f t="shared" si="57"/>
        <v>0.45454545454545459</v>
      </c>
      <c r="FM41" s="1">
        <v>245182.03289992799</v>
      </c>
      <c r="FN41" s="13">
        <f t="shared" si="58"/>
        <v>-2.2466098074512275E-2</v>
      </c>
      <c r="FO41" s="1">
        <v>62</v>
      </c>
      <c r="FP41" s="13">
        <f t="shared" si="59"/>
        <v>-3.125E-2</v>
      </c>
      <c r="FQ41" s="1">
        <v>236852.1643484341</v>
      </c>
      <c r="FR41" s="13">
        <f t="shared" si="60"/>
        <v>-3.3974220920558906E-2</v>
      </c>
      <c r="FS41">
        <v>58</v>
      </c>
      <c r="FT41" s="13">
        <f t="shared" si="61"/>
        <v>-6.4516129032258118E-2</v>
      </c>
      <c r="FU41" s="1">
        <v>231700.87538845549</v>
      </c>
      <c r="FV41" s="13">
        <f t="shared" si="62"/>
        <v>-2.174896300462148E-2</v>
      </c>
      <c r="FW41" s="1">
        <v>58</v>
      </c>
      <c r="FX41" s="13">
        <f t="shared" si="63"/>
        <v>0</v>
      </c>
      <c r="FY41" s="1">
        <v>224151.81684290341</v>
      </c>
      <c r="FZ41" s="13">
        <f t="shared" si="64"/>
        <v>-3.2581053191515941E-2</v>
      </c>
      <c r="GA41" s="1">
        <v>52</v>
      </c>
      <c r="GB41" s="13">
        <f t="shared" si="65"/>
        <v>-0.10344827586206895</v>
      </c>
      <c r="GC41" s="1">
        <v>226456.2796795858</v>
      </c>
      <c r="GD41" s="13">
        <f t="shared" si="66"/>
        <v>1.028081266143599E-2</v>
      </c>
      <c r="GE41" s="1">
        <v>55</v>
      </c>
      <c r="GF41" s="13">
        <f t="shared" si="67"/>
        <v>5.7692307692307709E-2</v>
      </c>
      <c r="GG41" s="1">
        <f>IFERROR(VLOOKUP(A41,[3]Москва_продажа_районы!$C$2:$F$149,3,0),"")</f>
        <v>219706.24915326969</v>
      </c>
      <c r="GH41" s="13">
        <v>-2.9807212835372798E-2</v>
      </c>
      <c r="GI41" s="1">
        <v>61</v>
      </c>
      <c r="GJ41" s="13">
        <f t="shared" si="68"/>
        <v>0.10909090909090913</v>
      </c>
      <c r="GK41" s="1">
        <v>226325.50403985009</v>
      </c>
      <c r="GL41" s="13">
        <f t="shared" si="69"/>
        <v>3.0127749720777031E-2</v>
      </c>
      <c r="GM41" s="1">
        <v>58</v>
      </c>
      <c r="GN41" s="13">
        <f t="shared" si="70"/>
        <v>-4.9180327868852514E-2</v>
      </c>
      <c r="GO41" s="1">
        <v>234366.31962814831</v>
      </c>
      <c r="GP41" s="13">
        <f t="shared" si="71"/>
        <v>3.5527660138922945E-2</v>
      </c>
      <c r="GQ41" s="1">
        <v>66.34</v>
      </c>
      <c r="GR41" s="13">
        <f t="shared" si="72"/>
        <v>0.14379310344827601</v>
      </c>
      <c r="GS41" s="1">
        <v>230628.25267113719</v>
      </c>
      <c r="GT41" s="13">
        <f t="shared" si="115"/>
        <v>-1.5949676399501622E-2</v>
      </c>
      <c r="GU41">
        <v>61</v>
      </c>
      <c r="GV41" s="13">
        <f t="shared" si="116"/>
        <v>-8.0494422671088417E-2</v>
      </c>
      <c r="GW41">
        <v>237375.99857383111</v>
      </c>
      <c r="GX41" s="13">
        <f t="shared" si="73"/>
        <v>2.925810617104152E-2</v>
      </c>
      <c r="GY41">
        <v>54</v>
      </c>
      <c r="GZ41" s="13">
        <f t="shared" si="74"/>
        <v>-0.11475409836065575</v>
      </c>
      <c r="HA41">
        <v>226167.59849297599</v>
      </c>
      <c r="HB41" s="13">
        <v>-4.7217916504599611E-2</v>
      </c>
      <c r="HC41">
        <v>60</v>
      </c>
      <c r="HD41" s="13">
        <v>0.11111111111111116</v>
      </c>
      <c r="HE41">
        <v>220990.93535492619</v>
      </c>
      <c r="HF41" s="13">
        <v>-2.288861522403518E-2</v>
      </c>
      <c r="HG41">
        <v>55</v>
      </c>
      <c r="HH41" s="13">
        <v>-8.333333333333337E-2</v>
      </c>
      <c r="HI41">
        <f>VLOOKUP(A41,[4]Москва_продажа_районы!$C$4:$F$151,3,0)</f>
        <v>221514.32865583789</v>
      </c>
      <c r="HJ41" s="13">
        <f t="shared" si="75"/>
        <v>2.3683926223991847E-3</v>
      </c>
      <c r="HK41">
        <f>VLOOKUP(A41,[4]Москва_продажа_районы!$C$4:$F$151,2,0)</f>
        <v>81</v>
      </c>
      <c r="HL41" s="13">
        <f t="shared" si="76"/>
        <v>0.47272727272727266</v>
      </c>
      <c r="HM41" s="1">
        <f>VLOOKUP(A41,Лист3!$C$4:$F$149,3,0)</f>
        <v>219137.43554717189</v>
      </c>
      <c r="HN41" s="13">
        <f t="shared" si="77"/>
        <v>-1.0730200267807244E-2</v>
      </c>
      <c r="HO41">
        <f>VLOOKUP(A41,Лист3!$C$4:$F$149,2,0)</f>
        <v>82</v>
      </c>
      <c r="HP41" s="13">
        <f t="shared" si="78"/>
        <v>1.2345679012345734E-2</v>
      </c>
      <c r="HQ41" s="1">
        <v>221051.14721003859</v>
      </c>
      <c r="HR41" s="13">
        <v>8.7329289862696502E-3</v>
      </c>
      <c r="HS41">
        <v>71</v>
      </c>
      <c r="HT41" s="13">
        <v>-0.13414634146341464</v>
      </c>
      <c r="HU41" s="34">
        <v>228911.7767317406</v>
      </c>
      <c r="HV41" s="13">
        <v>3.5560229480433359E-2</v>
      </c>
      <c r="HW41">
        <v>91</v>
      </c>
      <c r="HX41" s="13">
        <v>0.28169014084507049</v>
      </c>
      <c r="HY41">
        <v>229198.51532455819</v>
      </c>
      <c r="HZ41" s="13">
        <v>1.2526161690389337E-3</v>
      </c>
      <c r="IA41">
        <v>117</v>
      </c>
      <c r="IB41" s="13">
        <v>0.28571428571428581</v>
      </c>
      <c r="IC41" s="34">
        <v>228123.30177593909</v>
      </c>
      <c r="ID41" s="13">
        <v>-4.691188976929106E-3</v>
      </c>
      <c r="IE41">
        <v>92</v>
      </c>
      <c r="IF41" s="13">
        <v>-0.21367521367521369</v>
      </c>
    </row>
    <row r="42" spans="1:240" x14ac:dyDescent="0.3">
      <c r="A42" s="23" t="s">
        <v>56</v>
      </c>
      <c r="B42" s="22"/>
      <c r="D42" s="22"/>
      <c r="F42" s="22">
        <v>134284.91341052629</v>
      </c>
      <c r="G42">
        <v>19</v>
      </c>
      <c r="H42" s="22">
        <v>148929.37355950649</v>
      </c>
      <c r="I42">
        <v>16</v>
      </c>
      <c r="J42" s="22">
        <v>146837.26334893331</v>
      </c>
      <c r="K42">
        <v>18</v>
      </c>
      <c r="L42" s="22">
        <v>142229.38489703351</v>
      </c>
      <c r="M42">
        <v>11</v>
      </c>
      <c r="N42" s="22">
        <v>142261.50136578683</v>
      </c>
      <c r="O42" s="28">
        <v>10</v>
      </c>
      <c r="P42" s="39">
        <v>170253.57803988989</v>
      </c>
      <c r="Q42" s="28">
        <v>4</v>
      </c>
      <c r="R42" s="39">
        <v>150749.10716418765</v>
      </c>
      <c r="S42">
        <v>8</v>
      </c>
      <c r="T42" s="46">
        <v>193188.27509354783</v>
      </c>
      <c r="U42" s="47">
        <v>8</v>
      </c>
      <c r="V42" s="56">
        <v>179447.45680275309</v>
      </c>
      <c r="W42" s="47">
        <v>25</v>
      </c>
      <c r="X42" s="56">
        <v>164958.66563102149</v>
      </c>
      <c r="Y42" s="47">
        <v>144</v>
      </c>
      <c r="Z42" s="1">
        <v>164406.1685567266</v>
      </c>
      <c r="AA42" s="81">
        <v>163</v>
      </c>
      <c r="AB42" s="1">
        <v>166347.19098681491</v>
      </c>
      <c r="AC42">
        <v>141</v>
      </c>
      <c r="AD42" s="1">
        <v>160755.18232837479</v>
      </c>
      <c r="AE42">
        <v>91</v>
      </c>
      <c r="AF42" s="13">
        <f t="shared" si="19"/>
        <v>-2.5482039919315413E-2</v>
      </c>
      <c r="AG42" s="85">
        <f t="shared" si="117"/>
        <v>9.5688748685594113E-2</v>
      </c>
      <c r="AH42" s="35">
        <f t="shared" si="118"/>
        <v>9.4731861198738176</v>
      </c>
      <c r="AI42" s="87">
        <f t="shared" si="119"/>
        <v>100.47318611987382</v>
      </c>
      <c r="AL42" s="1">
        <v>155455.5722835382</v>
      </c>
      <c r="AM42">
        <v>93</v>
      </c>
      <c r="AN42" s="13">
        <f t="shared" si="120"/>
        <v>9.6373056994818657E-2</v>
      </c>
      <c r="AQ42" s="35">
        <f t="shared" si="121"/>
        <v>3.1803108808290155</v>
      </c>
      <c r="AR42" s="87">
        <f t="shared" si="122"/>
        <v>96.180310880829012</v>
      </c>
      <c r="AS42">
        <v>102</v>
      </c>
      <c r="AT42" s="1">
        <v>156246.71515881701</v>
      </c>
      <c r="AU42" s="13">
        <f t="shared" si="126"/>
        <v>5.0891895585178926E-3</v>
      </c>
      <c r="AV42" s="35">
        <v>97</v>
      </c>
      <c r="AW42" s="1">
        <v>164337.14381316389</v>
      </c>
      <c r="AX42" s="61"/>
      <c r="AY42" s="121">
        <v>170712.85920313609</v>
      </c>
      <c r="AZ42" s="122">
        <v>99</v>
      </c>
      <c r="BA42" s="119">
        <v>175630.124405865</v>
      </c>
      <c r="BB42">
        <v>115</v>
      </c>
      <c r="BC42" s="125">
        <f t="shared" si="127"/>
        <v>2.8804304641618872E-2</v>
      </c>
      <c r="BD42">
        <v>116</v>
      </c>
      <c r="BE42" s="1">
        <v>176490.97664177851</v>
      </c>
      <c r="BF42" s="13">
        <f t="shared" si="128"/>
        <v>4.9015067251456657E-3</v>
      </c>
      <c r="BG42">
        <v>117</v>
      </c>
      <c r="BH42" s="1">
        <v>179944.1177975139</v>
      </c>
      <c r="BI42" s="13">
        <f t="shared" si="123"/>
        <v>1.9565539391536158E-2</v>
      </c>
      <c r="BJ42">
        <v>91</v>
      </c>
      <c r="BK42" s="1">
        <v>183017.9998999261</v>
      </c>
      <c r="BL42" s="13">
        <f t="shared" si="103"/>
        <v>1.7082426144494178E-2</v>
      </c>
      <c r="BM42" s="1">
        <v>180370.6138758669</v>
      </c>
      <c r="BN42" s="109">
        <f t="shared" si="104"/>
        <v>-1.4465167499955189E-2</v>
      </c>
      <c r="BO42">
        <v>90</v>
      </c>
      <c r="BP42" s="13">
        <f t="shared" si="105"/>
        <v>-1.098901098901095E-2</v>
      </c>
      <c r="BQ42" s="1">
        <v>188751.9991578304</v>
      </c>
      <c r="BR42" s="13">
        <f t="shared" si="124"/>
        <v>4.6467576407605238E-2</v>
      </c>
      <c r="BS42">
        <v>98</v>
      </c>
      <c r="BT42" s="13">
        <f t="shared" si="125"/>
        <v>8.8888888888888795E-2</v>
      </c>
      <c r="BU42" s="1">
        <v>204583.87843617759</v>
      </c>
      <c r="BV42" s="13">
        <f t="shared" si="129"/>
        <v>8.3876617725828106E-2</v>
      </c>
      <c r="BW42">
        <v>94</v>
      </c>
      <c r="BX42" s="13">
        <f t="shared" si="106"/>
        <v>-4.081632653061229E-2</v>
      </c>
      <c r="BY42" s="1">
        <v>205655.54257569491</v>
      </c>
      <c r="BZ42" s="13">
        <f t="shared" si="107"/>
        <v>5.238262895928214E-3</v>
      </c>
      <c r="CA42">
        <v>85</v>
      </c>
      <c r="CB42" s="13">
        <f t="shared" si="108"/>
        <v>-9.5744680851063801E-2</v>
      </c>
      <c r="CC42" s="1">
        <v>205920.25204983799</v>
      </c>
      <c r="CD42" s="13">
        <f t="shared" si="109"/>
        <v>1.2871497204878235E-3</v>
      </c>
      <c r="CE42">
        <v>83</v>
      </c>
      <c r="CF42" s="13">
        <f t="shared" si="110"/>
        <v>-2.352941176470591E-2</v>
      </c>
      <c r="CG42" s="1">
        <v>201290.8629714931</v>
      </c>
      <c r="CH42" s="13">
        <f t="shared" si="111"/>
        <v>-2.248146567548126E-2</v>
      </c>
      <c r="CI42">
        <v>96</v>
      </c>
      <c r="CJ42" s="13">
        <f t="shared" si="112"/>
        <v>0.15662650602409633</v>
      </c>
      <c r="CK42" s="1">
        <v>197794.37113926781</v>
      </c>
      <c r="CL42" s="13">
        <f t="shared" si="113"/>
        <v>-1.7370345482201399E-2</v>
      </c>
      <c r="CM42">
        <v>117</v>
      </c>
      <c r="CN42" s="13">
        <f t="shared" si="114"/>
        <v>0.21875</v>
      </c>
      <c r="CO42" s="1">
        <v>204326.07324516989</v>
      </c>
      <c r="CP42" s="13">
        <v>3.3022689514774273E-2</v>
      </c>
      <c r="CQ42">
        <v>123</v>
      </c>
      <c r="CR42" s="13">
        <v>5.1282051282051322E-2</v>
      </c>
      <c r="CS42" s="1">
        <v>203634.58550347821</v>
      </c>
      <c r="CT42" s="13">
        <f t="shared" si="24"/>
        <v>-3.3842364349749854E-3</v>
      </c>
      <c r="CU42">
        <v>138</v>
      </c>
      <c r="CV42" s="13">
        <f t="shared" si="25"/>
        <v>0.12195121951219523</v>
      </c>
      <c r="CW42" s="1">
        <v>197692.46648490359</v>
      </c>
      <c r="CX42" s="13">
        <f t="shared" si="26"/>
        <v>-2.9180303551496256E-2</v>
      </c>
      <c r="CY42">
        <v>126</v>
      </c>
      <c r="CZ42" s="13">
        <f t="shared" si="27"/>
        <v>-8.6956521739130488E-2</v>
      </c>
      <c r="DA42" s="1">
        <v>204641.7597301928</v>
      </c>
      <c r="DB42" s="13">
        <f t="shared" si="28"/>
        <v>3.5152038764309168E-2</v>
      </c>
      <c r="DC42">
        <v>142</v>
      </c>
      <c r="DD42" s="13">
        <f t="shared" si="29"/>
        <v>0.12698412698412698</v>
      </c>
      <c r="DE42" s="1">
        <v>196957.45705413661</v>
      </c>
      <c r="DF42" s="13">
        <f t="shared" si="30"/>
        <v>-3.7550022469448385E-2</v>
      </c>
      <c r="DG42" s="1">
        <v>173</v>
      </c>
      <c r="DH42" s="13">
        <f t="shared" si="31"/>
        <v>0.21830985915492951</v>
      </c>
      <c r="DI42" s="1">
        <v>199363.18872593981</v>
      </c>
      <c r="DJ42" s="13">
        <f t="shared" si="32"/>
        <v>1.2214473662411018E-2</v>
      </c>
      <c r="DK42" s="1">
        <v>171</v>
      </c>
      <c r="DL42" s="13">
        <f t="shared" si="33"/>
        <v>-1.1560693641618491E-2</v>
      </c>
      <c r="DM42" s="1">
        <v>195148.96817480199</v>
      </c>
      <c r="DN42" s="13">
        <f t="shared" si="34"/>
        <v>-2.1138408640378525E-2</v>
      </c>
      <c r="DO42" s="1">
        <v>166</v>
      </c>
      <c r="DP42" s="13">
        <f t="shared" si="35"/>
        <v>-2.9239766081871399E-2</v>
      </c>
      <c r="DQ42" s="1">
        <v>197063.15427839081</v>
      </c>
      <c r="DR42" s="13">
        <f t="shared" si="36"/>
        <v>9.8088456295306603E-3</v>
      </c>
      <c r="DS42">
        <v>174</v>
      </c>
      <c r="DT42" s="13">
        <f t="shared" si="37"/>
        <v>4.8192771084337283E-2</v>
      </c>
      <c r="DU42" s="1">
        <v>202398.71709544049</v>
      </c>
      <c r="DV42" s="13">
        <f t="shared" si="38"/>
        <v>2.7075395380671496E-2</v>
      </c>
      <c r="DW42">
        <v>185</v>
      </c>
      <c r="DX42" s="13">
        <f t="shared" si="39"/>
        <v>6.321839080459779E-2</v>
      </c>
      <c r="DY42" s="1">
        <v>197393.621040667</v>
      </c>
      <c r="DZ42" s="13">
        <f t="shared" si="40"/>
        <v>-2.4728892191610785E-2</v>
      </c>
      <c r="EA42" s="1">
        <v>211</v>
      </c>
      <c r="EB42" s="13">
        <f t="shared" si="41"/>
        <v>0.14054054054054044</v>
      </c>
      <c r="EC42" s="1">
        <v>193880.54110077961</v>
      </c>
      <c r="ED42" s="13">
        <f t="shared" si="42"/>
        <v>-1.7797332666406818E-2</v>
      </c>
      <c r="EE42" s="1">
        <f>IFERROR(VLOOKUP($A42,[1]Москва_продажа_районы!$C$2:$F$148,2,0),"")</f>
        <v>224</v>
      </c>
      <c r="EF42" s="13">
        <v>6.1611374407583019E-2</v>
      </c>
      <c r="EG42" s="1">
        <v>190116.58041900201</v>
      </c>
      <c r="EH42" s="13">
        <f t="shared" si="43"/>
        <v>-1.9413813580296702E-2</v>
      </c>
      <c r="EI42" s="1">
        <f>IFERROR(VLOOKUP($A42,[2]Москва_продажа_районы!$C$2:$F$150,2,0),"")</f>
        <v>189</v>
      </c>
      <c r="EJ42" s="13">
        <v>-0.15625</v>
      </c>
      <c r="EK42" s="1">
        <v>188190.62292449921</v>
      </c>
      <c r="EL42" s="13">
        <f t="shared" si="44"/>
        <v>-1.0130402568035546E-2</v>
      </c>
      <c r="EM42">
        <v>171</v>
      </c>
      <c r="EN42" s="13">
        <f t="shared" si="45"/>
        <v>-9.5238095238095233E-2</v>
      </c>
      <c r="EO42" s="1">
        <v>187583.06556777679</v>
      </c>
      <c r="EP42" s="13">
        <f t="shared" si="46"/>
        <v>-3.2284146111051237E-3</v>
      </c>
      <c r="EQ42">
        <v>151</v>
      </c>
      <c r="ER42" s="13">
        <f t="shared" si="47"/>
        <v>-0.11695906432748537</v>
      </c>
      <c r="ES42" s="183">
        <v>192762.94676324789</v>
      </c>
      <c r="ET42" s="13">
        <f t="shared" si="48"/>
        <v>2.761379967745281E-2</v>
      </c>
      <c r="EU42">
        <v>158</v>
      </c>
      <c r="EV42" s="13">
        <f t="shared" si="49"/>
        <v>4.635761589403975E-2</v>
      </c>
      <c r="EW42" s="183">
        <v>195416.16292682581</v>
      </c>
      <c r="EX42" s="13">
        <f t="shared" si="50"/>
        <v>1.376413988335945E-2</v>
      </c>
      <c r="EY42">
        <v>153</v>
      </c>
      <c r="EZ42" s="13">
        <f t="shared" si="51"/>
        <v>-3.1645569620253111E-2</v>
      </c>
      <c r="FA42" s="1">
        <v>192954.35012047191</v>
      </c>
      <c r="FB42" s="13">
        <f t="shared" si="52"/>
        <v>-1.2597795235984366E-2</v>
      </c>
      <c r="FC42" s="1">
        <v>158</v>
      </c>
      <c r="FD42" s="13">
        <f t="shared" si="53"/>
        <v>3.2679738562091609E-2</v>
      </c>
      <c r="FE42" s="1">
        <v>191297.19734394591</v>
      </c>
      <c r="FF42" s="13">
        <f t="shared" si="54"/>
        <v>-8.5883151921236633E-3</v>
      </c>
      <c r="FG42" s="1">
        <v>155</v>
      </c>
      <c r="FH42" s="13">
        <f t="shared" si="55"/>
        <v>-1.8987341772151889E-2</v>
      </c>
      <c r="FI42" s="1">
        <v>188404.7827404381</v>
      </c>
      <c r="FJ42" s="13">
        <f t="shared" si="56"/>
        <v>-1.5120005121179836E-2</v>
      </c>
      <c r="FK42" s="1">
        <v>164</v>
      </c>
      <c r="FL42" s="13">
        <f t="shared" si="57"/>
        <v>5.8064516129032295E-2</v>
      </c>
      <c r="FM42" s="1">
        <v>187346.58689760411</v>
      </c>
      <c r="FN42" s="13">
        <f t="shared" si="58"/>
        <v>-5.6166081743893592E-3</v>
      </c>
      <c r="FO42" s="1">
        <v>181</v>
      </c>
      <c r="FP42" s="13">
        <f t="shared" si="59"/>
        <v>0.10365853658536595</v>
      </c>
      <c r="FQ42" s="1">
        <v>186439.72627261229</v>
      </c>
      <c r="FR42" s="13">
        <f t="shared" si="60"/>
        <v>-4.8405505539712568E-3</v>
      </c>
      <c r="FS42">
        <v>199</v>
      </c>
      <c r="FT42" s="13">
        <f t="shared" si="61"/>
        <v>9.9447513812154664E-2</v>
      </c>
      <c r="FU42" s="1">
        <v>186986.179121508</v>
      </c>
      <c r="FV42" s="13">
        <f t="shared" si="62"/>
        <v>2.9309893326956438E-3</v>
      </c>
      <c r="FW42" s="1">
        <v>192</v>
      </c>
      <c r="FX42" s="13">
        <f t="shared" si="63"/>
        <v>-3.5175879396984966E-2</v>
      </c>
      <c r="FY42" s="1">
        <v>182410.78848551211</v>
      </c>
      <c r="FZ42" s="13">
        <f t="shared" si="64"/>
        <v>-2.4469138080107533E-2</v>
      </c>
      <c r="GA42" s="1">
        <v>195</v>
      </c>
      <c r="GB42" s="13">
        <f t="shared" si="65"/>
        <v>1.5625E-2</v>
      </c>
      <c r="GC42" s="1">
        <v>197874.43818236221</v>
      </c>
      <c r="GD42" s="13">
        <f t="shared" si="66"/>
        <v>8.477376708493467E-2</v>
      </c>
      <c r="GE42" s="1">
        <v>284</v>
      </c>
      <c r="GF42" s="13">
        <f t="shared" si="67"/>
        <v>0.45641025641025634</v>
      </c>
      <c r="GG42" s="1">
        <f>IFERROR(VLOOKUP(A42,[3]Москва_продажа_районы!$C$2:$F$149,3,0),"")</f>
        <v>198410.4860060754</v>
      </c>
      <c r="GH42" s="13">
        <v>2.7090301740702039E-3</v>
      </c>
      <c r="GI42" s="1">
        <v>284</v>
      </c>
      <c r="GJ42" s="13">
        <f t="shared" si="68"/>
        <v>0</v>
      </c>
      <c r="GK42" s="1">
        <v>193073.50741787301</v>
      </c>
      <c r="GL42" s="13">
        <f t="shared" si="69"/>
        <v>-2.6898672018972669E-2</v>
      </c>
      <c r="GM42" s="1">
        <v>254</v>
      </c>
      <c r="GN42" s="13">
        <f t="shared" si="70"/>
        <v>-0.10563380281690138</v>
      </c>
      <c r="GO42" s="1">
        <v>193110.70745863879</v>
      </c>
      <c r="GP42" s="13">
        <f t="shared" si="71"/>
        <v>1.9267294235891796E-4</v>
      </c>
      <c r="GQ42" s="1">
        <v>251.45000000000002</v>
      </c>
      <c r="GR42" s="13">
        <f t="shared" si="72"/>
        <v>-1.0039370078740117E-2</v>
      </c>
      <c r="GS42" s="1">
        <v>192344.41384651489</v>
      </c>
      <c r="GT42" s="13">
        <f t="shared" si="115"/>
        <v>-3.9681570339026306E-3</v>
      </c>
      <c r="GU42">
        <v>228</v>
      </c>
      <c r="GV42" s="13">
        <f t="shared" si="116"/>
        <v>-9.3259097236031097E-2</v>
      </c>
      <c r="GW42">
        <v>191355.10815869729</v>
      </c>
      <c r="GX42" s="13">
        <f t="shared" si="73"/>
        <v>-5.1434074327058044E-3</v>
      </c>
      <c r="GY42">
        <v>197</v>
      </c>
      <c r="GZ42" s="13">
        <f t="shared" si="74"/>
        <v>-0.13596491228070173</v>
      </c>
      <c r="HA42">
        <v>196583.37135979309</v>
      </c>
      <c r="HB42" s="13">
        <v>2.7322307992738937E-2</v>
      </c>
      <c r="HC42">
        <v>168</v>
      </c>
      <c r="HD42" s="13">
        <v>-0.14720812182741116</v>
      </c>
      <c r="HE42">
        <v>199293.7486743115</v>
      </c>
      <c r="HF42" s="13">
        <v>1.3787419026189074E-2</v>
      </c>
      <c r="HG42">
        <v>177</v>
      </c>
      <c r="HH42" s="13">
        <v>5.3571428571428603E-2</v>
      </c>
      <c r="HI42">
        <f>VLOOKUP(A42,[4]Москва_продажа_районы!$C$4:$F$151,3,0)</f>
        <v>198379.55298102621</v>
      </c>
      <c r="HJ42" s="13">
        <f t="shared" si="75"/>
        <v>-4.5871769654917127E-3</v>
      </c>
      <c r="HK42">
        <f>VLOOKUP(A42,[4]Москва_продажа_районы!$C$4:$F$151,2,0)</f>
        <v>154</v>
      </c>
      <c r="HL42" s="13">
        <f t="shared" si="76"/>
        <v>-0.12994350282485878</v>
      </c>
      <c r="HM42" s="1">
        <f>VLOOKUP(A42,Лист3!$C$4:$F$149,3,0)</f>
        <v>192643.2413240684</v>
      </c>
      <c r="HN42" s="13">
        <f t="shared" si="77"/>
        <v>-2.8915841228387307E-2</v>
      </c>
      <c r="HO42">
        <f>VLOOKUP(A42,Лист3!$C$4:$F$149,2,0)</f>
        <v>153</v>
      </c>
      <c r="HP42" s="13">
        <f t="shared" si="78"/>
        <v>-6.4935064935064402E-3</v>
      </c>
      <c r="HQ42" s="1">
        <v>195086.782771392</v>
      </c>
      <c r="HR42" s="13">
        <v>1.2684283292415222E-2</v>
      </c>
      <c r="HS42">
        <v>141</v>
      </c>
      <c r="HT42" s="13">
        <v>-7.8431372549019662E-2</v>
      </c>
      <c r="HU42" s="34">
        <v>196244.34150030429</v>
      </c>
      <c r="HV42" s="13">
        <v>5.9335579400514593E-3</v>
      </c>
      <c r="HW42">
        <v>131</v>
      </c>
      <c r="HX42" s="13">
        <v>-7.0921985815602828E-2</v>
      </c>
      <c r="HY42">
        <v>195592.55497766449</v>
      </c>
      <c r="HZ42" s="13">
        <v>-3.3213009743712218E-3</v>
      </c>
      <c r="IA42">
        <v>136</v>
      </c>
      <c r="IB42" s="13">
        <v>3.8167938931297662E-2</v>
      </c>
      <c r="IC42" s="34">
        <v>201317.70437135801</v>
      </c>
      <c r="ID42" s="13">
        <v>2.9270794046058146E-2</v>
      </c>
      <c r="IE42">
        <v>130</v>
      </c>
      <c r="IF42" s="13">
        <v>-4.4117647058823484E-2</v>
      </c>
    </row>
    <row r="43" spans="1:240" x14ac:dyDescent="0.3">
      <c r="A43" s="23" t="s">
        <v>57</v>
      </c>
      <c r="B43" s="22">
        <v>154173.08236357805</v>
      </c>
      <c r="C43">
        <v>327</v>
      </c>
      <c r="D43" s="22">
        <v>154411.02757680923</v>
      </c>
      <c r="E43">
        <v>304</v>
      </c>
      <c r="F43" s="22">
        <v>156443.28910311917</v>
      </c>
      <c r="G43">
        <v>218</v>
      </c>
      <c r="H43" s="22">
        <v>159134.18407869877</v>
      </c>
      <c r="I43">
        <v>221</v>
      </c>
      <c r="J43" s="22">
        <v>156950.41997666398</v>
      </c>
      <c r="K43">
        <v>256</v>
      </c>
      <c r="L43" s="22">
        <v>159516.40837171342</v>
      </c>
      <c r="M43">
        <v>239</v>
      </c>
      <c r="N43" s="22">
        <v>164019.7416263932</v>
      </c>
      <c r="O43" s="28">
        <v>217</v>
      </c>
      <c r="P43" s="39">
        <v>171658.62421015199</v>
      </c>
      <c r="Q43" s="28">
        <v>226</v>
      </c>
      <c r="R43" s="39">
        <v>175977.91498589201</v>
      </c>
      <c r="S43">
        <v>228</v>
      </c>
      <c r="T43" s="46">
        <v>181693.29123122973</v>
      </c>
      <c r="U43" s="47">
        <v>206</v>
      </c>
      <c r="V43" s="56">
        <v>186961.73902268591</v>
      </c>
      <c r="W43" s="47">
        <v>175</v>
      </c>
      <c r="X43" s="56">
        <v>192011.13570688269</v>
      </c>
      <c r="Y43" s="47">
        <v>295</v>
      </c>
      <c r="Z43" s="34">
        <v>194913.51767994079</v>
      </c>
      <c r="AA43" s="81">
        <v>289</v>
      </c>
      <c r="AB43" s="1">
        <v>199155.5665898672</v>
      </c>
      <c r="AC43">
        <v>283</v>
      </c>
      <c r="AD43" s="1">
        <v>202734.91343546539</v>
      </c>
      <c r="AE43">
        <v>245</v>
      </c>
      <c r="AF43" s="13">
        <f t="shared" si="19"/>
        <v>5.5849769801649574E-2</v>
      </c>
      <c r="AG43" s="85">
        <f t="shared" si="117"/>
        <v>0.25762355415352262</v>
      </c>
      <c r="AH43" s="35">
        <f t="shared" si="118"/>
        <v>25.504731861198739</v>
      </c>
      <c r="AI43" s="87">
        <f t="shared" si="119"/>
        <v>270.50473186119876</v>
      </c>
      <c r="AL43" s="1">
        <v>209299.64151731381</v>
      </c>
      <c r="AM43">
        <v>242</v>
      </c>
      <c r="AN43" s="13">
        <f t="shared" si="120"/>
        <v>0.25077720207253884</v>
      </c>
      <c r="AQ43" s="35">
        <f t="shared" si="121"/>
        <v>8.2756476683937823</v>
      </c>
      <c r="AR43" s="87">
        <f t="shared" si="122"/>
        <v>250.27564766839379</v>
      </c>
      <c r="AS43">
        <v>270</v>
      </c>
      <c r="AT43" s="1">
        <v>209180.89022853001</v>
      </c>
      <c r="AU43" s="13">
        <f t="shared" si="126"/>
        <v>-5.6737454456634584E-4</v>
      </c>
      <c r="AV43" s="35">
        <v>332</v>
      </c>
      <c r="AW43" s="1">
        <v>214819</v>
      </c>
      <c r="AX43" s="61"/>
      <c r="AY43" s="121">
        <v>210847.9514836827</v>
      </c>
      <c r="AZ43" s="122">
        <v>279</v>
      </c>
      <c r="BA43" s="119">
        <v>215077.83191728819</v>
      </c>
      <c r="BB43">
        <v>297</v>
      </c>
      <c r="BC43" s="125">
        <f t="shared" si="127"/>
        <v>2.0061283042310363E-2</v>
      </c>
      <c r="BD43">
        <v>273</v>
      </c>
      <c r="BE43" s="1">
        <v>223924.786888348</v>
      </c>
      <c r="BF43" s="13">
        <f t="shared" si="128"/>
        <v>4.1133736992764902E-2</v>
      </c>
      <c r="BG43">
        <v>273</v>
      </c>
      <c r="BH43" s="1">
        <v>230535.69845221189</v>
      </c>
      <c r="BI43" s="13">
        <f t="shared" si="123"/>
        <v>2.9522911044056022E-2</v>
      </c>
      <c r="BJ43">
        <v>248</v>
      </c>
      <c r="BK43" s="1">
        <v>228818.72813460839</v>
      </c>
      <c r="BL43" s="13">
        <f t="shared" si="103"/>
        <v>-7.4477416258350582E-3</v>
      </c>
      <c r="BM43" s="1">
        <v>229928.85072860771</v>
      </c>
      <c r="BN43" s="109">
        <f t="shared" si="104"/>
        <v>4.851537297883457E-3</v>
      </c>
      <c r="BO43">
        <v>219</v>
      </c>
      <c r="BP43" s="13">
        <f t="shared" si="105"/>
        <v>-0.11693548387096775</v>
      </c>
      <c r="BQ43" s="1">
        <v>236116.94268821811</v>
      </c>
      <c r="BR43" s="13">
        <f t="shared" si="124"/>
        <v>2.6913073065869542E-2</v>
      </c>
      <c r="BS43">
        <v>216</v>
      </c>
      <c r="BT43" s="13">
        <f t="shared" si="125"/>
        <v>-1.3698630136986356E-2</v>
      </c>
      <c r="BU43" s="1">
        <v>241518.13420538919</v>
      </c>
      <c r="BV43" s="13">
        <f t="shared" si="129"/>
        <v>2.287506968232722E-2</v>
      </c>
      <c r="BW43">
        <v>221</v>
      </c>
      <c r="BX43" s="13">
        <f t="shared" si="106"/>
        <v>2.314814814814814E-2</v>
      </c>
      <c r="BY43" s="1">
        <v>246416.1039860702</v>
      </c>
      <c r="BZ43" s="13">
        <f t="shared" si="107"/>
        <v>2.0279925550086286E-2</v>
      </c>
      <c r="CA43">
        <v>164</v>
      </c>
      <c r="CB43" s="13">
        <f t="shared" si="108"/>
        <v>-0.25791855203619907</v>
      </c>
      <c r="CC43" s="1">
        <v>249754.39230795589</v>
      </c>
      <c r="CD43" s="13">
        <f t="shared" si="109"/>
        <v>1.3547362643451244E-2</v>
      </c>
      <c r="CE43">
        <v>164</v>
      </c>
      <c r="CF43" s="13">
        <f t="shared" si="110"/>
        <v>0</v>
      </c>
      <c r="CG43" s="1">
        <v>248591.24840381349</v>
      </c>
      <c r="CH43" s="13">
        <f t="shared" si="111"/>
        <v>-4.6571509449500059E-3</v>
      </c>
      <c r="CI43">
        <v>191</v>
      </c>
      <c r="CJ43" s="13">
        <f t="shared" si="112"/>
        <v>0.16463414634146334</v>
      </c>
      <c r="CK43" s="1">
        <v>240002.34964130871</v>
      </c>
      <c r="CL43" s="13">
        <f t="shared" si="113"/>
        <v>-3.4550286132973174E-2</v>
      </c>
      <c r="CM43">
        <v>172</v>
      </c>
      <c r="CN43" s="13">
        <f t="shared" si="114"/>
        <v>-9.9476439790575966E-2</v>
      </c>
      <c r="CO43" s="1">
        <v>240722.27844054799</v>
      </c>
      <c r="CP43" s="13">
        <v>2.9996739628392888E-3</v>
      </c>
      <c r="CQ43">
        <v>169</v>
      </c>
      <c r="CR43" s="13">
        <v>-1.744186046511631E-2</v>
      </c>
      <c r="CS43" s="1">
        <v>250220.40455942639</v>
      </c>
      <c r="CT43" s="13">
        <f t="shared" si="24"/>
        <v>3.9456780570578553E-2</v>
      </c>
      <c r="CU43">
        <v>256</v>
      </c>
      <c r="CV43" s="13">
        <f t="shared" si="25"/>
        <v>0.51479289940828399</v>
      </c>
      <c r="CW43" s="1">
        <v>250108.94466166911</v>
      </c>
      <c r="CX43" s="13">
        <f t="shared" si="26"/>
        <v>-4.4544687693848228E-4</v>
      </c>
      <c r="CY43">
        <v>343</v>
      </c>
      <c r="CZ43" s="13">
        <f t="shared" si="27"/>
        <v>0.33984375</v>
      </c>
      <c r="DA43" s="1">
        <v>244054.61504883549</v>
      </c>
      <c r="DB43" s="13">
        <f t="shared" si="28"/>
        <v>-2.4206769658012495E-2</v>
      </c>
      <c r="DC43">
        <v>319</v>
      </c>
      <c r="DD43" s="13">
        <f t="shared" si="29"/>
        <v>-6.9970845481049593E-2</v>
      </c>
      <c r="DE43" s="1">
        <v>241387.00394980729</v>
      </c>
      <c r="DF43" s="13">
        <f t="shared" si="30"/>
        <v>-1.0930385801122489E-2</v>
      </c>
      <c r="DG43" s="1">
        <v>339</v>
      </c>
      <c r="DH43" s="13">
        <f t="shared" si="31"/>
        <v>6.2695924764890387E-2</v>
      </c>
      <c r="DI43" s="1">
        <v>245449.02472685571</v>
      </c>
      <c r="DJ43" s="13">
        <f t="shared" si="32"/>
        <v>1.6827835428509852E-2</v>
      </c>
      <c r="DK43" s="1">
        <v>335</v>
      </c>
      <c r="DL43" s="13">
        <f t="shared" si="33"/>
        <v>-1.179941002949858E-2</v>
      </c>
      <c r="DM43" s="1">
        <v>243792.86682057599</v>
      </c>
      <c r="DN43" s="13">
        <f t="shared" si="34"/>
        <v>-6.7474617514685642E-3</v>
      </c>
      <c r="DO43" s="1">
        <v>355</v>
      </c>
      <c r="DP43" s="13">
        <f t="shared" si="35"/>
        <v>5.9701492537313383E-2</v>
      </c>
      <c r="DQ43" s="1">
        <v>248829.4114819984</v>
      </c>
      <c r="DR43" s="13">
        <f t="shared" si="36"/>
        <v>2.0659114136957646E-2</v>
      </c>
      <c r="DS43">
        <v>398</v>
      </c>
      <c r="DT43" s="13">
        <f t="shared" si="37"/>
        <v>0.12112676056338034</v>
      </c>
      <c r="DU43" s="1">
        <v>251904.17951518501</v>
      </c>
      <c r="DV43" s="13">
        <f t="shared" si="38"/>
        <v>1.2356931662031778E-2</v>
      </c>
      <c r="DW43">
        <v>362</v>
      </c>
      <c r="DX43" s="13">
        <f t="shared" si="39"/>
        <v>-9.0452261306532611E-2</v>
      </c>
      <c r="DY43" s="1">
        <v>252776.3460344538</v>
      </c>
      <c r="DZ43" s="13">
        <f t="shared" si="40"/>
        <v>3.4622947540901006E-3</v>
      </c>
      <c r="EA43" s="1">
        <v>323</v>
      </c>
      <c r="EB43" s="13">
        <f t="shared" si="41"/>
        <v>-0.10773480662983426</v>
      </c>
      <c r="EC43" s="1">
        <v>258436.0517087832</v>
      </c>
      <c r="ED43" s="13">
        <f t="shared" si="42"/>
        <v>2.2390171244733414E-2</v>
      </c>
      <c r="EE43" s="1">
        <f>IFERROR(VLOOKUP($A43,[1]Москва_продажа_районы!$C$2:$F$148,2,0),"")</f>
        <v>318</v>
      </c>
      <c r="EF43" s="13">
        <v>-1.5479876160990669E-2</v>
      </c>
      <c r="EG43" s="1">
        <v>260114.21937436011</v>
      </c>
      <c r="EH43" s="13">
        <f t="shared" si="43"/>
        <v>6.4935509364147936E-3</v>
      </c>
      <c r="EI43" s="1">
        <f>IFERROR(VLOOKUP($A43,[2]Москва_продажа_районы!$C$2:$F$150,2,0),"")</f>
        <v>292</v>
      </c>
      <c r="EJ43" s="13">
        <v>-8.1761006289308158E-2</v>
      </c>
      <c r="EK43" s="1">
        <v>265128.94633515738</v>
      </c>
      <c r="EL43" s="13">
        <f t="shared" si="44"/>
        <v>1.9278942046532244E-2</v>
      </c>
      <c r="EM43">
        <v>299</v>
      </c>
      <c r="EN43" s="13">
        <f t="shared" si="45"/>
        <v>2.3972602739726012E-2</v>
      </c>
      <c r="EO43" s="1">
        <v>268084.76220686868</v>
      </c>
      <c r="EP43" s="13">
        <f t="shared" si="46"/>
        <v>1.1148597362035106E-2</v>
      </c>
      <c r="EQ43">
        <v>327</v>
      </c>
      <c r="ER43" s="13">
        <f t="shared" si="47"/>
        <v>9.3645484949832714E-2</v>
      </c>
      <c r="ES43" s="183">
        <v>266015.90338799229</v>
      </c>
      <c r="ET43" s="13">
        <f t="shared" si="48"/>
        <v>-7.7171816922587677E-3</v>
      </c>
      <c r="EU43">
        <v>307</v>
      </c>
      <c r="EV43" s="13">
        <f t="shared" si="49"/>
        <v>-6.1162079510703404E-2</v>
      </c>
      <c r="EW43" s="183">
        <v>267103.78161057201</v>
      </c>
      <c r="EX43" s="13">
        <f t="shared" si="50"/>
        <v>4.0895232530253622E-3</v>
      </c>
      <c r="EY43">
        <v>283</v>
      </c>
      <c r="EZ43" s="13">
        <f t="shared" si="51"/>
        <v>-7.8175895765472347E-2</v>
      </c>
      <c r="FA43" s="1">
        <v>268420.55237460713</v>
      </c>
      <c r="FB43" s="13">
        <f t="shared" si="52"/>
        <v>4.9298095148457843E-3</v>
      </c>
      <c r="FC43" s="1">
        <v>234</v>
      </c>
      <c r="FD43" s="13">
        <f t="shared" si="53"/>
        <v>-0.17314487632508835</v>
      </c>
      <c r="FE43" s="1">
        <v>269296.64034992532</v>
      </c>
      <c r="FF43" s="13">
        <f t="shared" si="54"/>
        <v>3.2638632458199535E-3</v>
      </c>
      <c r="FG43" s="1">
        <v>212</v>
      </c>
      <c r="FH43" s="13">
        <f t="shared" si="55"/>
        <v>-9.4017094017094016E-2</v>
      </c>
      <c r="FI43" s="1">
        <v>275963.74772538699</v>
      </c>
      <c r="FJ43" s="13">
        <f t="shared" si="56"/>
        <v>2.4757484411236597E-2</v>
      </c>
      <c r="FK43" s="1">
        <v>221</v>
      </c>
      <c r="FL43" s="13">
        <f t="shared" si="57"/>
        <v>4.2452830188679291E-2</v>
      </c>
      <c r="FM43" s="1">
        <v>269797.61987905361</v>
      </c>
      <c r="FN43" s="13">
        <f t="shared" si="58"/>
        <v>-2.2343977776636548E-2</v>
      </c>
      <c r="FO43" s="1">
        <v>229</v>
      </c>
      <c r="FP43" s="13">
        <f t="shared" si="59"/>
        <v>3.6199095022624528E-2</v>
      </c>
      <c r="FQ43" s="1">
        <v>269423.60140295519</v>
      </c>
      <c r="FR43" s="13">
        <f t="shared" si="60"/>
        <v>-1.3862927192096475E-3</v>
      </c>
      <c r="FS43">
        <v>244</v>
      </c>
      <c r="FT43" s="13">
        <f t="shared" si="61"/>
        <v>6.5502183406113579E-2</v>
      </c>
      <c r="FU43" s="1">
        <v>267201.86695397808</v>
      </c>
      <c r="FV43" s="13">
        <f t="shared" si="62"/>
        <v>-8.2462502817421957E-3</v>
      </c>
      <c r="FW43" s="1">
        <v>261</v>
      </c>
      <c r="FX43" s="13">
        <f t="shared" si="63"/>
        <v>6.9672131147541005E-2</v>
      </c>
      <c r="FY43" s="1">
        <v>260842.47097378009</v>
      </c>
      <c r="FZ43" s="13">
        <f t="shared" si="64"/>
        <v>-2.3799968363594215E-2</v>
      </c>
      <c r="GA43" s="1">
        <v>721</v>
      </c>
      <c r="GB43" s="13">
        <f t="shared" si="65"/>
        <v>1.7624521072796937</v>
      </c>
      <c r="GC43" s="1">
        <v>273572.28949518892</v>
      </c>
      <c r="GD43" s="13">
        <f t="shared" si="66"/>
        <v>4.8802706376326332E-2</v>
      </c>
      <c r="GE43" s="1">
        <v>1179</v>
      </c>
      <c r="GF43" s="13">
        <f t="shared" si="67"/>
        <v>0.63522884882108177</v>
      </c>
      <c r="GG43" s="1">
        <f>IFERROR(VLOOKUP(A43,[3]Москва_продажа_районы!$C$2:$F$149,3,0),"")</f>
        <v>275744.02936973458</v>
      </c>
      <c r="GH43" s="13">
        <v>7.9384497551016064E-3</v>
      </c>
      <c r="GI43" s="1">
        <v>1142</v>
      </c>
      <c r="GJ43" s="13">
        <f t="shared" si="68"/>
        <v>-3.1382527565733676E-2</v>
      </c>
      <c r="GK43" s="1">
        <v>270572.19552708819</v>
      </c>
      <c r="GL43" s="13">
        <f t="shared" si="69"/>
        <v>-1.875592321787567E-2</v>
      </c>
      <c r="GM43" s="1">
        <v>976</v>
      </c>
      <c r="GN43" s="13">
        <f t="shared" si="70"/>
        <v>-0.14535901926444839</v>
      </c>
      <c r="GO43" s="1">
        <v>270479.54539677693</v>
      </c>
      <c r="GP43" s="13">
        <f t="shared" si="71"/>
        <v>-3.424229534404466E-4</v>
      </c>
      <c r="GQ43" s="1">
        <v>930.90000000000009</v>
      </c>
      <c r="GR43" s="13">
        <f t="shared" si="72"/>
        <v>-4.6209016393442548E-2</v>
      </c>
      <c r="GS43" s="1">
        <v>272057.91895613342</v>
      </c>
      <c r="GT43" s="13">
        <f t="shared" si="115"/>
        <v>5.8354636652508951E-3</v>
      </c>
      <c r="GU43">
        <v>870</v>
      </c>
      <c r="GV43" s="13">
        <f t="shared" si="116"/>
        <v>-6.542056074766367E-2</v>
      </c>
      <c r="GW43">
        <v>266791.22297419253</v>
      </c>
      <c r="GX43" s="13">
        <f t="shared" si="73"/>
        <v>-1.9358730678190939E-2</v>
      </c>
      <c r="GY43">
        <v>685</v>
      </c>
      <c r="GZ43" s="13">
        <f t="shared" si="74"/>
        <v>-0.21264367816091956</v>
      </c>
      <c r="HA43">
        <v>271414.88423497899</v>
      </c>
      <c r="HB43" s="13">
        <v>1.7330634828394365E-2</v>
      </c>
      <c r="HC43">
        <v>591</v>
      </c>
      <c r="HD43" s="13">
        <v>-0.13722627737226278</v>
      </c>
      <c r="HE43">
        <v>273843.05444649042</v>
      </c>
      <c r="HF43" s="13">
        <v>8.9463413856449847E-3</v>
      </c>
      <c r="HG43">
        <v>589</v>
      </c>
      <c r="HH43" s="13">
        <v>-3.3840947546531774E-3</v>
      </c>
      <c r="HI43">
        <f>VLOOKUP(A43,[4]Москва_продажа_районы!$C$4:$F$151,3,0)</f>
        <v>275706.59333326138</v>
      </c>
      <c r="HJ43" s="13">
        <f t="shared" si="75"/>
        <v>6.8051347533266693E-3</v>
      </c>
      <c r="HK43">
        <f>VLOOKUP(A43,[4]Москва_продажа_районы!$C$4:$F$151,2,0)</f>
        <v>632</v>
      </c>
      <c r="HL43" s="13">
        <f t="shared" si="76"/>
        <v>7.3005093378607722E-2</v>
      </c>
      <c r="HM43" s="1">
        <f>VLOOKUP(A43,Лист3!$C$4:$F$149,3,0)</f>
        <v>274021.02858416818</v>
      </c>
      <c r="HN43" s="13">
        <f t="shared" si="77"/>
        <v>-6.1136178453874424E-3</v>
      </c>
      <c r="HO43">
        <f>VLOOKUP(A43,Лист3!$C$4:$F$149,2,0)</f>
        <v>585</v>
      </c>
      <c r="HP43" s="13">
        <f t="shared" si="78"/>
        <v>-7.4367088607594889E-2</v>
      </c>
      <c r="HQ43" s="1">
        <v>275010.83748853899</v>
      </c>
      <c r="HR43" s="13">
        <v>3.6121640353115048E-3</v>
      </c>
      <c r="HS43">
        <v>548</v>
      </c>
      <c r="HT43" s="13">
        <v>-6.3247863247863245E-2</v>
      </c>
      <c r="HU43" s="34">
        <v>275351.25086310302</v>
      </c>
      <c r="HV43" s="13">
        <v>1.2378180353644908E-3</v>
      </c>
      <c r="HW43">
        <v>429</v>
      </c>
      <c r="HX43" s="13">
        <v>-0.21715328467153283</v>
      </c>
      <c r="HY43">
        <v>283579.70116315893</v>
      </c>
      <c r="HZ43" s="13">
        <v>2.988346802225661E-2</v>
      </c>
      <c r="IA43">
        <v>326</v>
      </c>
      <c r="IB43" s="13">
        <v>-0.24009324009324007</v>
      </c>
      <c r="IC43" s="34">
        <v>287180.21470185713</v>
      </c>
      <c r="ID43" s="13">
        <v>1.2696654675669494E-2</v>
      </c>
      <c r="IE43">
        <v>267</v>
      </c>
      <c r="IF43" s="13">
        <v>-0.18098159509202449</v>
      </c>
    </row>
    <row r="44" spans="1:240" x14ac:dyDescent="0.3">
      <c r="A44" s="23" t="s">
        <v>58</v>
      </c>
      <c r="B44" s="22">
        <v>119135.72214892859</v>
      </c>
      <c r="C44">
        <v>28</v>
      </c>
      <c r="D44" s="22">
        <v>114586.95270703705</v>
      </c>
      <c r="E44">
        <v>27</v>
      </c>
      <c r="F44" s="22">
        <v>115557.52519076923</v>
      </c>
      <c r="G44">
        <v>26</v>
      </c>
      <c r="H44" s="22">
        <v>114396.83710477216</v>
      </c>
      <c r="I44">
        <v>23</v>
      </c>
      <c r="J44" s="22">
        <v>118123.97246223822</v>
      </c>
      <c r="K44">
        <v>24</v>
      </c>
      <c r="L44" s="22">
        <v>130577.50179618881</v>
      </c>
      <c r="M44">
        <v>11</v>
      </c>
      <c r="N44" s="22">
        <v>134213.74159780826</v>
      </c>
      <c r="O44" s="28">
        <v>11</v>
      </c>
      <c r="P44" s="39">
        <v>124538.94153444604</v>
      </c>
      <c r="Q44" s="28">
        <v>16</v>
      </c>
      <c r="R44" s="39">
        <v>131395.05024320472</v>
      </c>
      <c r="S44">
        <v>19</v>
      </c>
      <c r="T44" s="46">
        <v>132615.78439148338</v>
      </c>
      <c r="U44" s="47">
        <v>12</v>
      </c>
      <c r="V44" s="56">
        <v>144945.6975772765</v>
      </c>
      <c r="W44" s="47">
        <v>2</v>
      </c>
      <c r="X44" s="56">
        <v>144375.69124817831</v>
      </c>
      <c r="Y44" s="47">
        <v>46</v>
      </c>
      <c r="Z44" s="34">
        <v>141748.46866497578</v>
      </c>
      <c r="AA44" s="81">
        <v>51</v>
      </c>
      <c r="AB44" s="1">
        <v>151635.40066372461</v>
      </c>
      <c r="AC44">
        <v>53</v>
      </c>
      <c r="AD44" s="1">
        <v>153023.9311990375</v>
      </c>
      <c r="AE44">
        <v>54</v>
      </c>
      <c r="AF44" s="13">
        <f t="shared" si="19"/>
        <v>5.9900942299164983E-2</v>
      </c>
      <c r="AG44" s="85">
        <f t="shared" si="117"/>
        <v>5.6782334384858045E-2</v>
      </c>
      <c r="AH44" s="35">
        <f t="shared" si="118"/>
        <v>5.6214511041009461</v>
      </c>
      <c r="AI44" s="87">
        <f t="shared" si="119"/>
        <v>59.621451104100949</v>
      </c>
      <c r="AL44" s="1">
        <v>157922.85912569359</v>
      </c>
      <c r="AM44">
        <v>46</v>
      </c>
      <c r="AN44" s="13">
        <f t="shared" si="120"/>
        <v>4.7668393782383418E-2</v>
      </c>
      <c r="AQ44" s="35">
        <f t="shared" si="121"/>
        <v>1.5730569948186528</v>
      </c>
      <c r="AR44" s="87">
        <f t="shared" si="122"/>
        <v>47.57305699481865</v>
      </c>
      <c r="AS44">
        <v>54</v>
      </c>
      <c r="AT44" s="1">
        <v>164456.90078372721</v>
      </c>
      <c r="AU44" s="13">
        <f t="shared" si="126"/>
        <v>4.1374894642915772E-2</v>
      </c>
      <c r="AV44" s="35">
        <v>66</v>
      </c>
      <c r="AW44" s="1">
        <v>173860.9348562604</v>
      </c>
      <c r="AX44" s="61"/>
      <c r="AY44" s="121">
        <v>170750.68976159621</v>
      </c>
      <c r="AZ44" s="122">
        <v>65</v>
      </c>
      <c r="BA44" s="119">
        <v>165699.44997956959</v>
      </c>
      <c r="BB44">
        <v>81</v>
      </c>
      <c r="BC44" s="125">
        <f t="shared" si="127"/>
        <v>-2.9582543936303884E-2</v>
      </c>
      <c r="BD44">
        <v>108</v>
      </c>
      <c r="BE44" s="1">
        <v>171575.0507469858</v>
      </c>
      <c r="BF44" s="13">
        <f t="shared" si="128"/>
        <v>3.5459386063989129E-2</v>
      </c>
      <c r="BG44">
        <v>105</v>
      </c>
      <c r="BH44" s="1">
        <v>170932.40927902091</v>
      </c>
      <c r="BI44" s="13">
        <f t="shared" si="123"/>
        <v>-3.7455414710182433E-3</v>
      </c>
      <c r="BJ44">
        <v>104</v>
      </c>
      <c r="BK44" s="1">
        <v>175282.77011662311</v>
      </c>
      <c r="BL44" s="13">
        <f t="shared" si="103"/>
        <v>2.5450766510292988E-2</v>
      </c>
      <c r="BM44" s="1">
        <v>179865.29308593369</v>
      </c>
      <c r="BN44" s="109">
        <f t="shared" si="104"/>
        <v>2.6143601942516304E-2</v>
      </c>
      <c r="BO44">
        <v>96</v>
      </c>
      <c r="BP44" s="13">
        <f t="shared" si="105"/>
        <v>-7.6923076923076872E-2</v>
      </c>
      <c r="BQ44" s="1">
        <v>182276.66038273359</v>
      </c>
      <c r="BR44" s="13">
        <f t="shared" si="124"/>
        <v>1.3406518041520377E-2</v>
      </c>
      <c r="BS44">
        <v>153</v>
      </c>
      <c r="BT44" s="13">
        <f t="shared" si="125"/>
        <v>0.59375</v>
      </c>
      <c r="BU44" s="1">
        <v>187633.43454426271</v>
      </c>
      <c r="BV44" s="13">
        <f t="shared" si="129"/>
        <v>2.9388151781370553E-2</v>
      </c>
      <c r="BW44">
        <v>92</v>
      </c>
      <c r="BX44" s="13">
        <f t="shared" si="106"/>
        <v>-0.39869281045751637</v>
      </c>
      <c r="BY44" s="1">
        <v>186934.5918908265</v>
      </c>
      <c r="BZ44" s="13">
        <f t="shared" si="107"/>
        <v>-3.7245102672325281E-3</v>
      </c>
      <c r="CA44">
        <v>47</v>
      </c>
      <c r="CB44" s="13">
        <f t="shared" si="108"/>
        <v>-0.48913043478260865</v>
      </c>
      <c r="CC44" s="1">
        <v>188294.90239888601</v>
      </c>
      <c r="CD44" s="13">
        <f t="shared" si="109"/>
        <v>7.2769330400548338E-3</v>
      </c>
      <c r="CE44">
        <v>55</v>
      </c>
      <c r="CF44" s="13">
        <f t="shared" si="110"/>
        <v>0.17021276595744683</v>
      </c>
      <c r="CG44" s="1">
        <v>187456.93874107159</v>
      </c>
      <c r="CH44" s="13">
        <f t="shared" si="111"/>
        <v>-4.4502726687697391E-3</v>
      </c>
      <c r="CI44">
        <v>59</v>
      </c>
      <c r="CJ44" s="13">
        <f t="shared" si="112"/>
        <v>7.2727272727272751E-2</v>
      </c>
      <c r="CK44" s="1">
        <v>188812.87888735451</v>
      </c>
      <c r="CL44" s="13">
        <f t="shared" si="113"/>
        <v>7.2333419898413798E-3</v>
      </c>
      <c r="CM44">
        <v>66</v>
      </c>
      <c r="CN44" s="13">
        <f t="shared" si="114"/>
        <v>0.11864406779661008</v>
      </c>
      <c r="CO44" s="1">
        <v>186168.5383439323</v>
      </c>
      <c r="CP44" s="13">
        <v>-1.4005085664732686E-2</v>
      </c>
      <c r="CQ44">
        <v>58</v>
      </c>
      <c r="CR44" s="13">
        <v>-0.12121212121212122</v>
      </c>
      <c r="CS44" s="1">
        <v>186755.19022739079</v>
      </c>
      <c r="CT44" s="13">
        <f t="shared" si="24"/>
        <v>3.1511870301881295E-3</v>
      </c>
      <c r="CU44">
        <v>64</v>
      </c>
      <c r="CV44" s="13">
        <f t="shared" si="25"/>
        <v>0.10344827586206895</v>
      </c>
      <c r="CW44" s="1">
        <v>177789.86630337659</v>
      </c>
      <c r="CX44" s="13">
        <f t="shared" si="26"/>
        <v>-4.8005755090919422E-2</v>
      </c>
      <c r="CY44">
        <v>52</v>
      </c>
      <c r="CZ44" s="13">
        <f t="shared" si="27"/>
        <v>-0.1875</v>
      </c>
      <c r="DA44" s="1">
        <v>166145.11292293071</v>
      </c>
      <c r="DB44" s="13">
        <f t="shared" si="28"/>
        <v>-6.5497284083534502E-2</v>
      </c>
      <c r="DC44">
        <v>54</v>
      </c>
      <c r="DD44" s="13">
        <f t="shared" si="29"/>
        <v>3.8461538461538547E-2</v>
      </c>
      <c r="DE44" s="1">
        <v>169396.6187602813</v>
      </c>
      <c r="DF44" s="13">
        <f t="shared" si="30"/>
        <v>1.9570276730672465E-2</v>
      </c>
      <c r="DG44" s="1">
        <v>59</v>
      </c>
      <c r="DH44" s="13">
        <f t="shared" si="31"/>
        <v>9.259259259259256E-2</v>
      </c>
      <c r="DI44" s="1">
        <v>181706.31032120899</v>
      </c>
      <c r="DJ44" s="13">
        <f t="shared" si="32"/>
        <v>7.2667870533753343E-2</v>
      </c>
      <c r="DK44" s="1">
        <v>85</v>
      </c>
      <c r="DL44" s="13">
        <f t="shared" si="33"/>
        <v>0.44067796610169485</v>
      </c>
      <c r="DM44" s="1">
        <v>184120.6004712788</v>
      </c>
      <c r="DN44" s="13">
        <f t="shared" si="34"/>
        <v>1.3286771085726068E-2</v>
      </c>
      <c r="DO44" s="1">
        <v>97</v>
      </c>
      <c r="DP44" s="13">
        <f t="shared" si="35"/>
        <v>0.14117647058823524</v>
      </c>
      <c r="DQ44" s="1">
        <v>188296.85047075441</v>
      </c>
      <c r="DR44" s="13">
        <f t="shared" si="36"/>
        <v>2.2682144142404548E-2</v>
      </c>
      <c r="DS44">
        <v>121</v>
      </c>
      <c r="DT44" s="13">
        <f t="shared" si="37"/>
        <v>0.24742268041237114</v>
      </c>
      <c r="DU44" s="1">
        <v>187603.36505267789</v>
      </c>
      <c r="DV44" s="13">
        <f t="shared" si="38"/>
        <v>-3.6829368964098608E-3</v>
      </c>
      <c r="DW44">
        <v>131</v>
      </c>
      <c r="DX44" s="13">
        <f t="shared" si="39"/>
        <v>8.2644628099173501E-2</v>
      </c>
      <c r="DY44" s="1">
        <v>188601.2519198166</v>
      </c>
      <c r="DZ44" s="13">
        <f t="shared" si="40"/>
        <v>5.319130959396734E-3</v>
      </c>
      <c r="EA44" s="1">
        <v>141</v>
      </c>
      <c r="EB44" s="13">
        <f t="shared" si="41"/>
        <v>7.6335877862595325E-2</v>
      </c>
      <c r="EC44" s="1">
        <v>190326.80632094981</v>
      </c>
      <c r="ED44" s="13">
        <f t="shared" si="42"/>
        <v>9.1492202918506127E-3</v>
      </c>
      <c r="EE44" s="1">
        <f>IFERROR(VLOOKUP($A44,[1]Москва_продажа_районы!$C$2:$F$148,2,0),"")</f>
        <v>161</v>
      </c>
      <c r="EF44" s="13">
        <v>0.14184397163120566</v>
      </c>
      <c r="EG44" s="1">
        <v>190251.03955960399</v>
      </c>
      <c r="EH44" s="13">
        <f t="shared" si="43"/>
        <v>-3.9808770404126115E-4</v>
      </c>
      <c r="EI44" s="1">
        <f>IFERROR(VLOOKUP($A44,[2]Москва_продажа_районы!$C$2:$F$150,2,0),"")</f>
        <v>120</v>
      </c>
      <c r="EJ44" s="13">
        <v>-0.25465838509316774</v>
      </c>
      <c r="EK44" s="1">
        <v>191829.85295996</v>
      </c>
      <c r="EL44" s="13">
        <f t="shared" si="44"/>
        <v>8.2985796241148435E-3</v>
      </c>
      <c r="EM44">
        <v>101</v>
      </c>
      <c r="EN44" s="13">
        <f t="shared" si="45"/>
        <v>-0.15833333333333333</v>
      </c>
      <c r="EO44" s="1">
        <v>192500.06373691931</v>
      </c>
      <c r="EP44" s="13">
        <f t="shared" si="46"/>
        <v>3.4937772542587009E-3</v>
      </c>
      <c r="EQ44">
        <v>100</v>
      </c>
      <c r="ER44" s="13">
        <f t="shared" si="47"/>
        <v>-9.9009900990099098E-3</v>
      </c>
      <c r="ES44" s="183">
        <v>198626.4339764594</v>
      </c>
      <c r="ET44" s="13">
        <f t="shared" si="48"/>
        <v>3.1825289408281554E-2</v>
      </c>
      <c r="EU44">
        <v>94</v>
      </c>
      <c r="EV44" s="13">
        <f t="shared" si="49"/>
        <v>-6.0000000000000053E-2</v>
      </c>
      <c r="EW44" s="183">
        <v>209166.3256778378</v>
      </c>
      <c r="EX44" s="13">
        <f t="shared" si="50"/>
        <v>5.3063892304624272E-2</v>
      </c>
      <c r="EY44">
        <v>85</v>
      </c>
      <c r="EZ44" s="13">
        <f t="shared" si="51"/>
        <v>-9.5744680851063801E-2</v>
      </c>
      <c r="FA44" s="1">
        <v>210558.12120554561</v>
      </c>
      <c r="FB44" s="13">
        <f t="shared" si="52"/>
        <v>6.6540133704480198E-3</v>
      </c>
      <c r="FC44" s="1">
        <v>79</v>
      </c>
      <c r="FD44" s="13">
        <f t="shared" si="53"/>
        <v>-7.0588235294117618E-2</v>
      </c>
      <c r="FE44" s="1">
        <v>216184.0341260175</v>
      </c>
      <c r="FF44" s="13">
        <f t="shared" si="54"/>
        <v>2.6719049772389925E-2</v>
      </c>
      <c r="FG44" s="1">
        <v>89</v>
      </c>
      <c r="FH44" s="13">
        <f t="shared" si="55"/>
        <v>0.12658227848101267</v>
      </c>
      <c r="FI44" s="1">
        <v>218842.0144929103</v>
      </c>
      <c r="FJ44" s="13">
        <f t="shared" si="56"/>
        <v>1.2294989209718388E-2</v>
      </c>
      <c r="FK44" s="1">
        <v>98</v>
      </c>
      <c r="FL44" s="13">
        <f t="shared" si="57"/>
        <v>0.101123595505618</v>
      </c>
      <c r="FM44" s="1">
        <v>211012.30348257959</v>
      </c>
      <c r="FN44" s="13">
        <f t="shared" si="58"/>
        <v>-3.5777915079393319E-2</v>
      </c>
      <c r="FO44" s="1">
        <v>81</v>
      </c>
      <c r="FP44" s="13">
        <f t="shared" si="59"/>
        <v>-0.17346938775510201</v>
      </c>
      <c r="FQ44" s="1">
        <v>206203.8593087944</v>
      </c>
      <c r="FR44" s="13">
        <f t="shared" si="60"/>
        <v>-2.2787506199524299E-2</v>
      </c>
      <c r="FS44">
        <v>67</v>
      </c>
      <c r="FT44" s="13">
        <f t="shared" si="61"/>
        <v>-0.1728395061728395</v>
      </c>
      <c r="FU44" s="1">
        <v>205921.3529001725</v>
      </c>
      <c r="FV44" s="13">
        <f t="shared" si="62"/>
        <v>-1.3700345355750487E-3</v>
      </c>
      <c r="FW44" s="1">
        <v>63</v>
      </c>
      <c r="FX44" s="13">
        <f t="shared" si="63"/>
        <v>-5.9701492537313383E-2</v>
      </c>
      <c r="FY44" s="1">
        <v>202412.1971486391</v>
      </c>
      <c r="FZ44" s="13">
        <f t="shared" si="64"/>
        <v>-1.7041242698296433E-2</v>
      </c>
      <c r="GA44" s="1">
        <v>64</v>
      </c>
      <c r="GB44" s="13">
        <f t="shared" si="65"/>
        <v>1.5873015873015817E-2</v>
      </c>
      <c r="GC44" s="1">
        <v>197060.54026091809</v>
      </c>
      <c r="GD44" s="13">
        <f t="shared" si="66"/>
        <v>-2.6439399221535487E-2</v>
      </c>
      <c r="GE44" s="1">
        <v>174</v>
      </c>
      <c r="GF44" s="13">
        <f t="shared" si="67"/>
        <v>1.71875</v>
      </c>
      <c r="GG44" s="1">
        <f>IFERROR(VLOOKUP(A44,[3]Москва_продажа_районы!$C$2:$F$149,3,0),"")</f>
        <v>201294.79730264549</v>
      </c>
      <c r="GH44" s="13">
        <v>2.1487087349506995E-2</v>
      </c>
      <c r="GI44" s="1">
        <v>283</v>
      </c>
      <c r="GJ44" s="13">
        <f t="shared" si="68"/>
        <v>0.62643678160919536</v>
      </c>
      <c r="GK44" s="1">
        <v>202076.18088337261</v>
      </c>
      <c r="GL44" s="13">
        <f t="shared" si="69"/>
        <v>3.8817872652332497E-3</v>
      </c>
      <c r="GM44" s="1">
        <v>305</v>
      </c>
      <c r="GN44" s="13">
        <f t="shared" si="70"/>
        <v>7.7738515901060179E-2</v>
      </c>
      <c r="GO44" s="1">
        <v>198803.80983743441</v>
      </c>
      <c r="GP44" s="13">
        <f t="shared" si="71"/>
        <v>-1.6193749464350926E-2</v>
      </c>
      <c r="GQ44" s="1">
        <v>330.63000000000005</v>
      </c>
      <c r="GR44" s="13">
        <f t="shared" si="72"/>
        <v>8.403278688524618E-2</v>
      </c>
      <c r="GS44" s="1">
        <v>197230.76645393821</v>
      </c>
      <c r="GT44" s="13">
        <f t="shared" si="115"/>
        <v>-7.9125414386299608E-3</v>
      </c>
      <c r="GU44">
        <v>307</v>
      </c>
      <c r="GV44" s="13">
        <f t="shared" si="116"/>
        <v>-7.1469618606902152E-2</v>
      </c>
      <c r="GW44">
        <v>194751.259273631</v>
      </c>
      <c r="GX44" s="13">
        <f t="shared" si="73"/>
        <v>-1.2571604445325124E-2</v>
      </c>
      <c r="GY44">
        <v>263</v>
      </c>
      <c r="GZ44" s="13">
        <f t="shared" si="74"/>
        <v>-0.14332247557003253</v>
      </c>
      <c r="HA44">
        <v>190599.73739882911</v>
      </c>
      <c r="HB44" s="13">
        <v>-2.1317047654972443E-2</v>
      </c>
      <c r="HC44">
        <v>200</v>
      </c>
      <c r="HD44" s="13">
        <v>-0.23954372623574149</v>
      </c>
      <c r="HE44">
        <v>186584.84746229029</v>
      </c>
      <c r="HF44" s="13">
        <v>-2.1064509276514265E-2</v>
      </c>
      <c r="HG44">
        <v>191</v>
      </c>
      <c r="HH44" s="13">
        <v>-4.500000000000004E-2</v>
      </c>
      <c r="HI44">
        <f>VLOOKUP(A44,[4]Москва_продажа_районы!$C$4:$F$151,3,0)</f>
        <v>187866.55314706801</v>
      </c>
      <c r="HJ44" s="13">
        <f t="shared" si="75"/>
        <v>6.8692913824996982E-3</v>
      </c>
      <c r="HK44">
        <f>VLOOKUP(A44,[4]Москва_продажа_районы!$C$4:$F$151,2,0)</f>
        <v>205</v>
      </c>
      <c r="HL44" s="13">
        <f t="shared" si="76"/>
        <v>7.3298429319371694E-2</v>
      </c>
      <c r="HM44" s="1">
        <f>VLOOKUP(A44,Лист3!$C$4:$F$149,3,0)</f>
        <v>185124.99251268589</v>
      </c>
      <c r="HN44" s="13">
        <f t="shared" si="77"/>
        <v>-1.4593127879638845E-2</v>
      </c>
      <c r="HO44">
        <f>VLOOKUP(A44,Лист3!$C$4:$F$149,2,0)</f>
        <v>175</v>
      </c>
      <c r="HP44" s="13">
        <f t="shared" si="78"/>
        <v>-0.14634146341463417</v>
      </c>
      <c r="HQ44" s="1">
        <v>178825.10100327971</v>
      </c>
      <c r="HR44" s="13">
        <v>-3.4030475431211515E-2</v>
      </c>
      <c r="HS44">
        <v>182</v>
      </c>
      <c r="HT44" s="13">
        <v>4.0000000000000036E-2</v>
      </c>
      <c r="HU44" s="34">
        <v>179126.77543661671</v>
      </c>
      <c r="HV44" s="13">
        <v>1.6869803603882794E-3</v>
      </c>
      <c r="HW44">
        <v>171</v>
      </c>
      <c r="HX44" s="13">
        <v>-6.0439560439560447E-2</v>
      </c>
      <c r="HY44">
        <v>188681.7094652034</v>
      </c>
      <c r="HZ44" s="13">
        <v>5.3341740816228E-2</v>
      </c>
      <c r="IA44">
        <v>123</v>
      </c>
      <c r="IB44" s="13">
        <v>-0.2807017543859649</v>
      </c>
      <c r="IC44" s="34">
        <v>189725.56592729231</v>
      </c>
      <c r="ID44" s="13">
        <v>5.5323669954421284E-3</v>
      </c>
      <c r="IE44">
        <v>87</v>
      </c>
      <c r="IF44" s="13">
        <v>-0.29268292682926833</v>
      </c>
    </row>
    <row r="45" spans="1:240" ht="15" thickBot="1" x14ac:dyDescent="0.35">
      <c r="A45" s="29" t="s">
        <v>59</v>
      </c>
      <c r="B45" s="30">
        <v>133769.60368562498</v>
      </c>
      <c r="C45" s="31">
        <v>112</v>
      </c>
      <c r="D45" s="30">
        <v>131408.36939487176</v>
      </c>
      <c r="E45" s="31">
        <v>117</v>
      </c>
      <c r="F45" s="30">
        <v>135972.14619987647</v>
      </c>
      <c r="G45" s="31">
        <v>81</v>
      </c>
      <c r="H45" s="30">
        <v>133484.16351160733</v>
      </c>
      <c r="I45" s="31">
        <v>95</v>
      </c>
      <c r="J45" s="30">
        <v>134653.81647275333</v>
      </c>
      <c r="K45" s="31">
        <v>108</v>
      </c>
      <c r="L45" s="30">
        <v>137031.93455112586</v>
      </c>
      <c r="M45" s="31">
        <v>86</v>
      </c>
      <c r="N45" s="30">
        <v>137811.69571194478</v>
      </c>
      <c r="O45" s="32">
        <v>89</v>
      </c>
      <c r="P45" s="37">
        <v>141470.40909854692</v>
      </c>
      <c r="Q45" s="32">
        <v>97</v>
      </c>
      <c r="R45" s="37">
        <v>143170.93783983204</v>
      </c>
      <c r="S45" s="31">
        <v>93</v>
      </c>
      <c r="T45" s="48">
        <v>152661.62232356804</v>
      </c>
      <c r="U45" s="49">
        <v>100</v>
      </c>
      <c r="V45" s="57">
        <v>184259.10149594361</v>
      </c>
      <c r="W45" s="49">
        <v>5</v>
      </c>
      <c r="X45" s="57">
        <v>150047.16324196721</v>
      </c>
      <c r="Y45" s="49">
        <v>109</v>
      </c>
      <c r="Z45" s="34">
        <v>153354.90131085235</v>
      </c>
      <c r="AA45" s="81">
        <v>129</v>
      </c>
      <c r="AB45" s="1">
        <v>156509.38997744609</v>
      </c>
      <c r="AC45">
        <v>139</v>
      </c>
      <c r="AD45" s="1">
        <v>163192.66951273501</v>
      </c>
      <c r="AE45">
        <v>139</v>
      </c>
      <c r="AF45" s="13">
        <f t="shared" si="19"/>
        <v>8.7609162257664686E-2</v>
      </c>
      <c r="AG45" s="85">
        <f t="shared" si="117"/>
        <v>0.14616193480546794</v>
      </c>
      <c r="AH45" s="35">
        <f t="shared" si="118"/>
        <v>14.470031545741326</v>
      </c>
      <c r="AI45" s="88">
        <f t="shared" si="119"/>
        <v>153.47003154574134</v>
      </c>
      <c r="AL45" s="1">
        <v>168448.4383611817</v>
      </c>
      <c r="AM45">
        <v>159</v>
      </c>
      <c r="AN45" s="13">
        <f t="shared" si="120"/>
        <v>0.16476683937823836</v>
      </c>
      <c r="AQ45" s="35">
        <f t="shared" si="121"/>
        <v>5.4373056994818656</v>
      </c>
      <c r="AR45" s="88">
        <f>AQ45+AM45</f>
        <v>164.43730569948187</v>
      </c>
      <c r="AS45">
        <v>171</v>
      </c>
      <c r="AT45" s="1">
        <v>167714.78689716</v>
      </c>
      <c r="AU45" s="13">
        <f t="shared" si="126"/>
        <v>-4.3553473760833405E-3</v>
      </c>
      <c r="AV45" s="35">
        <v>186</v>
      </c>
      <c r="AW45" s="1">
        <v>180180.597818318</v>
      </c>
      <c r="AX45" s="61"/>
      <c r="AY45" s="123">
        <v>180194.82291460561</v>
      </c>
      <c r="AZ45" s="124">
        <v>165</v>
      </c>
      <c r="BA45" s="119">
        <v>180509.0393726317</v>
      </c>
      <c r="BB45">
        <v>186</v>
      </c>
      <c r="BC45" s="125">
        <f t="shared" si="127"/>
        <v>1.7437596316238757E-3</v>
      </c>
      <c r="BD45">
        <v>182</v>
      </c>
      <c r="BE45" s="1">
        <v>181853.5164965388</v>
      </c>
      <c r="BF45" s="13">
        <f t="shared" si="128"/>
        <v>7.4482537194806575E-3</v>
      </c>
      <c r="BG45">
        <v>177</v>
      </c>
      <c r="BH45" s="1">
        <v>179452.81858166569</v>
      </c>
      <c r="BI45" s="13">
        <f t="shared" si="123"/>
        <v>-1.3201272986760215E-2</v>
      </c>
      <c r="BJ45">
        <v>177</v>
      </c>
      <c r="BK45" s="1">
        <v>190977.07988711461</v>
      </c>
      <c r="BL45" s="13">
        <f t="shared" si="103"/>
        <v>6.4218892723629351E-2</v>
      </c>
      <c r="BM45" s="1">
        <v>193250.27841467451</v>
      </c>
      <c r="BN45" s="109">
        <f t="shared" si="104"/>
        <v>1.1902991337513269E-2</v>
      </c>
      <c r="BO45">
        <v>164</v>
      </c>
      <c r="BP45" s="13">
        <f t="shared" si="105"/>
        <v>-7.3446327683615809E-2</v>
      </c>
      <c r="BQ45" s="1">
        <v>198915.69681412861</v>
      </c>
      <c r="BR45" s="13">
        <f t="shared" si="124"/>
        <v>2.9316482469936123E-2</v>
      </c>
      <c r="BS45">
        <v>186</v>
      </c>
      <c r="BT45" s="13">
        <f t="shared" si="125"/>
        <v>0.13414634146341453</v>
      </c>
      <c r="BU45" s="1">
        <v>200140.2461233236</v>
      </c>
      <c r="BV45" s="13">
        <f t="shared" si="129"/>
        <v>6.1561220597852184E-3</v>
      </c>
      <c r="BW45">
        <v>165</v>
      </c>
      <c r="BX45" s="13">
        <f t="shared" si="106"/>
        <v>-0.11290322580645162</v>
      </c>
      <c r="BY45" s="1">
        <v>200111.06236618021</v>
      </c>
      <c r="BZ45" s="13">
        <f t="shared" si="107"/>
        <v>-1.4581653469836198E-4</v>
      </c>
      <c r="CA45">
        <v>152</v>
      </c>
      <c r="CB45" s="13">
        <f t="shared" si="108"/>
        <v>-7.878787878787874E-2</v>
      </c>
      <c r="CC45" s="1">
        <v>201616.18353350589</v>
      </c>
      <c r="CD45" s="13">
        <f t="shared" si="109"/>
        <v>7.521429098064969E-3</v>
      </c>
      <c r="CE45">
        <v>150</v>
      </c>
      <c r="CF45" s="13">
        <f t="shared" si="110"/>
        <v>-1.3157894736842146E-2</v>
      </c>
      <c r="CG45" s="1">
        <v>198805.4487165364</v>
      </c>
      <c r="CH45" s="13">
        <f t="shared" si="111"/>
        <v>-1.3941017867260541E-2</v>
      </c>
      <c r="CI45">
        <v>177</v>
      </c>
      <c r="CJ45" s="13">
        <f t="shared" si="112"/>
        <v>0.17999999999999994</v>
      </c>
      <c r="CK45" s="1">
        <v>197213.6184015355</v>
      </c>
      <c r="CL45" s="13">
        <f t="shared" si="113"/>
        <v>-8.0069752880393974E-3</v>
      </c>
      <c r="CM45">
        <v>212</v>
      </c>
      <c r="CN45" s="13">
        <f t="shared" si="114"/>
        <v>0.19774011299435035</v>
      </c>
      <c r="CO45" s="1">
        <v>194657.06771695011</v>
      </c>
      <c r="CP45" s="13">
        <v>-1.296335773009416E-2</v>
      </c>
      <c r="CQ45">
        <v>246</v>
      </c>
      <c r="CR45" s="13">
        <v>0.16037735849056611</v>
      </c>
      <c r="CS45" s="1">
        <v>195384.14035282051</v>
      </c>
      <c r="CT45" s="13">
        <f t="shared" si="24"/>
        <v>3.7351463494128545E-3</v>
      </c>
      <c r="CU45">
        <v>251</v>
      </c>
      <c r="CV45" s="13">
        <f t="shared" si="25"/>
        <v>2.0325203252032464E-2</v>
      </c>
      <c r="CW45" s="1">
        <v>193690.47266178369</v>
      </c>
      <c r="CX45" s="13">
        <f t="shared" si="26"/>
        <v>-8.6683990214274642E-3</v>
      </c>
      <c r="CY45">
        <v>220</v>
      </c>
      <c r="CZ45" s="13">
        <f t="shared" si="27"/>
        <v>-0.12350597609561753</v>
      </c>
      <c r="DA45" s="1">
        <v>191818.95602617849</v>
      </c>
      <c r="DB45" s="13">
        <f t="shared" si="28"/>
        <v>-9.6624093580131021E-3</v>
      </c>
      <c r="DC45">
        <v>204</v>
      </c>
      <c r="DD45" s="13">
        <f t="shared" si="29"/>
        <v>-7.2727272727272751E-2</v>
      </c>
      <c r="DE45" s="1">
        <v>189220.34842596331</v>
      </c>
      <c r="DF45" s="13">
        <f t="shared" si="30"/>
        <v>-1.3547188734884696E-2</v>
      </c>
      <c r="DG45" s="1">
        <v>194</v>
      </c>
      <c r="DH45" s="13">
        <f t="shared" si="31"/>
        <v>-4.9019607843137303E-2</v>
      </c>
      <c r="DI45" s="1">
        <v>187246.90707353459</v>
      </c>
      <c r="DJ45" s="13">
        <f t="shared" si="32"/>
        <v>-1.04293294502672E-2</v>
      </c>
      <c r="DK45" s="1">
        <v>192</v>
      </c>
      <c r="DL45" s="13">
        <f t="shared" si="33"/>
        <v>-1.0309278350515427E-2</v>
      </c>
      <c r="DM45" s="1">
        <v>187375.59043209709</v>
      </c>
      <c r="DN45" s="13">
        <f t="shared" si="34"/>
        <v>6.8723890062427628E-4</v>
      </c>
      <c r="DO45" s="1">
        <v>203</v>
      </c>
      <c r="DP45" s="13">
        <f t="shared" si="35"/>
        <v>5.7291666666666741E-2</v>
      </c>
      <c r="DQ45" s="1">
        <v>186768.57610977179</v>
      </c>
      <c r="DR45" s="13">
        <f t="shared" si="36"/>
        <v>-3.2395592239389259E-3</v>
      </c>
      <c r="DS45">
        <v>227</v>
      </c>
      <c r="DT45" s="13">
        <f t="shared" si="37"/>
        <v>0.11822660098522175</v>
      </c>
      <c r="DU45" s="1">
        <v>186999.6919340562</v>
      </c>
      <c r="DV45" s="13">
        <f t="shared" si="38"/>
        <v>1.2374449122991571E-3</v>
      </c>
      <c r="DW45">
        <v>216</v>
      </c>
      <c r="DX45" s="13">
        <f t="shared" si="39"/>
        <v>-4.8458149779735726E-2</v>
      </c>
      <c r="DY45" s="1">
        <v>187970.961565215</v>
      </c>
      <c r="DZ45" s="13">
        <f t="shared" si="40"/>
        <v>5.1939638034339541E-3</v>
      </c>
      <c r="EA45" s="1">
        <v>224</v>
      </c>
      <c r="EB45" s="13">
        <f t="shared" si="41"/>
        <v>3.7037037037036979E-2</v>
      </c>
      <c r="EC45" s="1">
        <v>190847.98793938381</v>
      </c>
      <c r="ED45" s="13">
        <f t="shared" si="42"/>
        <v>1.5305695891600024E-2</v>
      </c>
      <c r="EE45" s="1">
        <f>IFERROR(VLOOKUP($A45,[1]Москва_продажа_районы!$C$2:$F$148,2,0),"")</f>
        <v>237</v>
      </c>
      <c r="EF45" s="13">
        <v>5.8035714285714191E-2</v>
      </c>
      <c r="EG45" s="1">
        <v>194300.07415022419</v>
      </c>
      <c r="EH45" s="13">
        <f t="shared" si="43"/>
        <v>1.8088145691830926E-2</v>
      </c>
      <c r="EI45" s="1">
        <f>IFERROR(VLOOKUP($A45,[2]Москва_продажа_районы!$C$2:$F$150,2,0),"")</f>
        <v>215</v>
      </c>
      <c r="EJ45" s="13">
        <v>-9.2827004219409259E-2</v>
      </c>
      <c r="EK45" s="1">
        <v>192741.57647055181</v>
      </c>
      <c r="EL45" s="13">
        <f t="shared" si="44"/>
        <v>-8.0210863865518567E-3</v>
      </c>
      <c r="EM45">
        <v>186</v>
      </c>
      <c r="EN45" s="13">
        <f t="shared" si="45"/>
        <v>-0.1348837209302326</v>
      </c>
      <c r="EO45" s="1">
        <v>193867.26598948959</v>
      </c>
      <c r="EP45" s="13">
        <f t="shared" si="46"/>
        <v>5.8404083828262898E-3</v>
      </c>
      <c r="EQ45">
        <v>166</v>
      </c>
      <c r="ER45" s="13">
        <f t="shared" si="47"/>
        <v>-0.10752688172043012</v>
      </c>
      <c r="ES45" s="183">
        <v>192376.32106434659</v>
      </c>
      <c r="ET45" s="13">
        <f t="shared" si="48"/>
        <v>-7.6905449588577923E-3</v>
      </c>
      <c r="EU45">
        <v>158</v>
      </c>
      <c r="EV45" s="13">
        <f t="shared" si="49"/>
        <v>-4.8192771084337394E-2</v>
      </c>
      <c r="EW45" s="183">
        <v>196853.11555631729</v>
      </c>
      <c r="EX45" s="13">
        <f t="shared" si="50"/>
        <v>2.3271026637801784E-2</v>
      </c>
      <c r="EY45">
        <v>163</v>
      </c>
      <c r="EZ45" s="13">
        <f t="shared" si="51"/>
        <v>3.1645569620253111E-2</v>
      </c>
      <c r="FA45" s="1">
        <v>197710.96233806401</v>
      </c>
      <c r="FB45" s="13">
        <f t="shared" si="52"/>
        <v>4.3578013958396333E-3</v>
      </c>
      <c r="FC45" s="1">
        <v>157</v>
      </c>
      <c r="FD45" s="13">
        <f t="shared" si="53"/>
        <v>-3.6809815950920255E-2</v>
      </c>
      <c r="FE45" s="1">
        <v>197552.95230799311</v>
      </c>
      <c r="FF45" s="13">
        <f t="shared" si="54"/>
        <v>-7.9919711179554653E-4</v>
      </c>
      <c r="FG45" s="1">
        <v>139</v>
      </c>
      <c r="FH45" s="13">
        <f t="shared" si="55"/>
        <v>-0.11464968152866239</v>
      </c>
      <c r="FI45" s="1">
        <v>198711.18645065909</v>
      </c>
      <c r="FJ45" s="13">
        <f t="shared" si="56"/>
        <v>5.8629047510272425E-3</v>
      </c>
      <c r="FK45" s="1">
        <v>160</v>
      </c>
      <c r="FL45" s="13">
        <f t="shared" si="57"/>
        <v>0.15107913669064743</v>
      </c>
      <c r="FM45" s="1">
        <v>199353.1438496513</v>
      </c>
      <c r="FN45" s="13">
        <f t="shared" si="58"/>
        <v>3.2306052339514668E-3</v>
      </c>
      <c r="FO45" s="1">
        <v>157</v>
      </c>
      <c r="FP45" s="13">
        <f t="shared" si="59"/>
        <v>-1.8750000000000044E-2</v>
      </c>
      <c r="FQ45" s="1">
        <v>198337.42013536819</v>
      </c>
      <c r="FR45" s="13">
        <f t="shared" si="60"/>
        <v>-5.0950975473411653E-3</v>
      </c>
      <c r="FS45">
        <v>169</v>
      </c>
      <c r="FT45" s="13">
        <f t="shared" si="61"/>
        <v>7.6433121019108263E-2</v>
      </c>
      <c r="FU45" s="1">
        <v>197326.97241107569</v>
      </c>
      <c r="FV45" s="13">
        <f t="shared" si="62"/>
        <v>-5.0945894304909034E-3</v>
      </c>
      <c r="FW45" s="1">
        <v>157</v>
      </c>
      <c r="FX45" s="13">
        <f t="shared" si="63"/>
        <v>-7.1005917159763343E-2</v>
      </c>
      <c r="FY45" s="1">
        <v>199195.04312507089</v>
      </c>
      <c r="FZ45" s="13">
        <f t="shared" si="64"/>
        <v>9.466879723384114E-3</v>
      </c>
      <c r="GA45" s="1">
        <v>163</v>
      </c>
      <c r="GB45" s="13">
        <f t="shared" si="65"/>
        <v>3.8216560509554132E-2</v>
      </c>
      <c r="GC45" s="1">
        <v>202134.98768393719</v>
      </c>
      <c r="GD45" s="13">
        <f t="shared" si="66"/>
        <v>1.4759125090378689E-2</v>
      </c>
      <c r="GE45" s="1">
        <v>159</v>
      </c>
      <c r="GF45" s="13">
        <f t="shared" si="67"/>
        <v>-2.4539877300613466E-2</v>
      </c>
      <c r="GG45" s="1">
        <f>IFERROR(VLOOKUP(A45,[3]Москва_продажа_районы!$C$2:$F$149,3,0),"")</f>
        <v>202745.55957594019</v>
      </c>
      <c r="GH45" s="13">
        <v>3.0206145853270971E-3</v>
      </c>
      <c r="GI45" s="1">
        <v>154</v>
      </c>
      <c r="GJ45" s="13">
        <f t="shared" si="68"/>
        <v>-3.1446540880503138E-2</v>
      </c>
      <c r="GK45" s="1">
        <v>202171.94393251001</v>
      </c>
      <c r="GL45" s="13">
        <f t="shared" si="69"/>
        <v>-2.8292389960595798E-3</v>
      </c>
      <c r="GM45" s="1">
        <v>173</v>
      </c>
      <c r="GN45" s="13">
        <f t="shared" si="70"/>
        <v>0.12337662337662336</v>
      </c>
      <c r="GO45" s="1">
        <v>202785.61135110131</v>
      </c>
      <c r="GP45" s="13">
        <f t="shared" si="71"/>
        <v>3.0353737845849604E-3</v>
      </c>
      <c r="GQ45" s="1">
        <v>182.97000000000003</v>
      </c>
      <c r="GR45" s="13">
        <f t="shared" si="72"/>
        <v>5.7630057803468304E-2</v>
      </c>
      <c r="GS45" s="1">
        <v>199846.67096009461</v>
      </c>
      <c r="GT45" s="13">
        <f t="shared" si="115"/>
        <v>-1.4492844790246262E-2</v>
      </c>
      <c r="GU45">
        <v>167</v>
      </c>
      <c r="GV45" s="13">
        <f t="shared" si="116"/>
        <v>-8.7282068098595511E-2</v>
      </c>
      <c r="GW45">
        <v>199108.64588001851</v>
      </c>
      <c r="GX45" s="13">
        <f t="shared" si="73"/>
        <v>-3.6929565878206505E-3</v>
      </c>
      <c r="GY45">
        <v>148</v>
      </c>
      <c r="GZ45" s="13">
        <f t="shared" si="74"/>
        <v>-0.11377245508982037</v>
      </c>
      <c r="HA45">
        <v>199655.0824234169</v>
      </c>
      <c r="HB45" s="13">
        <v>2.7444139403554058E-3</v>
      </c>
      <c r="HC45">
        <v>133</v>
      </c>
      <c r="HD45" s="13">
        <v>-0.10135135135135132</v>
      </c>
      <c r="HE45">
        <v>201629.43087665751</v>
      </c>
      <c r="HF45" s="13">
        <v>9.8887963645901689E-3</v>
      </c>
      <c r="HG45">
        <v>129</v>
      </c>
      <c r="HH45" s="13">
        <v>-3.007518796992481E-2</v>
      </c>
      <c r="HI45">
        <f>VLOOKUP(A45,[4]Москва_продажа_районы!$C$4:$F$151,3,0)</f>
        <v>198706.84483651689</v>
      </c>
      <c r="HJ45" s="13">
        <f t="shared" si="75"/>
        <v>-1.449483851357225E-2</v>
      </c>
      <c r="HK45">
        <f>VLOOKUP(A45,[4]Москва_продажа_районы!$C$4:$F$151,2,0)</f>
        <v>135</v>
      </c>
      <c r="HL45" s="13">
        <f t="shared" si="76"/>
        <v>4.6511627906976827E-2</v>
      </c>
      <c r="HM45" s="1">
        <f>VLOOKUP(A45,Лист3!$C$4:$F$149,3,0)</f>
        <v>200481.46351758909</v>
      </c>
      <c r="HN45" s="13">
        <f t="shared" si="77"/>
        <v>8.9308382030435229E-3</v>
      </c>
      <c r="HO45">
        <f>VLOOKUP(A45,Лист3!$C$4:$F$149,2,0)</f>
        <v>124</v>
      </c>
      <c r="HP45" s="13">
        <f t="shared" si="78"/>
        <v>-8.1481481481481488E-2</v>
      </c>
      <c r="HQ45" s="1">
        <v>197604.62484524591</v>
      </c>
      <c r="HR45" s="13">
        <v>-1.4349649198818759E-2</v>
      </c>
      <c r="HS45">
        <v>111</v>
      </c>
      <c r="HT45" s="13">
        <v>-0.10483870967741937</v>
      </c>
      <c r="HU45" s="34">
        <v>200342.6701871322</v>
      </c>
      <c r="HV45" s="13">
        <v>1.3856180461518042E-2</v>
      </c>
      <c r="HW45">
        <v>100</v>
      </c>
      <c r="HX45" s="13">
        <v>-9.9099099099099086E-2</v>
      </c>
      <c r="HY45">
        <v>198534.4050745226</v>
      </c>
      <c r="HZ45" s="13">
        <v>-9.0258610954948582E-3</v>
      </c>
      <c r="IA45">
        <v>111</v>
      </c>
      <c r="IB45" s="13">
        <v>0.1100000000000001</v>
      </c>
      <c r="IC45" s="34">
        <v>203155.9876014188</v>
      </c>
      <c r="ID45" s="13">
        <v>2.3278496868899934E-2</v>
      </c>
      <c r="IE45">
        <v>113</v>
      </c>
      <c r="IF45" s="13">
        <v>1.8018018018018056E-2</v>
      </c>
    </row>
    <row r="46" spans="1:240" ht="15.6" thickTop="1" thickBot="1" x14ac:dyDescent="0.35">
      <c r="A46" s="229" t="s">
        <v>161</v>
      </c>
      <c r="B46" s="228"/>
      <c r="C46" s="228"/>
      <c r="D46" s="228"/>
      <c r="E46" s="228"/>
      <c r="F46" s="228"/>
      <c r="G46" s="228"/>
      <c r="H46" s="228"/>
      <c r="I46" s="228"/>
      <c r="J46" s="228"/>
      <c r="K46" s="228"/>
      <c r="L46" s="228"/>
      <c r="M46" s="228"/>
      <c r="N46" s="228"/>
      <c r="O46" s="228"/>
      <c r="P46" s="228"/>
      <c r="Q46" s="228"/>
      <c r="U46" s="13"/>
      <c r="V46" s="1"/>
      <c r="AA46" s="81"/>
      <c r="AF46" s="13" t="e">
        <f t="shared" si="19"/>
        <v>#DIV/0!</v>
      </c>
      <c r="AK46" s="35">
        <f>AK47-AJ47</f>
        <v>150</v>
      </c>
      <c r="AL46" s="35"/>
      <c r="BA46" s="119"/>
      <c r="BI46" s="13"/>
      <c r="BL46" s="13"/>
      <c r="BN46" s="109"/>
      <c r="BP46" s="13"/>
      <c r="BR46" s="13" t="str">
        <f t="shared" si="124"/>
        <v/>
      </c>
      <c r="BT46" s="13" t="str">
        <f t="shared" si="125"/>
        <v/>
      </c>
      <c r="BV46" s="13"/>
      <c r="BX46" s="13"/>
      <c r="BZ46" s="13"/>
      <c r="CB46" s="13"/>
      <c r="CC46" s="1"/>
      <c r="CD46" s="13"/>
      <c r="CF46" s="13"/>
      <c r="CG46" s="1"/>
      <c r="CH46" s="13"/>
      <c r="CJ46" s="13"/>
      <c r="CK46" s="1"/>
      <c r="CL46" s="13"/>
      <c r="CN46" s="13"/>
      <c r="CO46" s="1" t="s">
        <v>184</v>
      </c>
      <c r="CP46" s="13" t="s">
        <v>184</v>
      </c>
      <c r="CQ46" t="s">
        <v>184</v>
      </c>
      <c r="CR46" s="13" t="s">
        <v>184</v>
      </c>
      <c r="CS46" s="1" t="s">
        <v>184</v>
      </c>
      <c r="CT46" s="13" t="str">
        <f t="shared" si="24"/>
        <v/>
      </c>
      <c r="CU46" t="s">
        <v>184</v>
      </c>
      <c r="CV46" s="13" t="str">
        <f t="shared" si="25"/>
        <v/>
      </c>
      <c r="CW46" s="1" t="s">
        <v>184</v>
      </c>
      <c r="CX46" s="13" t="str">
        <f t="shared" si="26"/>
        <v/>
      </c>
      <c r="CY46" t="s">
        <v>184</v>
      </c>
      <c r="CZ46" s="13" t="str">
        <f t="shared" si="27"/>
        <v/>
      </c>
      <c r="DA46" s="1" t="s">
        <v>184</v>
      </c>
      <c r="DB46" s="13" t="str">
        <f t="shared" si="28"/>
        <v/>
      </c>
      <c r="DC46" t="s">
        <v>184</v>
      </c>
      <c r="DD46" s="13" t="str">
        <f t="shared" si="29"/>
        <v/>
      </c>
      <c r="DE46" s="1" t="s">
        <v>184</v>
      </c>
      <c r="DF46" s="13" t="str">
        <f t="shared" si="30"/>
        <v/>
      </c>
      <c r="DG46" s="1" t="s">
        <v>184</v>
      </c>
      <c r="DH46" s="13" t="str">
        <f t="shared" si="31"/>
        <v/>
      </c>
      <c r="DI46" s="1" t="s">
        <v>184</v>
      </c>
      <c r="DJ46" s="13" t="str">
        <f t="shared" si="32"/>
        <v/>
      </c>
      <c r="DK46" s="1" t="s">
        <v>184</v>
      </c>
      <c r="DL46" s="13" t="str">
        <f t="shared" si="33"/>
        <v/>
      </c>
      <c r="DM46" s="1" t="s">
        <v>184</v>
      </c>
      <c r="DN46" s="13" t="str">
        <f t="shared" si="34"/>
        <v/>
      </c>
      <c r="DO46" s="1" t="s">
        <v>184</v>
      </c>
      <c r="DP46" s="13" t="str">
        <f t="shared" si="35"/>
        <v/>
      </c>
      <c r="DQ46" s="1" t="s">
        <v>184</v>
      </c>
      <c r="DR46" s="13" t="str">
        <f t="shared" si="36"/>
        <v/>
      </c>
      <c r="DS46" t="s">
        <v>184</v>
      </c>
      <c r="DT46" s="13" t="str">
        <f t="shared" si="37"/>
        <v/>
      </c>
      <c r="DU46" s="1" t="s">
        <v>184</v>
      </c>
      <c r="DV46" s="13" t="str">
        <f t="shared" si="38"/>
        <v/>
      </c>
      <c r="DW46" t="s">
        <v>184</v>
      </c>
      <c r="DX46" s="13" t="str">
        <f t="shared" si="39"/>
        <v/>
      </c>
      <c r="DY46" s="1" t="s">
        <v>184</v>
      </c>
      <c r="DZ46" s="13" t="str">
        <f t="shared" si="40"/>
        <v/>
      </c>
      <c r="EA46" s="1" t="s">
        <v>184</v>
      </c>
      <c r="EB46" s="13" t="str">
        <f t="shared" si="41"/>
        <v/>
      </c>
      <c r="EC46" s="1" t="s">
        <v>184</v>
      </c>
      <c r="ED46" s="13" t="str">
        <f t="shared" si="42"/>
        <v/>
      </c>
      <c r="EE46" s="1" t="str">
        <f>IFERROR(VLOOKUP($A46,[1]Москва_продажа_районы!$C$2:$F$148,2,0),"")</f>
        <v/>
      </c>
      <c r="EF46" s="13" t="s">
        <v>184</v>
      </c>
      <c r="EG46" s="1" t="s">
        <v>184</v>
      </c>
      <c r="EH46" s="13" t="str">
        <f t="shared" si="43"/>
        <v/>
      </c>
      <c r="EI46" s="1" t="str">
        <f>IFERROR(VLOOKUP($A46,[2]Москва_продажа_районы!$C$2:$F$150,2,0),"")</f>
        <v/>
      </c>
      <c r="EJ46" s="13" t="s">
        <v>184</v>
      </c>
      <c r="EK46" s="1" t="s">
        <v>184</v>
      </c>
      <c r="EL46" s="13" t="str">
        <f t="shared" si="44"/>
        <v/>
      </c>
      <c r="EM46" t="s">
        <v>184</v>
      </c>
      <c r="EN46" s="13" t="str">
        <f t="shared" si="45"/>
        <v/>
      </c>
      <c r="EO46" s="1" t="s">
        <v>184</v>
      </c>
      <c r="EP46" s="13" t="str">
        <f t="shared" si="46"/>
        <v/>
      </c>
      <c r="EQ46" t="s">
        <v>184</v>
      </c>
      <c r="ER46" s="13" t="str">
        <f t="shared" si="47"/>
        <v/>
      </c>
      <c r="ES46" s="183" t="s">
        <v>184</v>
      </c>
      <c r="ET46" s="13" t="str">
        <f t="shared" si="48"/>
        <v/>
      </c>
      <c r="EU46" t="s">
        <v>184</v>
      </c>
      <c r="EV46" s="13" t="str">
        <f t="shared" si="49"/>
        <v/>
      </c>
      <c r="EW46" s="183" t="s">
        <v>184</v>
      </c>
      <c r="EX46" s="13" t="str">
        <f t="shared" si="50"/>
        <v/>
      </c>
      <c r="EY46" t="s">
        <v>184</v>
      </c>
      <c r="EZ46" s="13" t="str">
        <f t="shared" si="51"/>
        <v/>
      </c>
      <c r="FA46" s="1" t="s">
        <v>184</v>
      </c>
      <c r="FB46" s="13" t="str">
        <f t="shared" si="52"/>
        <v/>
      </c>
      <c r="FC46" s="1" t="s">
        <v>184</v>
      </c>
      <c r="FD46" s="13" t="str">
        <f t="shared" si="53"/>
        <v/>
      </c>
      <c r="FE46" s="1" t="s">
        <v>184</v>
      </c>
      <c r="FF46" s="13" t="str">
        <f t="shared" si="54"/>
        <v/>
      </c>
      <c r="FG46" s="1" t="s">
        <v>184</v>
      </c>
      <c r="FH46" s="13" t="str">
        <f t="shared" si="55"/>
        <v/>
      </c>
      <c r="FI46" s="1" t="s">
        <v>184</v>
      </c>
      <c r="FJ46" s="13" t="str">
        <f t="shared" si="56"/>
        <v/>
      </c>
      <c r="FK46" s="1" t="s">
        <v>184</v>
      </c>
      <c r="FL46" s="13" t="str">
        <f t="shared" si="57"/>
        <v/>
      </c>
      <c r="FM46" s="1" t="s">
        <v>184</v>
      </c>
      <c r="FN46" s="13" t="str">
        <f t="shared" si="58"/>
        <v/>
      </c>
      <c r="FO46" s="1" t="s">
        <v>184</v>
      </c>
      <c r="FP46" s="13" t="str">
        <f t="shared" si="59"/>
        <v/>
      </c>
      <c r="FQ46" s="1" t="s">
        <v>184</v>
      </c>
      <c r="FR46" s="13" t="str">
        <f t="shared" si="60"/>
        <v/>
      </c>
      <c r="FS46" t="s">
        <v>184</v>
      </c>
      <c r="FT46" s="13" t="str">
        <f t="shared" si="61"/>
        <v/>
      </c>
      <c r="FU46" s="1" t="s">
        <v>184</v>
      </c>
      <c r="FV46" s="13" t="str">
        <f t="shared" si="62"/>
        <v/>
      </c>
      <c r="FW46" s="1" t="s">
        <v>184</v>
      </c>
      <c r="FX46" s="13" t="str">
        <f t="shared" si="63"/>
        <v/>
      </c>
      <c r="FY46" s="1" t="s">
        <v>184</v>
      </c>
      <c r="FZ46" s="13" t="str">
        <f t="shared" si="64"/>
        <v/>
      </c>
      <c r="GA46" s="1" t="s">
        <v>184</v>
      </c>
      <c r="GB46" s="13" t="str">
        <f t="shared" si="65"/>
        <v/>
      </c>
      <c r="GC46" s="1" t="s">
        <v>184</v>
      </c>
      <c r="GD46" s="13" t="str">
        <f t="shared" si="66"/>
        <v/>
      </c>
      <c r="GE46" s="1" t="s">
        <v>184</v>
      </c>
      <c r="GF46" s="13" t="str">
        <f t="shared" si="67"/>
        <v/>
      </c>
      <c r="GG46" s="1" t="str">
        <f>IFERROR(VLOOKUP(A46,[3]Москва_продажа_районы!$C$2:$F$149,3,0),"")</f>
        <v/>
      </c>
      <c r="GH46" s="13" t="s">
        <v>184</v>
      </c>
      <c r="GI46" s="1" t="s">
        <v>184</v>
      </c>
      <c r="GJ46" s="13" t="str">
        <f t="shared" si="68"/>
        <v/>
      </c>
      <c r="GK46" s="1" t="s">
        <v>184</v>
      </c>
      <c r="GL46" s="13" t="str">
        <f t="shared" si="69"/>
        <v/>
      </c>
      <c r="GM46" s="1" t="s">
        <v>184</v>
      </c>
      <c r="GN46" s="13" t="str">
        <f t="shared" si="70"/>
        <v/>
      </c>
      <c r="GO46" s="1" t="s">
        <v>184</v>
      </c>
      <c r="GP46" s="13" t="str">
        <f t="shared" si="71"/>
        <v/>
      </c>
      <c r="GQ46" s="1" t="s">
        <v>184</v>
      </c>
      <c r="GR46" s="13" t="str">
        <f t="shared" si="72"/>
        <v/>
      </c>
      <c r="GT46" s="13"/>
      <c r="GV46" s="13"/>
      <c r="GX46" s="13"/>
      <c r="GZ46" s="13"/>
      <c r="HB46" s="13"/>
      <c r="HD46" s="13"/>
      <c r="HE46" t="e">
        <v>#N/A</v>
      </c>
      <c r="HF46" s="13" t="e">
        <v>#N/A</v>
      </c>
      <c r="HG46" t="e">
        <v>#N/A</v>
      </c>
      <c r="HH46" s="13" t="e">
        <v>#N/A</v>
      </c>
      <c r="HI46" t="e">
        <f>VLOOKUP(A46,[4]Москва_продажа_районы!$C$4:$F$151,3,0)</f>
        <v>#N/A</v>
      </c>
      <c r="HJ46" s="13" t="e">
        <f t="shared" si="75"/>
        <v>#N/A</v>
      </c>
      <c r="HK46" t="e">
        <f>VLOOKUP(A46,[4]Москва_продажа_районы!$C$4:$F$151,2,0)</f>
        <v>#N/A</v>
      </c>
      <c r="HL46" s="13" t="e">
        <f t="shared" si="76"/>
        <v>#N/A</v>
      </c>
      <c r="HM46" s="1" t="e">
        <f>VLOOKUP(A46,Лист3!$C$4:$F$149,3,0)</f>
        <v>#N/A</v>
      </c>
      <c r="HN46" s="13" t="e">
        <f t="shared" si="77"/>
        <v>#N/A</v>
      </c>
      <c r="HO46" t="e">
        <f>VLOOKUP(A46,Лист3!$C$4:$F$149,2,0)</f>
        <v>#N/A</v>
      </c>
      <c r="HP46" s="13" t="e">
        <f t="shared" si="78"/>
        <v>#N/A</v>
      </c>
      <c r="HQ46" s="1" t="e">
        <v>#N/A</v>
      </c>
      <c r="HR46" s="13" t="e">
        <v>#N/A</v>
      </c>
      <c r="HS46" t="e">
        <v>#N/A</v>
      </c>
      <c r="HT46" s="13" t="e">
        <v>#N/A</v>
      </c>
      <c r="HU46" s="34" t="e">
        <v>#N/A</v>
      </c>
      <c r="HV46" s="13" t="e">
        <v>#N/A</v>
      </c>
      <c r="HW46" t="e">
        <v>#N/A</v>
      </c>
      <c r="HX46" s="13" t="e">
        <v>#N/A</v>
      </c>
      <c r="HY46" t="e">
        <v>#N/A</v>
      </c>
      <c r="HZ46" s="13" t="e">
        <v>#N/A</v>
      </c>
      <c r="IA46" t="e">
        <v>#N/A</v>
      </c>
      <c r="IB46" s="13" t="e">
        <v>#N/A</v>
      </c>
      <c r="IC46" s="34" t="e">
        <v>#N/A</v>
      </c>
      <c r="ID46" s="13" t="e">
        <v>#N/A</v>
      </c>
      <c r="IE46" t="e">
        <v>#N/A</v>
      </c>
      <c r="IF46" s="13" t="e">
        <v>#N/A</v>
      </c>
    </row>
    <row r="47" spans="1:240" ht="15" thickTop="1" x14ac:dyDescent="0.3">
      <c r="A47" s="24" t="s">
        <v>60</v>
      </c>
      <c r="B47" s="25">
        <v>249035.19052726639</v>
      </c>
      <c r="C47" s="26">
        <v>439</v>
      </c>
      <c r="D47" s="25">
        <v>249199.35409376683</v>
      </c>
      <c r="E47" s="26">
        <v>369</v>
      </c>
      <c r="F47" s="25">
        <v>253563.17124959663</v>
      </c>
      <c r="G47" s="26">
        <v>248</v>
      </c>
      <c r="H47" s="25">
        <v>255941.78244527717</v>
      </c>
      <c r="I47" s="26">
        <v>264</v>
      </c>
      <c r="J47" s="25">
        <v>256416.47741405439</v>
      </c>
      <c r="K47" s="26">
        <v>343</v>
      </c>
      <c r="L47" s="25">
        <v>254833.00046555596</v>
      </c>
      <c r="M47" s="26">
        <v>354</v>
      </c>
      <c r="N47" s="25">
        <v>258570.3984242455</v>
      </c>
      <c r="O47" s="27">
        <v>310</v>
      </c>
      <c r="P47" s="38">
        <v>259025.06152744289</v>
      </c>
      <c r="Q47" s="27">
        <v>314</v>
      </c>
      <c r="R47" s="38">
        <v>265697.77297007531</v>
      </c>
      <c r="S47" s="26">
        <v>322</v>
      </c>
      <c r="T47" s="50">
        <v>274549.95027706661</v>
      </c>
      <c r="U47" s="45">
        <v>273</v>
      </c>
      <c r="V47" s="55">
        <v>274593.11199773219</v>
      </c>
      <c r="W47" s="45">
        <v>259</v>
      </c>
      <c r="X47" s="55">
        <v>280556.44956668682</v>
      </c>
      <c r="Y47" s="45">
        <v>230</v>
      </c>
      <c r="Z47" s="34">
        <v>278694.70420699118</v>
      </c>
      <c r="AA47" s="81">
        <v>259</v>
      </c>
      <c r="AB47" s="1">
        <v>286945.38168805902</v>
      </c>
      <c r="AC47">
        <v>276</v>
      </c>
      <c r="AD47" s="1">
        <v>295408.84986102191</v>
      </c>
      <c r="AE47">
        <v>241</v>
      </c>
      <c r="AF47" s="13">
        <f t="shared" si="19"/>
        <v>5.2939079879554596E-2</v>
      </c>
      <c r="AG47" s="85">
        <f>AE47/$AJ$47</f>
        <v>6.6796008869179607E-2</v>
      </c>
      <c r="AH47" s="35">
        <f>AG47*$AK$46</f>
        <v>10.01940133037694</v>
      </c>
      <c r="AI47" s="86">
        <f>AH47+AE47</f>
        <v>251.01940133037695</v>
      </c>
      <c r="AJ47">
        <f>SUM(AE47:AE62)</f>
        <v>3608</v>
      </c>
      <c r="AK47" s="1">
        <v>3758</v>
      </c>
      <c r="AL47" s="1">
        <v>298034.82921952131</v>
      </c>
      <c r="AM47">
        <v>255</v>
      </c>
      <c r="AN47" s="13">
        <f>AM47/SUM($AM$47:$AM$62)</f>
        <v>6.6268191268191265E-2</v>
      </c>
      <c r="AO47">
        <f>SUM(AM47:AM62)</f>
        <v>3848</v>
      </c>
      <c r="AP47">
        <f>3991-AO47</f>
        <v>143</v>
      </c>
      <c r="AQ47" s="35">
        <f>$AP$47*AN47</f>
        <v>9.4763513513513509</v>
      </c>
      <c r="AR47" s="86">
        <f>AQ47+AM47</f>
        <v>264.47635135135135</v>
      </c>
      <c r="AS47">
        <v>262</v>
      </c>
      <c r="AT47" s="1">
        <v>304002.42133606109</v>
      </c>
      <c r="AU47" s="13">
        <f>AT47/AL47-1</f>
        <v>2.0023136665494379E-2</v>
      </c>
      <c r="AV47" s="35">
        <v>255</v>
      </c>
      <c r="AW47" s="1">
        <v>305303.02415821177</v>
      </c>
      <c r="AX47" s="35">
        <v>276.6594301221167</v>
      </c>
      <c r="AY47" s="119">
        <v>316220.70606112888</v>
      </c>
      <c r="AZ47" s="120">
        <v>257</v>
      </c>
      <c r="BA47" s="119">
        <v>317443.58365275938</v>
      </c>
      <c r="BB47">
        <v>284</v>
      </c>
      <c r="BC47" s="125">
        <f>BA47/AY47-1</f>
        <v>3.8671648256773938E-3</v>
      </c>
      <c r="BD47">
        <v>285</v>
      </c>
      <c r="BE47" s="1">
        <v>329563.90843883151</v>
      </c>
      <c r="BF47" s="13">
        <f t="shared" ref="BF47:BF62" si="130">BE47/BA47-1</f>
        <v>3.8181035655551643E-2</v>
      </c>
      <c r="BG47">
        <v>272</v>
      </c>
      <c r="BH47" s="1">
        <v>335236.54046946962</v>
      </c>
      <c r="BI47" s="13">
        <f t="shared" si="123"/>
        <v>1.7212540224776918E-2</v>
      </c>
      <c r="BJ47">
        <v>271</v>
      </c>
      <c r="BK47" s="1">
        <v>338806.68379786483</v>
      </c>
      <c r="BL47" s="13">
        <f t="shared" ref="BL47:BL62" si="131">BK47/BH47-1</f>
        <v>1.0649624660234114E-2</v>
      </c>
      <c r="BM47" s="1">
        <v>343934.56560699822</v>
      </c>
      <c r="BN47" s="109">
        <f t="shared" ref="BN47:BN62" si="132">BM47/BK47-1</f>
        <v>1.5135125882560052E-2</v>
      </c>
      <c r="BO47">
        <v>261</v>
      </c>
      <c r="BP47" s="13">
        <f t="shared" ref="BP47:BP62" si="133">BO47/BJ47-1</f>
        <v>-3.6900369003690092E-2</v>
      </c>
      <c r="BQ47" s="1">
        <v>349588.07375381602</v>
      </c>
      <c r="BR47" s="13">
        <f t="shared" si="124"/>
        <v>1.6437743431923169E-2</v>
      </c>
      <c r="BS47">
        <v>265</v>
      </c>
      <c r="BT47" s="13">
        <f t="shared" si="125"/>
        <v>1.5325670498084198E-2</v>
      </c>
      <c r="BU47" s="1">
        <v>363609.67474114179</v>
      </c>
      <c r="BV47" s="13">
        <f t="shared" ref="BV47:BV62" si="134">BU47/BQ47-1</f>
        <v>4.0108922586415074E-2</v>
      </c>
      <c r="BW47">
        <v>260</v>
      </c>
      <c r="BX47" s="13">
        <f t="shared" ref="BX47:BX62" si="135">BW47/BS47-1</f>
        <v>-1.8867924528301883E-2</v>
      </c>
      <c r="BY47" s="1">
        <v>367597.55435929127</v>
      </c>
      <c r="BZ47" s="13">
        <f t="shared" ref="BZ47:BZ62" si="136">BY47/BU47-1</f>
        <v>1.0967473901756009E-2</v>
      </c>
      <c r="CA47">
        <v>252</v>
      </c>
      <c r="CB47" s="13">
        <f t="shared" ref="CB47:CB62" si="137">CA47/BW47-1</f>
        <v>-3.0769230769230771E-2</v>
      </c>
      <c r="CC47" s="1">
        <v>359230.58402755967</v>
      </c>
      <c r="CD47" s="13">
        <f t="shared" ref="CD47:CD62" si="138">CC47/BY47-1</f>
        <v>-2.2761224149912884E-2</v>
      </c>
      <c r="CE47">
        <v>294</v>
      </c>
      <c r="CF47" s="13">
        <f t="shared" ref="CF47:CF62" si="139">CE47/CA47-1</f>
        <v>0.16666666666666674</v>
      </c>
      <c r="CG47" s="1">
        <v>349541.34900066798</v>
      </c>
      <c r="CH47" s="13">
        <f t="shared" ref="CH47:CH62" si="140">CG47/CC47-1</f>
        <v>-2.6972188498706307E-2</v>
      </c>
      <c r="CI47">
        <v>307</v>
      </c>
      <c r="CJ47" s="13">
        <f t="shared" ref="CJ47:CJ62" si="141">CI47/CE47-1</f>
        <v>4.421768707482987E-2</v>
      </c>
      <c r="CK47" s="1">
        <v>348218.6577403635</v>
      </c>
      <c r="CL47" s="13">
        <f t="shared" ref="CL47:CL62" si="142">CK47/CG47-1</f>
        <v>-3.7840766595598208E-3</v>
      </c>
      <c r="CM47">
        <v>295</v>
      </c>
      <c r="CN47" s="13">
        <f t="shared" ref="CN47:CN62" si="143">CM47/CI47-1</f>
        <v>-3.9087947882736174E-2</v>
      </c>
      <c r="CO47" s="1">
        <v>347163.91281889437</v>
      </c>
      <c r="CP47" s="13">
        <v>-3.0289730260678605E-3</v>
      </c>
      <c r="CQ47">
        <v>306</v>
      </c>
      <c r="CR47" s="13">
        <v>3.7288135593220417E-2</v>
      </c>
      <c r="CS47" s="1">
        <v>350154.27510938921</v>
      </c>
      <c r="CT47" s="13">
        <f t="shared" si="24"/>
        <v>8.6136899028870229E-3</v>
      </c>
      <c r="CU47">
        <v>350</v>
      </c>
      <c r="CV47" s="13">
        <f t="shared" si="25"/>
        <v>0.14379084967320255</v>
      </c>
      <c r="CW47" s="1">
        <v>343448.6847359761</v>
      </c>
      <c r="CX47" s="13">
        <f t="shared" si="26"/>
        <v>-1.9150388414701736E-2</v>
      </c>
      <c r="CY47">
        <v>387</v>
      </c>
      <c r="CZ47" s="13">
        <f t="shared" si="27"/>
        <v>0.10571428571428565</v>
      </c>
      <c r="DA47" s="1">
        <v>339902.34764830949</v>
      </c>
      <c r="DB47" s="13">
        <f t="shared" si="28"/>
        <v>-1.0325667982664877E-2</v>
      </c>
      <c r="DC47">
        <v>372</v>
      </c>
      <c r="DD47" s="13">
        <f t="shared" si="29"/>
        <v>-3.8759689922480578E-2</v>
      </c>
      <c r="DE47" s="1">
        <v>336411.0505300723</v>
      </c>
      <c r="DF47" s="13">
        <f t="shared" si="30"/>
        <v>-1.0271471033938107E-2</v>
      </c>
      <c r="DG47" s="1">
        <v>354</v>
      </c>
      <c r="DH47" s="13">
        <f t="shared" si="31"/>
        <v>-4.8387096774193505E-2</v>
      </c>
      <c r="DI47" s="1">
        <v>345172.26243982901</v>
      </c>
      <c r="DJ47" s="13">
        <f t="shared" si="32"/>
        <v>2.604317514526322E-2</v>
      </c>
      <c r="DK47" s="1">
        <v>374</v>
      </c>
      <c r="DL47" s="13">
        <f t="shared" si="33"/>
        <v>5.6497175141242861E-2</v>
      </c>
      <c r="DM47" s="1">
        <v>334070.0727866629</v>
      </c>
      <c r="DN47" s="13">
        <f t="shared" si="34"/>
        <v>-3.2164199911924984E-2</v>
      </c>
      <c r="DO47" s="1">
        <v>339</v>
      </c>
      <c r="DP47" s="13">
        <f t="shared" si="35"/>
        <v>-9.35828877005348E-2</v>
      </c>
      <c r="DQ47" s="1">
        <v>339357.12817878311</v>
      </c>
      <c r="DR47" s="13">
        <f t="shared" si="36"/>
        <v>1.5826186847621493E-2</v>
      </c>
      <c r="DS47">
        <v>367</v>
      </c>
      <c r="DT47" s="13">
        <f t="shared" si="37"/>
        <v>8.259587020648973E-2</v>
      </c>
      <c r="DU47" s="1">
        <v>339399.66914255382</v>
      </c>
      <c r="DV47" s="13">
        <f t="shared" si="38"/>
        <v>1.2535750758790876E-4</v>
      </c>
      <c r="DW47">
        <v>377</v>
      </c>
      <c r="DX47" s="13">
        <f t="shared" si="39"/>
        <v>2.7247956403269713E-2</v>
      </c>
      <c r="DY47" s="1">
        <v>336089.05422615207</v>
      </c>
      <c r="DZ47" s="13">
        <f t="shared" si="40"/>
        <v>-9.7543257032793873E-3</v>
      </c>
      <c r="EA47" s="1">
        <v>343</v>
      </c>
      <c r="EB47" s="13">
        <f t="shared" si="41"/>
        <v>-9.0185676392572911E-2</v>
      </c>
      <c r="EC47" s="1">
        <v>341235.22555240447</v>
      </c>
      <c r="ED47" s="13">
        <f t="shared" si="42"/>
        <v>1.5311927780871981E-2</v>
      </c>
      <c r="EE47" s="1">
        <f>IFERROR(VLOOKUP($A47,[1]Москва_продажа_районы!$C$2:$F$148,2,0),"")</f>
        <v>340</v>
      </c>
      <c r="EF47" s="13">
        <v>-8.7463556851311575E-3</v>
      </c>
      <c r="EG47" s="1">
        <v>345398.1286186286</v>
      </c>
      <c r="EH47" s="13">
        <f t="shared" si="43"/>
        <v>1.2199511523129036E-2</v>
      </c>
      <c r="EI47" s="1">
        <f>IFERROR(VLOOKUP($A47,[2]Москва_продажа_районы!$C$2:$F$150,2,0),"")</f>
        <v>319</v>
      </c>
      <c r="EJ47" s="13">
        <v>-6.1764705882352944E-2</v>
      </c>
      <c r="EK47" s="1">
        <v>355309.29737310961</v>
      </c>
      <c r="EL47" s="13">
        <f t="shared" si="44"/>
        <v>2.8694911562258119E-2</v>
      </c>
      <c r="EM47">
        <v>312</v>
      </c>
      <c r="EN47" s="13">
        <f t="shared" si="45"/>
        <v>-2.1943573667711602E-2</v>
      </c>
      <c r="EO47" s="1">
        <v>359437.45832819358</v>
      </c>
      <c r="EP47" s="13">
        <f t="shared" si="46"/>
        <v>1.1618499672269911E-2</v>
      </c>
      <c r="EQ47">
        <v>312</v>
      </c>
      <c r="ER47" s="13">
        <f t="shared" si="47"/>
        <v>0</v>
      </c>
      <c r="ES47" s="183">
        <v>367500.55658869282</v>
      </c>
      <c r="ET47" s="13">
        <f t="shared" si="48"/>
        <v>2.2432548621955428E-2</v>
      </c>
      <c r="EU47">
        <v>321</v>
      </c>
      <c r="EV47" s="13">
        <f t="shared" si="49"/>
        <v>2.8846153846153744E-2</v>
      </c>
      <c r="EW47" s="183">
        <v>364002.22662053542</v>
      </c>
      <c r="EX47" s="13">
        <f t="shared" si="50"/>
        <v>-9.519250802313084E-3</v>
      </c>
      <c r="EY47">
        <v>339</v>
      </c>
      <c r="EZ47" s="13">
        <f t="shared" si="51"/>
        <v>5.6074766355140193E-2</v>
      </c>
      <c r="FA47" s="1">
        <v>361330.8991654751</v>
      </c>
      <c r="FB47" s="13">
        <f t="shared" si="52"/>
        <v>-7.3387667978337401E-3</v>
      </c>
      <c r="FC47" s="1">
        <v>333</v>
      </c>
      <c r="FD47" s="13">
        <f t="shared" si="53"/>
        <v>-1.7699115044247815E-2</v>
      </c>
      <c r="FE47" s="1">
        <v>360757.49717507319</v>
      </c>
      <c r="FF47" s="13">
        <f t="shared" si="54"/>
        <v>-1.5869165679609498E-3</v>
      </c>
      <c r="FG47" s="1">
        <v>301</v>
      </c>
      <c r="FH47" s="13">
        <f t="shared" si="55"/>
        <v>-9.6096096096096151E-2</v>
      </c>
      <c r="FI47" s="1">
        <v>363947.92352274642</v>
      </c>
      <c r="FJ47" s="13">
        <f t="shared" si="56"/>
        <v>8.8436868884389508E-3</v>
      </c>
      <c r="FK47" s="1">
        <v>334</v>
      </c>
      <c r="FL47" s="13">
        <f t="shared" si="57"/>
        <v>0.10963455149501655</v>
      </c>
      <c r="FM47" s="1">
        <v>363835.13863244117</v>
      </c>
      <c r="FN47" s="13">
        <f t="shared" si="58"/>
        <v>-3.0989293526828554E-4</v>
      </c>
      <c r="FO47" s="1">
        <v>371</v>
      </c>
      <c r="FP47" s="13">
        <f t="shared" si="59"/>
        <v>0.11077844311377238</v>
      </c>
      <c r="FQ47" s="1">
        <v>363049.54785075132</v>
      </c>
      <c r="FR47" s="13">
        <f t="shared" si="60"/>
        <v>-2.1591943665547619E-3</v>
      </c>
      <c r="FS47">
        <v>390</v>
      </c>
      <c r="FT47" s="13">
        <f t="shared" si="61"/>
        <v>5.1212938005390729E-2</v>
      </c>
      <c r="FU47" s="1">
        <v>367859.69490936073</v>
      </c>
      <c r="FV47" s="13">
        <f t="shared" si="62"/>
        <v>1.3249285358115426E-2</v>
      </c>
      <c r="FW47" s="1">
        <v>367</v>
      </c>
      <c r="FX47" s="13">
        <f t="shared" si="63"/>
        <v>-5.8974358974358987E-2</v>
      </c>
      <c r="FY47" s="1">
        <v>373173.58269106009</v>
      </c>
      <c r="FZ47" s="13">
        <f t="shared" si="64"/>
        <v>1.4445419966459427E-2</v>
      </c>
      <c r="GA47" s="1">
        <v>334</v>
      </c>
      <c r="GB47" s="13">
        <f t="shared" si="65"/>
        <v>-8.9918256130790186E-2</v>
      </c>
      <c r="GC47" s="1">
        <v>371916.1802733934</v>
      </c>
      <c r="GD47" s="13">
        <f t="shared" si="66"/>
        <v>-3.3694840041976759E-3</v>
      </c>
      <c r="GE47" s="1">
        <v>327</v>
      </c>
      <c r="GF47" s="13">
        <f t="shared" si="67"/>
        <v>-2.0958083832335328E-2</v>
      </c>
      <c r="GG47" s="1">
        <f>IFERROR(VLOOKUP(A47,[3]Москва_продажа_районы!$C$2:$F$149,3,0),"")</f>
        <v>369916.0821817253</v>
      </c>
      <c r="GH47" s="13">
        <v>-5.3778195135200102E-3</v>
      </c>
      <c r="GI47" s="1">
        <v>343</v>
      </c>
      <c r="GJ47" s="13">
        <f t="shared" si="68"/>
        <v>4.8929663608562768E-2</v>
      </c>
      <c r="GK47" s="1">
        <v>372066.01176199358</v>
      </c>
      <c r="GL47" s="13">
        <f t="shared" si="69"/>
        <v>5.8119386634618575E-3</v>
      </c>
      <c r="GM47" s="1">
        <v>339</v>
      </c>
      <c r="GN47" s="13">
        <f t="shared" si="70"/>
        <v>-1.1661807580174877E-2</v>
      </c>
      <c r="GO47" s="1">
        <v>372700.88823831407</v>
      </c>
      <c r="GP47" s="13">
        <f t="shared" si="71"/>
        <v>1.706354400161203E-3</v>
      </c>
      <c r="GQ47" s="1">
        <v>352.03000000000003</v>
      </c>
      <c r="GR47" s="13">
        <f t="shared" si="72"/>
        <v>3.8436578171091584E-2</v>
      </c>
      <c r="GS47" s="1">
        <v>382672.91116366122</v>
      </c>
      <c r="GT47" s="13">
        <f t="shared" ref="GT47:GT62" si="144">GS47/GO47-1</f>
        <v>2.6756101850153868E-2</v>
      </c>
      <c r="GU47">
        <v>331</v>
      </c>
      <c r="GV47" s="13">
        <f t="shared" ref="GV47:GV62" si="145">GU47/GQ47-1</f>
        <v>-5.9739226770445741E-2</v>
      </c>
      <c r="GW47">
        <v>390993.00581906672</v>
      </c>
      <c r="GX47" s="13">
        <f t="shared" si="73"/>
        <v>2.1742052841172255E-2</v>
      </c>
      <c r="GY47">
        <v>287</v>
      </c>
      <c r="GZ47" s="13">
        <f t="shared" si="74"/>
        <v>-0.13293051359516617</v>
      </c>
      <c r="HA47">
        <v>389390.98103310401</v>
      </c>
      <c r="HB47" s="13">
        <v>-4.0973233846133272E-3</v>
      </c>
      <c r="HC47">
        <v>243</v>
      </c>
      <c r="HD47" s="13">
        <v>-0.15331010452961669</v>
      </c>
      <c r="HE47">
        <v>389892.83722661919</v>
      </c>
      <c r="HF47" s="13">
        <v>1.2888233625332202E-3</v>
      </c>
      <c r="HG47">
        <v>252</v>
      </c>
      <c r="HH47" s="13">
        <v>3.7037037037036979E-2</v>
      </c>
      <c r="HI47">
        <f>VLOOKUP(A47,[4]Москва_продажа_районы!$C$4:$F$151,3,0)</f>
        <v>390675.72391631542</v>
      </c>
      <c r="HJ47" s="13">
        <f t="shared" si="75"/>
        <v>2.0079535065713472E-3</v>
      </c>
      <c r="HK47">
        <f>VLOOKUP(A47,[4]Москва_продажа_районы!$C$4:$F$151,2,0)</f>
        <v>270</v>
      </c>
      <c r="HL47" s="13">
        <f t="shared" si="76"/>
        <v>7.1428571428571397E-2</v>
      </c>
      <c r="HM47" s="1">
        <f>VLOOKUP(A47,Лист3!$C$4:$F$149,3,0)</f>
        <v>391466.39153849927</v>
      </c>
      <c r="HN47" s="13">
        <f t="shared" si="77"/>
        <v>2.0238463098187776E-3</v>
      </c>
      <c r="HO47">
        <f>VLOOKUP(A47,Лист3!$C$4:$F$149,2,0)</f>
        <v>246</v>
      </c>
      <c r="HP47" s="13">
        <f t="shared" si="78"/>
        <v>-8.8888888888888906E-2</v>
      </c>
      <c r="HQ47" s="1">
        <v>401894.34640521498</v>
      </c>
      <c r="HR47" s="13">
        <v>2.6638186807641073E-2</v>
      </c>
      <c r="HS47">
        <v>255</v>
      </c>
      <c r="HT47" s="13">
        <v>3.6585365853658569E-2</v>
      </c>
      <c r="HU47" s="34">
        <v>394682.48067385022</v>
      </c>
      <c r="HV47" s="13">
        <v>-1.7944680724852224E-2</v>
      </c>
      <c r="HW47">
        <v>247</v>
      </c>
      <c r="HX47" s="13">
        <v>-3.1372549019607843E-2</v>
      </c>
      <c r="HY47">
        <v>404077.50101065921</v>
      </c>
      <c r="HZ47" s="13">
        <v>2.3803996368849889E-2</v>
      </c>
      <c r="IA47">
        <v>270</v>
      </c>
      <c r="IB47" s="13">
        <v>9.3117408906882693E-2</v>
      </c>
      <c r="IC47" s="34">
        <v>403579.97544896929</v>
      </c>
      <c r="ID47" s="13">
        <v>-1.2312627167945234E-3</v>
      </c>
      <c r="IE47">
        <v>261</v>
      </c>
      <c r="IF47" s="13">
        <v>-3.3333333333333326E-2</v>
      </c>
    </row>
    <row r="48" spans="1:240" x14ac:dyDescent="0.3">
      <c r="A48" s="23" t="s">
        <v>61</v>
      </c>
      <c r="B48" s="22">
        <v>261842.11887190471</v>
      </c>
      <c r="C48">
        <v>378</v>
      </c>
      <c r="D48" s="22">
        <v>263503.33593783766</v>
      </c>
      <c r="E48">
        <v>370</v>
      </c>
      <c r="F48" s="22">
        <v>274333.96620617283</v>
      </c>
      <c r="G48">
        <v>324</v>
      </c>
      <c r="H48" s="22">
        <v>275993.9360430364</v>
      </c>
      <c r="I48">
        <v>329</v>
      </c>
      <c r="J48" s="22">
        <v>277097.77813351247</v>
      </c>
      <c r="K48">
        <v>394</v>
      </c>
      <c r="L48" s="22">
        <v>268710.27294280537</v>
      </c>
      <c r="M48">
        <v>336</v>
      </c>
      <c r="N48" s="22">
        <v>271881.77768932894</v>
      </c>
      <c r="O48" s="28">
        <v>323</v>
      </c>
      <c r="P48" s="39">
        <v>270810.78395543218</v>
      </c>
      <c r="Q48" s="28">
        <v>306</v>
      </c>
      <c r="R48" s="39">
        <v>281717.99605871941</v>
      </c>
      <c r="S48">
        <v>284</v>
      </c>
      <c r="T48" s="46">
        <v>288526.92629473726</v>
      </c>
      <c r="U48" s="47">
        <v>253</v>
      </c>
      <c r="V48" s="56">
        <v>288212.01053964568</v>
      </c>
      <c r="W48" s="47">
        <v>232</v>
      </c>
      <c r="X48" s="56">
        <v>294892.5772120895</v>
      </c>
      <c r="Y48" s="47">
        <v>205</v>
      </c>
      <c r="Z48" s="34">
        <v>284312.255090016</v>
      </c>
      <c r="AA48" s="81">
        <v>221</v>
      </c>
      <c r="AB48" s="1">
        <v>289867.98076434102</v>
      </c>
      <c r="AC48">
        <v>235</v>
      </c>
      <c r="AD48" s="1">
        <v>315278.84969311988</v>
      </c>
      <c r="AE48">
        <v>217</v>
      </c>
      <c r="AF48" s="13">
        <f t="shared" si="19"/>
        <v>6.9131182187635698E-2</v>
      </c>
      <c r="AG48" s="85">
        <f t="shared" ref="AG48:AG62" si="146">AE48/$AJ$47</f>
        <v>6.0144124168514411E-2</v>
      </c>
      <c r="AH48" s="35">
        <f t="shared" ref="AH48:AH62" si="147">AG48*$AK$46</f>
        <v>9.0216186252771617</v>
      </c>
      <c r="AI48" s="87">
        <f t="shared" ref="AI48:AI62" si="148">AH48+AE48</f>
        <v>226.02161862527717</v>
      </c>
      <c r="AL48" s="1">
        <v>321443.13179954619</v>
      </c>
      <c r="AM48">
        <v>213</v>
      </c>
      <c r="AN48" s="13">
        <f t="shared" ref="AN48:AN62" si="149">AM48/SUM($AM$47:$AM$62)</f>
        <v>5.5353430353430357E-2</v>
      </c>
      <c r="AQ48" s="35">
        <f t="shared" ref="AQ48:AQ62" si="150">$AP$47*AN48</f>
        <v>7.9155405405405412</v>
      </c>
      <c r="AR48" s="87">
        <f t="shared" ref="AR48:AR62" si="151">AQ48+AM48</f>
        <v>220.91554054054055</v>
      </c>
      <c r="AS48">
        <v>218</v>
      </c>
      <c r="AT48" s="1">
        <v>319511.56308490899</v>
      </c>
      <c r="AU48" s="13">
        <f t="shared" ref="AU48:AU62" si="152">AT48/AL48-1</f>
        <v>-6.0090526863137983E-3</v>
      </c>
      <c r="AV48" s="35">
        <v>209</v>
      </c>
      <c r="AW48" s="1">
        <v>333298.02271000901</v>
      </c>
      <c r="AX48" s="35">
        <v>226.75223880597014</v>
      </c>
      <c r="AY48" s="121">
        <v>342774.42531280807</v>
      </c>
      <c r="AZ48" s="122">
        <v>209</v>
      </c>
      <c r="BA48" s="119">
        <v>345573.74978006288</v>
      </c>
      <c r="BB48">
        <v>196</v>
      </c>
      <c r="BC48" s="125">
        <f t="shared" ref="BC48:BC62" si="153">BA48/AY48-1</f>
        <v>8.1666666487740791E-3</v>
      </c>
      <c r="BD48">
        <v>233</v>
      </c>
      <c r="BE48" s="1">
        <v>350408.73769896448</v>
      </c>
      <c r="BF48" s="13">
        <f t="shared" si="130"/>
        <v>1.399118978793612E-2</v>
      </c>
      <c r="BG48">
        <v>227</v>
      </c>
      <c r="BH48" s="1">
        <v>353441.20731366298</v>
      </c>
      <c r="BI48" s="13">
        <f t="shared" si="123"/>
        <v>8.6540924595996938E-3</v>
      </c>
      <c r="BJ48">
        <v>196</v>
      </c>
      <c r="BK48" s="1">
        <v>354516.64718469832</v>
      </c>
      <c r="BL48" s="13">
        <f t="shared" si="131"/>
        <v>3.0427687795919756E-3</v>
      </c>
      <c r="BM48" s="1">
        <v>354800.53059636807</v>
      </c>
      <c r="BN48" s="109">
        <f t="shared" si="132"/>
        <v>8.0076186527255899E-4</v>
      </c>
      <c r="BO48">
        <v>182</v>
      </c>
      <c r="BP48" s="13">
        <f t="shared" si="133"/>
        <v>-7.1428571428571397E-2</v>
      </c>
      <c r="BQ48" s="1">
        <v>359147.99525048479</v>
      </c>
      <c r="BR48" s="13">
        <f t="shared" si="124"/>
        <v>1.2253264240640327E-2</v>
      </c>
      <c r="BS48">
        <v>195</v>
      </c>
      <c r="BT48" s="13">
        <f t="shared" si="125"/>
        <v>7.1428571428571397E-2</v>
      </c>
      <c r="BU48" s="1">
        <v>385193.18528278201</v>
      </c>
      <c r="BV48" s="13">
        <f t="shared" si="134"/>
        <v>7.2519380246386156E-2</v>
      </c>
      <c r="BW48">
        <v>169</v>
      </c>
      <c r="BX48" s="13">
        <f t="shared" si="135"/>
        <v>-0.1333333333333333</v>
      </c>
      <c r="BY48" s="1">
        <v>384554.6267628654</v>
      </c>
      <c r="BZ48" s="13">
        <f t="shared" si="136"/>
        <v>-1.6577617266199107E-3</v>
      </c>
      <c r="CA48">
        <v>161</v>
      </c>
      <c r="CB48" s="13">
        <f t="shared" si="137"/>
        <v>-4.7337278106508895E-2</v>
      </c>
      <c r="CC48" s="1">
        <v>377257.59294605593</v>
      </c>
      <c r="CD48" s="13">
        <f t="shared" si="138"/>
        <v>-1.8975285457452529E-2</v>
      </c>
      <c r="CE48">
        <v>187</v>
      </c>
      <c r="CF48" s="13">
        <f t="shared" si="139"/>
        <v>0.16149068322981375</v>
      </c>
      <c r="CG48" s="1">
        <v>375652.20006680518</v>
      </c>
      <c r="CH48" s="13">
        <f t="shared" si="140"/>
        <v>-4.2554289410426938E-3</v>
      </c>
      <c r="CI48">
        <v>219</v>
      </c>
      <c r="CJ48" s="13">
        <f t="shared" si="141"/>
        <v>0.17112299465240643</v>
      </c>
      <c r="CK48" s="1">
        <v>366800.52483833651</v>
      </c>
      <c r="CL48" s="13">
        <f t="shared" si="142"/>
        <v>-2.3563485657463246E-2</v>
      </c>
      <c r="CM48">
        <v>235</v>
      </c>
      <c r="CN48" s="13">
        <f t="shared" si="143"/>
        <v>7.3059360730593603E-2</v>
      </c>
      <c r="CO48" s="1">
        <v>368328.14544130338</v>
      </c>
      <c r="CP48" s="13">
        <v>4.1647176040442435E-3</v>
      </c>
      <c r="CQ48">
        <v>224</v>
      </c>
      <c r="CR48" s="13">
        <v>-4.6808510638297829E-2</v>
      </c>
      <c r="CS48" s="1">
        <v>373914.04537742218</v>
      </c>
      <c r="CT48" s="13">
        <f t="shared" si="24"/>
        <v>1.5165552796477799E-2</v>
      </c>
      <c r="CU48">
        <v>249</v>
      </c>
      <c r="CV48" s="13">
        <f t="shared" si="25"/>
        <v>0.11160714285714279</v>
      </c>
      <c r="CW48" s="1">
        <v>368337.92281869362</v>
      </c>
      <c r="CX48" s="13">
        <f t="shared" si="26"/>
        <v>-1.4912845953941378E-2</v>
      </c>
      <c r="CY48">
        <v>265</v>
      </c>
      <c r="CZ48" s="13">
        <f t="shared" si="27"/>
        <v>6.425702811244971E-2</v>
      </c>
      <c r="DA48" s="1">
        <v>368888.43660766468</v>
      </c>
      <c r="DB48" s="13">
        <f t="shared" si="28"/>
        <v>1.4945889490776132E-3</v>
      </c>
      <c r="DC48">
        <v>269</v>
      </c>
      <c r="DD48" s="13">
        <f t="shared" si="29"/>
        <v>1.5094339622641506E-2</v>
      </c>
      <c r="DE48" s="1">
        <v>366894.73863847309</v>
      </c>
      <c r="DF48" s="13">
        <f t="shared" si="30"/>
        <v>-5.4046095549262763E-3</v>
      </c>
      <c r="DG48" s="1">
        <v>273</v>
      </c>
      <c r="DH48" s="13">
        <f t="shared" si="31"/>
        <v>1.4869888475836479E-2</v>
      </c>
      <c r="DI48" s="1">
        <v>362662.20945121662</v>
      </c>
      <c r="DJ48" s="13">
        <f t="shared" si="32"/>
        <v>-1.1536085807507535E-2</v>
      </c>
      <c r="DK48" s="1">
        <v>253</v>
      </c>
      <c r="DL48" s="13">
        <f t="shared" si="33"/>
        <v>-7.3260073260073222E-2</v>
      </c>
      <c r="DM48" s="1">
        <v>366288.80108220252</v>
      </c>
      <c r="DN48" s="13">
        <f t="shared" si="34"/>
        <v>9.9999160002739451E-3</v>
      </c>
      <c r="DO48" s="1">
        <v>249</v>
      </c>
      <c r="DP48" s="13">
        <f t="shared" si="35"/>
        <v>-1.5810276679841917E-2</v>
      </c>
      <c r="DQ48" s="1">
        <v>363756.43334382778</v>
      </c>
      <c r="DR48" s="13">
        <f t="shared" si="36"/>
        <v>-6.9135822086092702E-3</v>
      </c>
      <c r="DS48">
        <v>270</v>
      </c>
      <c r="DT48" s="13">
        <f t="shared" si="37"/>
        <v>8.43373493975903E-2</v>
      </c>
      <c r="DU48" s="1">
        <v>361895.44470637297</v>
      </c>
      <c r="DV48" s="13">
        <f t="shared" si="38"/>
        <v>-5.1160294825515207E-3</v>
      </c>
      <c r="DW48">
        <v>287</v>
      </c>
      <c r="DX48" s="13">
        <f t="shared" si="39"/>
        <v>6.2962962962962887E-2</v>
      </c>
      <c r="DY48" s="1">
        <v>371189.95130077167</v>
      </c>
      <c r="DZ48" s="13">
        <f t="shared" si="40"/>
        <v>2.5682850476164143E-2</v>
      </c>
      <c r="EA48" s="1">
        <v>274</v>
      </c>
      <c r="EB48" s="13">
        <f t="shared" si="41"/>
        <v>-4.5296167247386721E-2</v>
      </c>
      <c r="EC48" s="1">
        <v>380537.28920015279</v>
      </c>
      <c r="ED48" s="13">
        <f t="shared" si="42"/>
        <v>2.5182087679434639E-2</v>
      </c>
      <c r="EE48" s="1">
        <f>IFERROR(VLOOKUP($A48,[1]Москва_продажа_районы!$C$2:$F$148,2,0),"")</f>
        <v>276</v>
      </c>
      <c r="EF48" s="13">
        <v>7.2992700729928028E-3</v>
      </c>
      <c r="EG48" s="1">
        <v>397411.00820992811</v>
      </c>
      <c r="EH48" s="13">
        <f t="shared" si="43"/>
        <v>4.4341827959204716E-2</v>
      </c>
      <c r="EI48" s="1">
        <f>IFERROR(VLOOKUP($A48,[2]Москва_продажа_районы!$C$2:$F$150,2,0),"")</f>
        <v>293</v>
      </c>
      <c r="EJ48" s="13">
        <v>6.1594202898550776E-2</v>
      </c>
      <c r="EK48" s="1">
        <v>406693.10690957919</v>
      </c>
      <c r="EL48" s="13">
        <f t="shared" si="44"/>
        <v>2.3356420702739911E-2</v>
      </c>
      <c r="EM48">
        <v>249</v>
      </c>
      <c r="EN48" s="13">
        <f t="shared" si="45"/>
        <v>-0.15017064846416384</v>
      </c>
      <c r="EO48" s="1">
        <v>424414.85908820003</v>
      </c>
      <c r="EP48" s="13">
        <f t="shared" si="46"/>
        <v>4.35752459963894E-2</v>
      </c>
      <c r="EQ48">
        <v>227</v>
      </c>
      <c r="ER48" s="13">
        <f t="shared" si="47"/>
        <v>-8.8353413654618462E-2</v>
      </c>
      <c r="ES48" s="183">
        <v>412875.57171050651</v>
      </c>
      <c r="ET48" s="13">
        <f t="shared" si="48"/>
        <v>-2.7188697875668577E-2</v>
      </c>
      <c r="EU48">
        <v>225</v>
      </c>
      <c r="EV48" s="13">
        <f t="shared" si="49"/>
        <v>-8.8105726872246271E-3</v>
      </c>
      <c r="EW48" s="183">
        <v>413771.7169775762</v>
      </c>
      <c r="EX48" s="13">
        <f t="shared" si="50"/>
        <v>2.1704971872205103E-3</v>
      </c>
      <c r="EY48">
        <v>233</v>
      </c>
      <c r="EZ48" s="13">
        <f t="shared" si="51"/>
        <v>3.5555555555555562E-2</v>
      </c>
      <c r="FA48" s="1">
        <v>407345.95574373682</v>
      </c>
      <c r="FB48" s="13">
        <f t="shared" si="52"/>
        <v>-1.5529725619664814E-2</v>
      </c>
      <c r="FC48" s="1">
        <v>229</v>
      </c>
      <c r="FD48" s="13">
        <f t="shared" si="53"/>
        <v>-1.7167381974248941E-2</v>
      </c>
      <c r="FE48" s="1">
        <v>399600.40004537877</v>
      </c>
      <c r="FF48" s="13">
        <f t="shared" si="54"/>
        <v>-1.9014686629737376E-2</v>
      </c>
      <c r="FG48" s="1">
        <v>224</v>
      </c>
      <c r="FH48" s="13">
        <f t="shared" si="55"/>
        <v>-2.183406113537123E-2</v>
      </c>
      <c r="FI48" s="1">
        <v>394578.66173904011</v>
      </c>
      <c r="FJ48" s="13">
        <f t="shared" si="56"/>
        <v>-1.2566900097618516E-2</v>
      </c>
      <c r="FK48" s="1">
        <v>223</v>
      </c>
      <c r="FL48" s="13">
        <f t="shared" si="57"/>
        <v>-4.4642857142856984E-3</v>
      </c>
      <c r="FM48" s="1">
        <v>395050.64592209598</v>
      </c>
      <c r="FN48" s="13">
        <f t="shared" si="58"/>
        <v>1.1961725983247185E-3</v>
      </c>
      <c r="FO48" s="1">
        <v>227</v>
      </c>
      <c r="FP48" s="13">
        <f t="shared" si="59"/>
        <v>1.7937219730941756E-2</v>
      </c>
      <c r="FQ48" s="1">
        <v>393678.403654781</v>
      </c>
      <c r="FR48" s="13">
        <f t="shared" si="60"/>
        <v>-3.4735856819371191E-3</v>
      </c>
      <c r="FS48">
        <v>242</v>
      </c>
      <c r="FT48" s="13">
        <f t="shared" si="61"/>
        <v>6.6079295154185091E-2</v>
      </c>
      <c r="FU48" s="1">
        <v>396262.61764757329</v>
      </c>
      <c r="FV48" s="13">
        <f t="shared" si="62"/>
        <v>6.5642767517886114E-3</v>
      </c>
      <c r="FW48" s="1">
        <v>250</v>
      </c>
      <c r="FX48" s="13">
        <f t="shared" si="63"/>
        <v>3.3057851239669311E-2</v>
      </c>
      <c r="FY48" s="1">
        <v>398927.37861306482</v>
      </c>
      <c r="FZ48" s="13">
        <f t="shared" si="64"/>
        <v>6.72473467548107E-3</v>
      </c>
      <c r="GA48" s="1">
        <v>262</v>
      </c>
      <c r="GB48" s="13">
        <f t="shared" si="65"/>
        <v>4.8000000000000043E-2</v>
      </c>
      <c r="GC48" s="1">
        <v>404988.10122127022</v>
      </c>
      <c r="GD48" s="13">
        <f t="shared" si="66"/>
        <v>1.5192546145307073E-2</v>
      </c>
      <c r="GE48" s="1">
        <v>266</v>
      </c>
      <c r="GF48" s="13">
        <f t="shared" si="67"/>
        <v>1.5267175572519109E-2</v>
      </c>
      <c r="GG48" s="1">
        <f>IFERROR(VLOOKUP(A48,[3]Москва_продажа_районы!$C$2:$F$149,3,0),"")</f>
        <v>409050.8249194604</v>
      </c>
      <c r="GH48" s="13">
        <v>1.0031711267414423E-2</v>
      </c>
      <c r="GI48" s="1">
        <v>274</v>
      </c>
      <c r="GJ48" s="13">
        <f t="shared" si="68"/>
        <v>3.007518796992481E-2</v>
      </c>
      <c r="GK48" s="1">
        <v>404561.58545226889</v>
      </c>
      <c r="GL48" s="13">
        <f t="shared" si="69"/>
        <v>-1.0974771822243379E-2</v>
      </c>
      <c r="GM48" s="1">
        <v>257</v>
      </c>
      <c r="GN48" s="13">
        <f t="shared" si="70"/>
        <v>-6.2043795620437936E-2</v>
      </c>
      <c r="GO48" s="1">
        <v>407965.62785150902</v>
      </c>
      <c r="GP48" s="13">
        <f t="shared" si="71"/>
        <v>8.4141513224362807E-3</v>
      </c>
      <c r="GQ48" s="1">
        <v>270.71000000000004</v>
      </c>
      <c r="GR48" s="13">
        <f t="shared" si="72"/>
        <v>5.3346303501945691E-2</v>
      </c>
      <c r="GS48" s="1">
        <v>415475.18755917548</v>
      </c>
      <c r="GT48" s="13">
        <f t="shared" si="144"/>
        <v>1.8407334331606462E-2</v>
      </c>
      <c r="GU48">
        <v>257</v>
      </c>
      <c r="GV48" s="13">
        <f t="shared" si="145"/>
        <v>-5.0644601233792774E-2</v>
      </c>
      <c r="GW48">
        <v>427252.90555380657</v>
      </c>
      <c r="GX48" s="13">
        <f t="shared" si="73"/>
        <v>2.834758451839825E-2</v>
      </c>
      <c r="GY48">
        <v>242</v>
      </c>
      <c r="GZ48" s="13">
        <f t="shared" si="74"/>
        <v>-5.8365758754863828E-2</v>
      </c>
      <c r="HA48">
        <v>435070.10690057848</v>
      </c>
      <c r="HB48" s="13">
        <v>1.8296426414325273E-2</v>
      </c>
      <c r="HC48">
        <v>230</v>
      </c>
      <c r="HD48" s="13">
        <v>-4.9586776859504078E-2</v>
      </c>
      <c r="HE48">
        <v>430231.63982999622</v>
      </c>
      <c r="HF48" s="13">
        <v>-1.1121120467345591E-2</v>
      </c>
      <c r="HG48">
        <v>233</v>
      </c>
      <c r="HH48" s="13">
        <v>1.304347826086949E-2</v>
      </c>
      <c r="HI48">
        <f>VLOOKUP(A48,[4]Москва_продажа_районы!$C$4:$F$151,3,0)</f>
        <v>430155.49991469632</v>
      </c>
      <c r="HJ48" s="13">
        <f t="shared" si="75"/>
        <v>-1.7697423492601949E-4</v>
      </c>
      <c r="HK48">
        <f>VLOOKUP(A48,[4]Москва_продажа_районы!$C$4:$F$151,2,0)</f>
        <v>246</v>
      </c>
      <c r="HL48" s="13">
        <f t="shared" si="76"/>
        <v>5.579399141630903E-2</v>
      </c>
      <c r="HM48" s="1">
        <f>VLOOKUP(A48,Лист3!$C$4:$F$149,3,0)</f>
        <v>426556.36392129329</v>
      </c>
      <c r="HN48" s="13">
        <f t="shared" si="77"/>
        <v>-8.3670579455958904E-3</v>
      </c>
      <c r="HO48">
        <f>VLOOKUP(A48,Лист3!$C$4:$F$149,2,0)</f>
        <v>244</v>
      </c>
      <c r="HP48" s="13">
        <f t="shared" si="78"/>
        <v>-8.1300813008130524E-3</v>
      </c>
      <c r="HQ48" s="1">
        <v>428893.21257800772</v>
      </c>
      <c r="HR48" s="13">
        <v>5.4784053278023048E-3</v>
      </c>
      <c r="HS48">
        <v>233</v>
      </c>
      <c r="HT48" s="13">
        <v>-4.5081967213114749E-2</v>
      </c>
      <c r="HU48" s="34">
        <v>430297.08189434267</v>
      </c>
      <c r="HV48" s="13">
        <v>3.2732374287214316E-3</v>
      </c>
      <c r="HW48">
        <v>214</v>
      </c>
      <c r="HX48" s="13">
        <v>-8.1545064377682386E-2</v>
      </c>
      <c r="HY48">
        <v>433429.70707375248</v>
      </c>
      <c r="HZ48" s="13">
        <v>7.2801450700494819E-3</v>
      </c>
      <c r="IA48">
        <v>231</v>
      </c>
      <c r="IB48" s="13">
        <v>7.9439252336448662E-2</v>
      </c>
      <c r="IC48" s="34">
        <v>432196.75223280338</v>
      </c>
      <c r="ID48" s="13">
        <v>-2.8446477498582645E-3</v>
      </c>
      <c r="IE48">
        <v>237</v>
      </c>
      <c r="IF48" s="13">
        <v>2.5974025974025983E-2</v>
      </c>
    </row>
    <row r="49" spans="1:240" x14ac:dyDescent="0.3">
      <c r="A49" s="23" t="s">
        <v>62</v>
      </c>
      <c r="B49" s="22">
        <v>194321.15402534741</v>
      </c>
      <c r="C49">
        <v>288</v>
      </c>
      <c r="D49" s="22">
        <v>196019.20066594967</v>
      </c>
      <c r="E49">
        <v>279</v>
      </c>
      <c r="F49" s="22">
        <v>198471.85278615388</v>
      </c>
      <c r="G49">
        <v>195</v>
      </c>
      <c r="H49" s="22">
        <v>198805.81775088533</v>
      </c>
      <c r="I49">
        <v>199</v>
      </c>
      <c r="J49" s="22">
        <v>199668.64474694914</v>
      </c>
      <c r="K49">
        <v>235</v>
      </c>
      <c r="L49" s="22">
        <v>201745.8022644381</v>
      </c>
      <c r="M49">
        <v>227</v>
      </c>
      <c r="N49" s="22">
        <v>203741.0852854189</v>
      </c>
      <c r="O49" s="28">
        <v>220</v>
      </c>
      <c r="P49" s="39">
        <v>206380.19560719005</v>
      </c>
      <c r="Q49" s="28">
        <v>194</v>
      </c>
      <c r="R49" s="39">
        <v>211340.30710240183</v>
      </c>
      <c r="S49">
        <v>204</v>
      </c>
      <c r="T49" s="46">
        <v>218077.51829886786</v>
      </c>
      <c r="U49" s="47">
        <v>179</v>
      </c>
      <c r="V49" s="56">
        <v>223557.35925411139</v>
      </c>
      <c r="W49" s="47">
        <v>164</v>
      </c>
      <c r="X49" s="56">
        <v>228254.9264460252</v>
      </c>
      <c r="Y49" s="47">
        <v>173</v>
      </c>
      <c r="Z49" s="34">
        <v>230329.5036624301</v>
      </c>
      <c r="AA49" s="81">
        <v>195</v>
      </c>
      <c r="AB49" s="1">
        <v>239473.73355138549</v>
      </c>
      <c r="AC49">
        <v>208</v>
      </c>
      <c r="AD49" s="1">
        <v>244381.74858931801</v>
      </c>
      <c r="AE49">
        <v>229</v>
      </c>
      <c r="AF49" s="13">
        <f t="shared" si="19"/>
        <v>7.0652679415908581E-2</v>
      </c>
      <c r="AG49" s="85">
        <f t="shared" si="146"/>
        <v>6.3470066518847013E-2</v>
      </c>
      <c r="AH49" s="35">
        <f t="shared" si="147"/>
        <v>9.5205099778270519</v>
      </c>
      <c r="AI49" s="87">
        <f t="shared" si="148"/>
        <v>238.52050997782706</v>
      </c>
      <c r="AL49" s="1">
        <v>247427.3955362346</v>
      </c>
      <c r="AM49">
        <v>231</v>
      </c>
      <c r="AN49" s="13">
        <f t="shared" si="149"/>
        <v>6.0031185031185035E-2</v>
      </c>
      <c r="AQ49" s="35">
        <f t="shared" si="150"/>
        <v>8.5844594594594597</v>
      </c>
      <c r="AR49" s="87">
        <f t="shared" si="151"/>
        <v>239.58445945945945</v>
      </c>
      <c r="AS49">
        <v>217</v>
      </c>
      <c r="AT49" s="1">
        <v>247510.00381933831</v>
      </c>
      <c r="AU49" s="13">
        <f t="shared" si="152"/>
        <v>3.3386878168717438E-4</v>
      </c>
      <c r="AV49" s="35">
        <v>217</v>
      </c>
      <c r="AW49" s="1">
        <v>254070.00565260669</v>
      </c>
      <c r="AX49" s="35">
        <v>235.43175033921301</v>
      </c>
      <c r="AY49" s="121">
        <v>261750.6980045221</v>
      </c>
      <c r="AZ49" s="122">
        <v>191</v>
      </c>
      <c r="BA49" s="119">
        <v>268653.48890355439</v>
      </c>
      <c r="BB49">
        <v>213</v>
      </c>
      <c r="BC49" s="125">
        <f t="shared" si="153"/>
        <v>2.637162365432566E-2</v>
      </c>
      <c r="BD49">
        <v>250</v>
      </c>
      <c r="BE49" s="1">
        <v>273698.21013216348</v>
      </c>
      <c r="BF49" s="13">
        <f t="shared" si="130"/>
        <v>1.8777799049615629E-2</v>
      </c>
      <c r="BG49">
        <v>283</v>
      </c>
      <c r="BH49" s="1">
        <v>274998.32188213657</v>
      </c>
      <c r="BI49" s="13">
        <f t="shared" si="123"/>
        <v>4.7501653348236417E-3</v>
      </c>
      <c r="BJ49">
        <v>224</v>
      </c>
      <c r="BK49" s="1">
        <v>275019.38134141162</v>
      </c>
      <c r="BL49" s="13">
        <f t="shared" si="131"/>
        <v>7.6580319221308812E-5</v>
      </c>
      <c r="BM49" s="1">
        <v>276514.40737372008</v>
      </c>
      <c r="BN49" s="109">
        <f t="shared" si="132"/>
        <v>5.4360751777435823E-3</v>
      </c>
      <c r="BO49">
        <v>197</v>
      </c>
      <c r="BP49" s="13">
        <f t="shared" si="133"/>
        <v>-0.1205357142857143</v>
      </c>
      <c r="BQ49" s="1">
        <v>279823.79885793308</v>
      </c>
      <c r="BR49" s="13">
        <f t="shared" si="124"/>
        <v>1.1968242507307103E-2</v>
      </c>
      <c r="BS49">
        <v>218</v>
      </c>
      <c r="BT49" s="13">
        <f t="shared" si="125"/>
        <v>0.10659898477157359</v>
      </c>
      <c r="BU49" s="1">
        <v>290162.70723386091</v>
      </c>
      <c r="BV49" s="13">
        <f t="shared" si="134"/>
        <v>3.6947923722445486E-2</v>
      </c>
      <c r="BW49">
        <v>193</v>
      </c>
      <c r="BX49" s="13">
        <f t="shared" si="135"/>
        <v>-0.11467889908256879</v>
      </c>
      <c r="BY49" s="1">
        <v>293697.71242836112</v>
      </c>
      <c r="BZ49" s="13">
        <f t="shared" si="136"/>
        <v>1.2182837788493384E-2</v>
      </c>
      <c r="CA49">
        <v>153</v>
      </c>
      <c r="CB49" s="13">
        <f t="shared" si="137"/>
        <v>-0.20725388601036265</v>
      </c>
      <c r="CC49" s="1">
        <v>293434.49669521907</v>
      </c>
      <c r="CD49" s="13">
        <f t="shared" si="138"/>
        <v>-8.9621308578036185E-4</v>
      </c>
      <c r="CE49">
        <v>182</v>
      </c>
      <c r="CF49" s="13">
        <f t="shared" si="139"/>
        <v>0.18954248366013071</v>
      </c>
      <c r="CG49" s="1">
        <v>287834.3826522787</v>
      </c>
      <c r="CH49" s="13">
        <f t="shared" si="140"/>
        <v>-1.908471603036177E-2</v>
      </c>
      <c r="CI49">
        <v>222</v>
      </c>
      <c r="CJ49" s="13">
        <f t="shared" si="141"/>
        <v>0.21978021978021989</v>
      </c>
      <c r="CK49" s="1">
        <v>283712.33501385711</v>
      </c>
      <c r="CL49" s="13">
        <f t="shared" si="142"/>
        <v>-1.4320900791762847E-2</v>
      </c>
      <c r="CM49">
        <v>251</v>
      </c>
      <c r="CN49" s="13">
        <f t="shared" si="143"/>
        <v>0.13063063063063063</v>
      </c>
      <c r="CO49" s="1">
        <v>281998.52453776472</v>
      </c>
      <c r="CP49" s="13">
        <v>-6.0406625464792807E-3</v>
      </c>
      <c r="CQ49">
        <v>270</v>
      </c>
      <c r="CR49" s="13">
        <v>7.5697211155378419E-2</v>
      </c>
      <c r="CS49" s="1">
        <v>281242.42283567582</v>
      </c>
      <c r="CT49" s="13">
        <f t="shared" si="24"/>
        <v>-2.6812257380717242E-3</v>
      </c>
      <c r="CU49">
        <v>298</v>
      </c>
      <c r="CV49" s="13">
        <f t="shared" si="25"/>
        <v>0.10370370370370363</v>
      </c>
      <c r="CW49" s="1">
        <v>277182.46832123288</v>
      </c>
      <c r="CX49" s="13">
        <f t="shared" si="26"/>
        <v>-1.443578274396784E-2</v>
      </c>
      <c r="CY49">
        <v>299</v>
      </c>
      <c r="CZ49" s="13">
        <f t="shared" si="27"/>
        <v>3.3557046979866278E-3</v>
      </c>
      <c r="DA49" s="1">
        <v>276175.90066136449</v>
      </c>
      <c r="DB49" s="13">
        <f t="shared" si="28"/>
        <v>-3.6314261358761923E-3</v>
      </c>
      <c r="DC49">
        <v>247</v>
      </c>
      <c r="DD49" s="13">
        <f t="shared" si="29"/>
        <v>-0.17391304347826086</v>
      </c>
      <c r="DE49" s="1">
        <v>275484.99526238482</v>
      </c>
      <c r="DF49" s="13">
        <f t="shared" si="30"/>
        <v>-2.5016860534360363E-3</v>
      </c>
      <c r="DG49" s="1">
        <v>241</v>
      </c>
      <c r="DH49" s="13">
        <f t="shared" si="31"/>
        <v>-2.4291497975708509E-2</v>
      </c>
      <c r="DI49" s="1">
        <v>275037.93719690171</v>
      </c>
      <c r="DJ49" s="13">
        <f t="shared" si="32"/>
        <v>-1.6228036850330918E-3</v>
      </c>
      <c r="DK49" s="1">
        <v>244</v>
      </c>
      <c r="DL49" s="13">
        <f t="shared" si="33"/>
        <v>1.2448132780082943E-2</v>
      </c>
      <c r="DM49" s="1">
        <v>275158.78332823003</v>
      </c>
      <c r="DN49" s="13">
        <f t="shared" si="34"/>
        <v>4.393798635924373E-4</v>
      </c>
      <c r="DO49" s="1">
        <v>284</v>
      </c>
      <c r="DP49" s="13">
        <f t="shared" si="35"/>
        <v>0.16393442622950816</v>
      </c>
      <c r="DQ49" s="1">
        <v>277121.221289001</v>
      </c>
      <c r="DR49" s="13">
        <f t="shared" si="36"/>
        <v>7.1320200541447054E-3</v>
      </c>
      <c r="DS49">
        <v>290</v>
      </c>
      <c r="DT49" s="13">
        <f t="shared" si="37"/>
        <v>2.1126760563380254E-2</v>
      </c>
      <c r="DU49" s="1">
        <v>277648.73109852982</v>
      </c>
      <c r="DV49" s="13">
        <f t="shared" si="38"/>
        <v>1.9035345148783467E-3</v>
      </c>
      <c r="DW49">
        <v>258</v>
      </c>
      <c r="DX49" s="13">
        <f t="shared" si="39"/>
        <v>-0.1103448275862069</v>
      </c>
      <c r="DY49" s="1">
        <v>280557.90824763972</v>
      </c>
      <c r="DZ49" s="13">
        <f t="shared" si="40"/>
        <v>1.0477905436843127E-2</v>
      </c>
      <c r="EA49" s="1">
        <v>239</v>
      </c>
      <c r="EB49" s="13">
        <f t="shared" si="41"/>
        <v>-7.3643410852713198E-2</v>
      </c>
      <c r="EC49" s="1">
        <v>278147.23368876131</v>
      </c>
      <c r="ED49" s="13">
        <f t="shared" si="42"/>
        <v>-8.5924313234848615E-3</v>
      </c>
      <c r="EE49" s="1">
        <f>IFERROR(VLOOKUP($A49,[1]Москва_продажа_районы!$C$2:$F$148,2,0),"")</f>
        <v>238</v>
      </c>
      <c r="EF49" s="13">
        <v>-4.1841004184099972E-3</v>
      </c>
      <c r="EG49" s="1">
        <v>281632.61204548727</v>
      </c>
      <c r="EH49" s="13">
        <f t="shared" si="43"/>
        <v>1.2530695741615805E-2</v>
      </c>
      <c r="EI49" s="1">
        <f>IFERROR(VLOOKUP($A49,[2]Москва_продажа_районы!$C$2:$F$150,2,0),"")</f>
        <v>212</v>
      </c>
      <c r="EJ49" s="13">
        <v>-0.10924369747899154</v>
      </c>
      <c r="EK49" s="1">
        <v>289697.39987286669</v>
      </c>
      <c r="EL49" s="13">
        <f t="shared" si="44"/>
        <v>2.8635845006745431E-2</v>
      </c>
      <c r="EM49">
        <v>198</v>
      </c>
      <c r="EN49" s="13">
        <f t="shared" si="45"/>
        <v>-6.6037735849056589E-2</v>
      </c>
      <c r="EO49" s="1">
        <v>302434.16569865879</v>
      </c>
      <c r="EP49" s="13">
        <f t="shared" si="46"/>
        <v>4.39657581717392E-2</v>
      </c>
      <c r="EQ49">
        <v>210</v>
      </c>
      <c r="ER49" s="13">
        <f t="shared" si="47"/>
        <v>6.0606060606060552E-2</v>
      </c>
      <c r="ES49" s="183">
        <v>303899.12367280631</v>
      </c>
      <c r="ET49" s="13">
        <f t="shared" si="48"/>
        <v>4.8438904736947119E-3</v>
      </c>
      <c r="EU49">
        <v>240</v>
      </c>
      <c r="EV49" s="13">
        <f t="shared" si="49"/>
        <v>0.14285714285714279</v>
      </c>
      <c r="EW49" s="183">
        <v>304747.66918806668</v>
      </c>
      <c r="EX49" s="13">
        <f t="shared" si="50"/>
        <v>2.792194676329407E-3</v>
      </c>
      <c r="EY49">
        <v>248</v>
      </c>
      <c r="EZ49" s="13">
        <f t="shared" si="51"/>
        <v>3.3333333333333437E-2</v>
      </c>
      <c r="FA49" s="1">
        <v>307652.09125300538</v>
      </c>
      <c r="FB49" s="13">
        <f t="shared" si="52"/>
        <v>9.5305800785183692E-3</v>
      </c>
      <c r="FC49" s="1">
        <v>223</v>
      </c>
      <c r="FD49" s="13">
        <f t="shared" si="53"/>
        <v>-0.10080645161290325</v>
      </c>
      <c r="FE49" s="1">
        <v>312438.17929316242</v>
      </c>
      <c r="FF49" s="13">
        <f t="shared" si="54"/>
        <v>1.5556819460138538E-2</v>
      </c>
      <c r="FG49" s="1">
        <v>221</v>
      </c>
      <c r="FH49" s="13">
        <f t="shared" si="55"/>
        <v>-8.9686098654708779E-3</v>
      </c>
      <c r="FI49" s="1">
        <v>313418.97001841222</v>
      </c>
      <c r="FJ49" s="13">
        <f t="shared" si="56"/>
        <v>3.1391513273719696E-3</v>
      </c>
      <c r="FK49" s="1">
        <v>252</v>
      </c>
      <c r="FL49" s="13">
        <f t="shared" si="57"/>
        <v>0.14027149321266963</v>
      </c>
      <c r="FM49" s="1">
        <v>315325.54659501958</v>
      </c>
      <c r="FN49" s="13">
        <f t="shared" si="58"/>
        <v>6.0831562827716734E-3</v>
      </c>
      <c r="FO49" s="1">
        <v>237</v>
      </c>
      <c r="FP49" s="13">
        <f t="shared" si="59"/>
        <v>-5.9523809523809534E-2</v>
      </c>
      <c r="FQ49" s="1">
        <v>312481.32506414218</v>
      </c>
      <c r="FR49" s="13">
        <f t="shared" si="60"/>
        <v>-9.0199527491195974E-3</v>
      </c>
      <c r="FS49">
        <v>233</v>
      </c>
      <c r="FT49" s="13">
        <f t="shared" si="61"/>
        <v>-1.6877637130801704E-2</v>
      </c>
      <c r="FU49" s="1">
        <v>310139.81781558163</v>
      </c>
      <c r="FV49" s="13">
        <f t="shared" si="62"/>
        <v>-7.4932709917301388E-3</v>
      </c>
      <c r="FW49" s="1">
        <v>227</v>
      </c>
      <c r="FX49" s="13">
        <f t="shared" si="63"/>
        <v>-2.5751072961373356E-2</v>
      </c>
      <c r="FY49" s="1">
        <v>305841.42109915859</v>
      </c>
      <c r="FZ49" s="13">
        <f t="shared" si="64"/>
        <v>-1.3859544855278738E-2</v>
      </c>
      <c r="GA49" s="1">
        <v>245</v>
      </c>
      <c r="GB49" s="13">
        <f t="shared" si="65"/>
        <v>7.9295154185021977E-2</v>
      </c>
      <c r="GC49" s="1">
        <v>306048.37146243692</v>
      </c>
      <c r="GD49" s="13">
        <f t="shared" si="66"/>
        <v>6.7665904289415657E-4</v>
      </c>
      <c r="GE49" s="1">
        <v>215</v>
      </c>
      <c r="GF49" s="13">
        <f t="shared" si="67"/>
        <v>-0.12244897959183676</v>
      </c>
      <c r="GG49" s="1">
        <f>IFERROR(VLOOKUP(A49,[3]Москва_продажа_районы!$C$2:$F$149,3,0),"")</f>
        <v>302859.98143408512</v>
      </c>
      <c r="GH49" s="13">
        <v>-1.0417928424569789E-2</v>
      </c>
      <c r="GI49" s="1">
        <v>223</v>
      </c>
      <c r="GJ49" s="13">
        <f t="shared" si="68"/>
        <v>3.7209302325581506E-2</v>
      </c>
      <c r="GK49" s="1">
        <v>304949.87414161168</v>
      </c>
      <c r="GL49" s="13">
        <f t="shared" si="69"/>
        <v>6.9005244523578924E-3</v>
      </c>
      <c r="GM49" s="1">
        <v>241</v>
      </c>
      <c r="GN49" s="13">
        <f t="shared" si="70"/>
        <v>8.0717488789237679E-2</v>
      </c>
      <c r="GO49" s="1">
        <v>305667.81104365567</v>
      </c>
      <c r="GP49" s="13">
        <f t="shared" si="71"/>
        <v>2.3542784008843132E-3</v>
      </c>
      <c r="GQ49" s="1">
        <v>231.12000000000003</v>
      </c>
      <c r="GR49" s="13">
        <f t="shared" si="72"/>
        <v>-4.0995850622406516E-2</v>
      </c>
      <c r="GS49" s="1">
        <v>304042.36623809038</v>
      </c>
      <c r="GT49" s="13">
        <f t="shared" si="144"/>
        <v>-5.3176839262709663E-3</v>
      </c>
      <c r="GU49">
        <v>242</v>
      </c>
      <c r="GV49" s="13">
        <f t="shared" si="145"/>
        <v>4.7075112495673199E-2</v>
      </c>
      <c r="GW49">
        <v>310449.89617295843</v>
      </c>
      <c r="GX49" s="13">
        <f t="shared" si="73"/>
        <v>2.1074464108894686E-2</v>
      </c>
      <c r="GY49">
        <v>203</v>
      </c>
      <c r="GZ49" s="13">
        <f t="shared" si="74"/>
        <v>-0.16115702479338845</v>
      </c>
      <c r="HA49">
        <v>311570.27819774637</v>
      </c>
      <c r="HB49" s="13">
        <v>3.6088980495705414E-3</v>
      </c>
      <c r="HC49">
        <v>205</v>
      </c>
      <c r="HD49" s="13">
        <v>9.8522167487684609E-3</v>
      </c>
      <c r="HE49">
        <v>320395.12735748902</v>
      </c>
      <c r="HF49" s="13">
        <v>2.8323783676637238E-2</v>
      </c>
      <c r="HG49">
        <v>215</v>
      </c>
      <c r="HH49" s="13">
        <v>4.8780487804878092E-2</v>
      </c>
      <c r="HI49">
        <f>VLOOKUP(A49,[4]Москва_продажа_районы!$C$4:$F$151,3,0)</f>
        <v>319965.3505969728</v>
      </c>
      <c r="HJ49" s="13">
        <f t="shared" si="75"/>
        <v>-1.3413960569902406E-3</v>
      </c>
      <c r="HK49">
        <f>VLOOKUP(A49,[4]Москва_продажа_районы!$C$4:$F$151,2,0)</f>
        <v>213</v>
      </c>
      <c r="HL49" s="13">
        <f t="shared" si="76"/>
        <v>-9.302325581395321E-3</v>
      </c>
      <c r="HM49" s="1">
        <f>VLOOKUP(A49,Лист3!$C$4:$F$149,3,0)</f>
        <v>322031.03268624278</v>
      </c>
      <c r="HN49" s="13">
        <f t="shared" si="77"/>
        <v>6.4559555758645359E-3</v>
      </c>
      <c r="HO49">
        <f>VLOOKUP(A49,Лист3!$C$4:$F$149,2,0)</f>
        <v>225</v>
      </c>
      <c r="HP49" s="13">
        <f t="shared" si="78"/>
        <v>5.6338028169014009E-2</v>
      </c>
      <c r="HQ49" s="1">
        <v>321159.91848719312</v>
      </c>
      <c r="HR49" s="13">
        <v>-2.7050628996317938E-3</v>
      </c>
      <c r="HS49">
        <v>217</v>
      </c>
      <c r="HT49" s="13">
        <v>-3.5555555555555562E-2</v>
      </c>
      <c r="HU49" s="34">
        <v>321485.81147516781</v>
      </c>
      <c r="HV49" s="13">
        <v>1.0147374227449379E-3</v>
      </c>
      <c r="HW49">
        <v>196</v>
      </c>
      <c r="HX49" s="13">
        <v>-9.6774193548387122E-2</v>
      </c>
      <c r="HY49">
        <v>324312.04305249109</v>
      </c>
      <c r="HZ49" s="13">
        <v>8.7911549326387117E-3</v>
      </c>
      <c r="IA49">
        <v>230</v>
      </c>
      <c r="IB49" s="13">
        <v>0.17346938775510212</v>
      </c>
      <c r="IC49" s="34">
        <v>325959.84438329423</v>
      </c>
      <c r="ID49" s="13">
        <v>5.0809131702100885E-3</v>
      </c>
      <c r="IE49">
        <v>228</v>
      </c>
      <c r="IF49" s="13">
        <v>-8.6956521739129933E-3</v>
      </c>
    </row>
    <row r="50" spans="1:240" x14ac:dyDescent="0.3">
      <c r="A50" s="23" t="s">
        <v>63</v>
      </c>
      <c r="B50" s="22">
        <v>233200.61347642046</v>
      </c>
      <c r="C50">
        <v>352</v>
      </c>
      <c r="D50" s="22">
        <v>228481.93981339011</v>
      </c>
      <c r="E50">
        <v>351</v>
      </c>
      <c r="F50" s="22">
        <v>228498.39958549605</v>
      </c>
      <c r="G50">
        <v>262</v>
      </c>
      <c r="H50" s="22">
        <v>227678.85887765509</v>
      </c>
      <c r="I50">
        <v>238</v>
      </c>
      <c r="J50" s="22">
        <v>225162.98291579555</v>
      </c>
      <c r="K50">
        <v>302</v>
      </c>
      <c r="L50" s="22">
        <v>223825.49285173314</v>
      </c>
      <c r="M50">
        <v>290</v>
      </c>
      <c r="N50" s="22">
        <v>228676.5648376685</v>
      </c>
      <c r="O50" s="28">
        <v>285</v>
      </c>
      <c r="P50" s="39">
        <v>234160.67527728152</v>
      </c>
      <c r="Q50" s="28">
        <v>262</v>
      </c>
      <c r="R50" s="39">
        <v>240726.4431138761</v>
      </c>
      <c r="S50">
        <v>257</v>
      </c>
      <c r="T50" s="46">
        <v>245740.0487704493</v>
      </c>
      <c r="U50" s="47">
        <v>226</v>
      </c>
      <c r="V50" s="56">
        <v>252626.36919320509</v>
      </c>
      <c r="W50" s="47">
        <v>187</v>
      </c>
      <c r="X50" s="56">
        <v>257293.23115451451</v>
      </c>
      <c r="Y50" s="47">
        <v>192</v>
      </c>
      <c r="Z50" s="34">
        <v>251065.54112622989</v>
      </c>
      <c r="AA50" s="81">
        <v>244</v>
      </c>
      <c r="AB50" s="1">
        <v>258472.49931010199</v>
      </c>
      <c r="AC50">
        <v>260</v>
      </c>
      <c r="AD50" s="1">
        <v>274729.95470376918</v>
      </c>
      <c r="AE50">
        <v>251</v>
      </c>
      <c r="AF50" s="13">
        <f t="shared" si="19"/>
        <v>6.7769849486569944E-2</v>
      </c>
      <c r="AG50" s="85">
        <f t="shared" si="146"/>
        <v>6.956762749445676E-2</v>
      </c>
      <c r="AH50" s="35">
        <f t="shared" si="147"/>
        <v>10.435144124168515</v>
      </c>
      <c r="AI50" s="87">
        <f t="shared" si="148"/>
        <v>261.43514412416852</v>
      </c>
      <c r="AL50" s="1">
        <v>273311.46979873191</v>
      </c>
      <c r="AM50">
        <v>240</v>
      </c>
      <c r="AN50" s="13">
        <f t="shared" si="149"/>
        <v>6.2370062370062374E-2</v>
      </c>
      <c r="AQ50" s="35">
        <f t="shared" si="150"/>
        <v>8.9189189189189193</v>
      </c>
      <c r="AR50" s="87">
        <f t="shared" si="151"/>
        <v>248.91891891891891</v>
      </c>
      <c r="AS50">
        <v>218</v>
      </c>
      <c r="AT50" s="1">
        <v>277050.57602009579</v>
      </c>
      <c r="AU50" s="13">
        <f t="shared" si="152"/>
        <v>1.3680751210761066E-2</v>
      </c>
      <c r="AV50" s="35">
        <v>220</v>
      </c>
      <c r="AW50" s="1">
        <v>286211.23011191702</v>
      </c>
      <c r="AX50" s="35">
        <v>238.68656716417911</v>
      </c>
      <c r="AY50" s="121">
        <v>291505.56235015992</v>
      </c>
      <c r="AZ50" s="122">
        <v>239</v>
      </c>
      <c r="BA50" s="119">
        <v>294183.4914390237</v>
      </c>
      <c r="BB50">
        <v>219</v>
      </c>
      <c r="BC50" s="125">
        <f t="shared" si="153"/>
        <v>9.186545420519332E-3</v>
      </c>
      <c r="BD50">
        <v>222</v>
      </c>
      <c r="BE50" s="1">
        <v>296267.97153315501</v>
      </c>
      <c r="BF50" s="13">
        <f t="shared" si="130"/>
        <v>7.0856460501400598E-3</v>
      </c>
      <c r="BG50">
        <v>217</v>
      </c>
      <c r="BH50" s="1">
        <v>303262.98873147147</v>
      </c>
      <c r="BI50" s="13">
        <f t="shared" si="123"/>
        <v>2.3610440109735675E-2</v>
      </c>
      <c r="BJ50">
        <v>202</v>
      </c>
      <c r="BK50" s="1">
        <v>307091.6164359008</v>
      </c>
      <c r="BL50" s="13">
        <f t="shared" si="131"/>
        <v>1.2624777327573611E-2</v>
      </c>
      <c r="BM50" s="1">
        <v>315920.99151366181</v>
      </c>
      <c r="BN50" s="109">
        <f t="shared" si="132"/>
        <v>2.8751599214053902E-2</v>
      </c>
      <c r="BO50">
        <v>206</v>
      </c>
      <c r="BP50" s="13">
        <f t="shared" si="133"/>
        <v>1.980198019801982E-2</v>
      </c>
      <c r="BQ50" s="1">
        <v>324211.6498707115</v>
      </c>
      <c r="BR50" s="13">
        <f t="shared" si="124"/>
        <v>2.6242822033847535E-2</v>
      </c>
      <c r="BS50">
        <v>237</v>
      </c>
      <c r="BT50" s="13">
        <f t="shared" si="125"/>
        <v>0.15048543689320382</v>
      </c>
      <c r="BU50" s="1">
        <v>339997.22782363679</v>
      </c>
      <c r="BV50" s="13">
        <f t="shared" si="134"/>
        <v>4.8689113914383464E-2</v>
      </c>
      <c r="BW50">
        <v>263</v>
      </c>
      <c r="BX50" s="13">
        <f t="shared" si="135"/>
        <v>0.10970464135021096</v>
      </c>
      <c r="BY50" s="1">
        <v>345072.86680008587</v>
      </c>
      <c r="BZ50" s="13">
        <f t="shared" si="136"/>
        <v>1.4928471649427344E-2</v>
      </c>
      <c r="CA50">
        <v>222</v>
      </c>
      <c r="CB50" s="13">
        <f t="shared" si="137"/>
        <v>-0.155893536121673</v>
      </c>
      <c r="CC50" s="1">
        <v>338923.14914202591</v>
      </c>
      <c r="CD50" s="13">
        <f t="shared" si="138"/>
        <v>-1.7821504527687826E-2</v>
      </c>
      <c r="CE50">
        <v>233</v>
      </c>
      <c r="CF50" s="13">
        <f t="shared" si="139"/>
        <v>4.9549549549549488E-2</v>
      </c>
      <c r="CG50" s="1">
        <v>328558.04246471851</v>
      </c>
      <c r="CH50" s="13">
        <f t="shared" si="140"/>
        <v>-3.0582468927089712E-2</v>
      </c>
      <c r="CI50">
        <v>254</v>
      </c>
      <c r="CJ50" s="13">
        <f t="shared" si="141"/>
        <v>9.0128755364806912E-2</v>
      </c>
      <c r="CK50" s="1">
        <v>322725.40846838237</v>
      </c>
      <c r="CL50" s="13">
        <f t="shared" si="142"/>
        <v>-1.7752218002584641E-2</v>
      </c>
      <c r="CM50">
        <v>284</v>
      </c>
      <c r="CN50" s="13">
        <f t="shared" si="143"/>
        <v>0.11811023622047245</v>
      </c>
      <c r="CO50" s="1">
        <v>318044.09233326238</v>
      </c>
      <c r="CP50" s="13">
        <v>-1.4505570408406943E-2</v>
      </c>
      <c r="CQ50">
        <v>273</v>
      </c>
      <c r="CR50" s="13">
        <v>-3.8732394366197131E-2</v>
      </c>
      <c r="CS50" s="1">
        <v>316564.72505648882</v>
      </c>
      <c r="CT50" s="13">
        <f t="shared" si="24"/>
        <v>-4.6514534067289004E-3</v>
      </c>
      <c r="CU50">
        <v>329</v>
      </c>
      <c r="CV50" s="13">
        <f t="shared" si="25"/>
        <v>0.20512820512820507</v>
      </c>
      <c r="CW50" s="1">
        <v>315951.18181995163</v>
      </c>
      <c r="CX50" s="13">
        <f t="shared" si="26"/>
        <v>-1.9381288816298081E-3</v>
      </c>
      <c r="CY50">
        <v>347</v>
      </c>
      <c r="CZ50" s="13">
        <f t="shared" si="27"/>
        <v>5.4711246200607855E-2</v>
      </c>
      <c r="DA50" s="1">
        <v>313292.65790291008</v>
      </c>
      <c r="DB50" s="13">
        <f t="shared" si="28"/>
        <v>-8.4143502857872976E-3</v>
      </c>
      <c r="DC50">
        <v>351</v>
      </c>
      <c r="DD50" s="13">
        <f t="shared" si="29"/>
        <v>1.1527377521613813E-2</v>
      </c>
      <c r="DE50" s="1">
        <v>309722.71266475652</v>
      </c>
      <c r="DF50" s="13">
        <f t="shared" si="30"/>
        <v>-1.1394921483477316E-2</v>
      </c>
      <c r="DG50" s="1">
        <v>330</v>
      </c>
      <c r="DH50" s="13">
        <f t="shared" si="31"/>
        <v>-5.9829059829059839E-2</v>
      </c>
      <c r="DI50" s="1">
        <v>311369.05415379629</v>
      </c>
      <c r="DJ50" s="13">
        <f t="shared" si="32"/>
        <v>5.3155336102901352E-3</v>
      </c>
      <c r="DK50" s="1">
        <v>303</v>
      </c>
      <c r="DL50" s="13">
        <f t="shared" si="33"/>
        <v>-8.181818181818179E-2</v>
      </c>
      <c r="DM50" s="1">
        <v>314395.77993716992</v>
      </c>
      <c r="DN50" s="13">
        <f t="shared" si="34"/>
        <v>9.7207019869052225E-3</v>
      </c>
      <c r="DO50" s="1">
        <v>327</v>
      </c>
      <c r="DP50" s="13">
        <f t="shared" si="35"/>
        <v>7.9207920792079278E-2</v>
      </c>
      <c r="DQ50" s="1">
        <v>315407.86358821922</v>
      </c>
      <c r="DR50" s="13">
        <f t="shared" si="36"/>
        <v>3.2191387914035641E-3</v>
      </c>
      <c r="DS50">
        <v>331</v>
      </c>
      <c r="DT50" s="13">
        <f t="shared" si="37"/>
        <v>1.2232415902140747E-2</v>
      </c>
      <c r="DU50" s="1">
        <v>314461.20248034282</v>
      </c>
      <c r="DV50" s="13">
        <f t="shared" si="38"/>
        <v>-3.0013871471267217E-3</v>
      </c>
      <c r="DW50">
        <v>343</v>
      </c>
      <c r="DX50" s="13">
        <f t="shared" si="39"/>
        <v>3.6253776435045237E-2</v>
      </c>
      <c r="DY50" s="1">
        <v>311818.44909926911</v>
      </c>
      <c r="DZ50" s="13">
        <f t="shared" si="40"/>
        <v>-8.4040681655757066E-3</v>
      </c>
      <c r="EA50" s="1">
        <v>325</v>
      </c>
      <c r="EB50" s="13">
        <f t="shared" si="41"/>
        <v>-5.2478134110787167E-2</v>
      </c>
      <c r="EC50" s="1">
        <v>312716.42092975689</v>
      </c>
      <c r="ED50" s="13">
        <f t="shared" si="42"/>
        <v>2.8797905739115226E-3</v>
      </c>
      <c r="EE50" s="1">
        <f>IFERROR(VLOOKUP($A50,[1]Москва_продажа_районы!$C$2:$F$148,2,0),"")</f>
        <v>293</v>
      </c>
      <c r="EF50" s="13">
        <v>-9.8461538461538489E-2</v>
      </c>
      <c r="EG50" s="1">
        <v>319604.20051327557</v>
      </c>
      <c r="EH50" s="13">
        <f t="shared" si="43"/>
        <v>2.2025640876293551E-2</v>
      </c>
      <c r="EI50" s="1">
        <f>IFERROR(VLOOKUP($A50,[2]Москва_продажа_районы!$C$2:$F$150,2,0),"")</f>
        <v>261</v>
      </c>
      <c r="EJ50" s="13">
        <v>-0.10921501706484638</v>
      </c>
      <c r="EK50" s="1">
        <v>331566.61266652233</v>
      </c>
      <c r="EL50" s="13">
        <f t="shared" si="44"/>
        <v>3.7428832706314363E-2</v>
      </c>
      <c r="EM50">
        <v>251</v>
      </c>
      <c r="EN50" s="13">
        <f t="shared" si="45"/>
        <v>-3.8314176245210718E-2</v>
      </c>
      <c r="EO50" s="1">
        <v>333440.1368481309</v>
      </c>
      <c r="EP50" s="13">
        <f t="shared" si="46"/>
        <v>5.6505212226929391E-3</v>
      </c>
      <c r="EQ50">
        <v>231</v>
      </c>
      <c r="ER50" s="13">
        <f t="shared" si="47"/>
        <v>-7.9681274900398447E-2</v>
      </c>
      <c r="ES50" s="183">
        <v>336298.49066117487</v>
      </c>
      <c r="ET50" s="13">
        <f t="shared" si="48"/>
        <v>8.5723147790868204E-3</v>
      </c>
      <c r="EU50">
        <v>227</v>
      </c>
      <c r="EV50" s="13">
        <f t="shared" si="49"/>
        <v>-1.7316017316017285E-2</v>
      </c>
      <c r="EW50" s="183">
        <v>336029.95185024652</v>
      </c>
      <c r="EX50" s="13">
        <f t="shared" si="50"/>
        <v>-7.9851328027191748E-4</v>
      </c>
      <c r="EY50">
        <v>221</v>
      </c>
      <c r="EZ50" s="13">
        <f t="shared" si="51"/>
        <v>-2.6431718061673992E-2</v>
      </c>
      <c r="FA50" s="1">
        <v>333126.67940464558</v>
      </c>
      <c r="FB50" s="13">
        <f t="shared" si="52"/>
        <v>-8.6399216189358974E-3</v>
      </c>
      <c r="FC50" s="1">
        <v>213</v>
      </c>
      <c r="FD50" s="13">
        <f t="shared" si="53"/>
        <v>-3.6199095022624417E-2</v>
      </c>
      <c r="FE50" s="1">
        <v>342403.09275612631</v>
      </c>
      <c r="FF50" s="13">
        <f t="shared" si="54"/>
        <v>2.7846503822687829E-2</v>
      </c>
      <c r="FG50" s="1">
        <v>215</v>
      </c>
      <c r="FH50" s="13">
        <f t="shared" si="55"/>
        <v>9.3896713615022609E-3</v>
      </c>
      <c r="FI50" s="1">
        <v>343958.2204777376</v>
      </c>
      <c r="FJ50" s="13">
        <f t="shared" si="56"/>
        <v>4.5418039571241131E-3</v>
      </c>
      <c r="FK50" s="1">
        <v>241</v>
      </c>
      <c r="FL50" s="13">
        <f t="shared" si="57"/>
        <v>0.12093023255813962</v>
      </c>
      <c r="FM50" s="1">
        <v>346731.07731117122</v>
      </c>
      <c r="FN50" s="13">
        <f t="shared" si="58"/>
        <v>8.0616094291401375E-3</v>
      </c>
      <c r="FO50" s="1">
        <v>255</v>
      </c>
      <c r="FP50" s="13">
        <f t="shared" si="59"/>
        <v>5.8091286307053958E-2</v>
      </c>
      <c r="FQ50" s="1">
        <v>341251.99758966762</v>
      </c>
      <c r="FR50" s="13">
        <f t="shared" si="60"/>
        <v>-1.5802101628711096E-2</v>
      </c>
      <c r="FS50">
        <v>252</v>
      </c>
      <c r="FT50" s="13">
        <f t="shared" si="61"/>
        <v>-1.1764705882352899E-2</v>
      </c>
      <c r="FU50" s="1">
        <v>338389.81866378541</v>
      </c>
      <c r="FV50" s="13">
        <f t="shared" si="62"/>
        <v>-8.3872884147151439E-3</v>
      </c>
      <c r="FW50" s="1">
        <v>238</v>
      </c>
      <c r="FX50" s="13">
        <f t="shared" si="63"/>
        <v>-5.555555555555558E-2</v>
      </c>
      <c r="FY50" s="1">
        <v>343584.65078256</v>
      </c>
      <c r="FZ50" s="13">
        <f t="shared" si="64"/>
        <v>1.5351620622888751E-2</v>
      </c>
      <c r="GA50" s="1">
        <v>229</v>
      </c>
      <c r="GB50" s="13">
        <f t="shared" si="65"/>
        <v>-3.7815126050420145E-2</v>
      </c>
      <c r="GC50" s="1">
        <v>339900.66778890247</v>
      </c>
      <c r="GD50" s="13">
        <f t="shared" si="66"/>
        <v>-1.0722198984345677E-2</v>
      </c>
      <c r="GE50" s="1">
        <v>233</v>
      </c>
      <c r="GF50" s="13">
        <f t="shared" si="67"/>
        <v>1.7467248908296984E-2</v>
      </c>
      <c r="GG50" s="1">
        <f>IFERROR(VLOOKUP(A50,[3]Москва_продажа_районы!$C$2:$F$149,3,0),"")</f>
        <v>340230.6454990799</v>
      </c>
      <c r="GH50" s="13">
        <v>9.7080630151147318E-4</v>
      </c>
      <c r="GI50" s="1">
        <v>238</v>
      </c>
      <c r="GJ50" s="13">
        <f t="shared" si="68"/>
        <v>2.1459227467811148E-2</v>
      </c>
      <c r="GK50" s="1">
        <v>337657.71686874772</v>
      </c>
      <c r="GL50" s="13">
        <f t="shared" si="69"/>
        <v>-7.5623071124529817E-3</v>
      </c>
      <c r="GM50" s="1">
        <v>238</v>
      </c>
      <c r="GN50" s="13">
        <f t="shared" si="70"/>
        <v>0</v>
      </c>
      <c r="GO50" s="1">
        <v>338020.49106147903</v>
      </c>
      <c r="GP50" s="13">
        <f t="shared" si="71"/>
        <v>1.0743844272107506E-3</v>
      </c>
      <c r="GQ50" s="1">
        <v>249.31</v>
      </c>
      <c r="GR50" s="13">
        <f t="shared" si="72"/>
        <v>4.7521008403361265E-2</v>
      </c>
      <c r="GS50" s="1">
        <v>345168.95973051531</v>
      </c>
      <c r="GT50" s="13">
        <f t="shared" si="144"/>
        <v>2.1148033501129149E-2</v>
      </c>
      <c r="GU50">
        <v>257</v>
      </c>
      <c r="GV50" s="13">
        <f t="shared" si="145"/>
        <v>3.0845132565881839E-2</v>
      </c>
      <c r="GW50">
        <v>351353.34810497961</v>
      </c>
      <c r="GX50" s="13">
        <f t="shared" si="73"/>
        <v>1.7916988767740394E-2</v>
      </c>
      <c r="GY50">
        <v>222</v>
      </c>
      <c r="GZ50" s="13">
        <f t="shared" si="74"/>
        <v>-0.13618677042801552</v>
      </c>
      <c r="HA50">
        <v>354596.28512565937</v>
      </c>
      <c r="HB50" s="13">
        <v>9.2298452204042647E-3</v>
      </c>
      <c r="HC50">
        <v>197</v>
      </c>
      <c r="HD50" s="13">
        <v>-0.11261261261261257</v>
      </c>
      <c r="HE50">
        <v>350253.77168196673</v>
      </c>
      <c r="HF50" s="13">
        <v>-1.2246359101460325E-2</v>
      </c>
      <c r="HG50">
        <v>210</v>
      </c>
      <c r="HH50" s="13">
        <v>6.5989847715736127E-2</v>
      </c>
      <c r="HI50">
        <f>VLOOKUP(A50,[4]Москва_продажа_районы!$C$4:$F$151,3,0)</f>
        <v>346359.56679020298</v>
      </c>
      <c r="HJ50" s="13">
        <f t="shared" si="75"/>
        <v>-1.1118238279243187E-2</v>
      </c>
      <c r="HK50">
        <f>VLOOKUP(A50,[4]Москва_продажа_районы!$C$4:$F$151,2,0)</f>
        <v>202</v>
      </c>
      <c r="HL50" s="13">
        <f t="shared" si="76"/>
        <v>-3.8095238095238071E-2</v>
      </c>
      <c r="HM50" s="1">
        <f>VLOOKUP(A50,Лист3!$C$4:$F$149,3,0)</f>
        <v>355739.60837105417</v>
      </c>
      <c r="HN50" s="13">
        <f t="shared" si="77"/>
        <v>2.7081803074701538E-2</v>
      </c>
      <c r="HO50">
        <f>VLOOKUP(A50,Лист3!$C$4:$F$149,2,0)</f>
        <v>187</v>
      </c>
      <c r="HP50" s="13">
        <f t="shared" si="78"/>
        <v>-7.4257425742574212E-2</v>
      </c>
      <c r="HQ50" s="1">
        <v>353974.34273654717</v>
      </c>
      <c r="HR50" s="13">
        <v>-4.9622409002759715E-3</v>
      </c>
      <c r="HS50">
        <v>213</v>
      </c>
      <c r="HT50" s="13">
        <v>0.1390374331550801</v>
      </c>
      <c r="HU50" s="34">
        <v>358229.59567690792</v>
      </c>
      <c r="HV50" s="13">
        <v>1.2021359817956601E-2</v>
      </c>
      <c r="HW50">
        <v>223</v>
      </c>
      <c r="HX50" s="13">
        <v>4.6948356807511749E-2</v>
      </c>
      <c r="HY50">
        <v>358407.86060245673</v>
      </c>
      <c r="HZ50" s="13">
        <v>4.9762757656002243E-4</v>
      </c>
      <c r="IA50">
        <v>216</v>
      </c>
      <c r="IB50" s="13">
        <v>-3.1390134529147962E-2</v>
      </c>
      <c r="IC50" s="34">
        <v>356457.05112217547</v>
      </c>
      <c r="ID50" s="13">
        <v>-5.4429874305828019E-3</v>
      </c>
      <c r="IE50">
        <v>223</v>
      </c>
      <c r="IF50" s="13">
        <v>3.240740740740744E-2</v>
      </c>
    </row>
    <row r="51" spans="1:240" x14ac:dyDescent="0.3">
      <c r="A51" s="23" t="s">
        <v>64</v>
      </c>
      <c r="B51" s="22">
        <v>172143.90441210766</v>
      </c>
      <c r="C51">
        <v>223</v>
      </c>
      <c r="D51" s="22">
        <v>174551.70852869959</v>
      </c>
      <c r="E51">
        <v>223</v>
      </c>
      <c r="F51" s="22">
        <v>176008.84954462809</v>
      </c>
      <c r="G51">
        <v>121</v>
      </c>
      <c r="H51" s="22">
        <v>176455.76539461524</v>
      </c>
      <c r="I51">
        <v>152</v>
      </c>
      <c r="J51" s="22">
        <v>176859.59917175755</v>
      </c>
      <c r="K51">
        <v>196</v>
      </c>
      <c r="L51" s="22">
        <v>179985.38480508709</v>
      </c>
      <c r="M51">
        <v>230</v>
      </c>
      <c r="N51" s="22">
        <v>182179.98649359177</v>
      </c>
      <c r="O51" s="28">
        <v>223</v>
      </c>
      <c r="P51" s="39">
        <v>185088.76748047819</v>
      </c>
      <c r="Q51" s="28">
        <v>185</v>
      </c>
      <c r="R51" s="39">
        <v>191989.18331894866</v>
      </c>
      <c r="S51">
        <v>166</v>
      </c>
      <c r="T51" s="46">
        <v>204884.19542462728</v>
      </c>
      <c r="U51" s="47">
        <v>161</v>
      </c>
      <c r="V51" s="56">
        <v>210018.27026937221</v>
      </c>
      <c r="W51" s="47">
        <v>148</v>
      </c>
      <c r="X51" s="56">
        <v>211677.35435882231</v>
      </c>
      <c r="Y51" s="47">
        <v>137</v>
      </c>
      <c r="Z51" s="34">
        <v>204052.65047664513</v>
      </c>
      <c r="AA51" s="81">
        <v>207</v>
      </c>
      <c r="AB51" s="1">
        <v>214589.29674658121</v>
      </c>
      <c r="AC51">
        <v>220</v>
      </c>
      <c r="AD51" s="1">
        <v>216177.77665233429</v>
      </c>
      <c r="AE51">
        <v>170</v>
      </c>
      <c r="AF51" s="13">
        <f t="shared" si="19"/>
        <v>2.1260764086663331E-2</v>
      </c>
      <c r="AG51" s="85">
        <f t="shared" si="146"/>
        <v>4.7117516629711753E-2</v>
      </c>
      <c r="AH51" s="35">
        <f t="shared" si="147"/>
        <v>7.0676274944567634</v>
      </c>
      <c r="AI51" s="87">
        <f t="shared" si="148"/>
        <v>177.06762749445676</v>
      </c>
      <c r="AL51" s="1">
        <v>221174.6431719074</v>
      </c>
      <c r="AM51">
        <v>178</v>
      </c>
      <c r="AN51" s="13">
        <f t="shared" si="149"/>
        <v>4.625779625779626E-2</v>
      </c>
      <c r="AQ51" s="35">
        <f t="shared" si="150"/>
        <v>6.6148648648648649</v>
      </c>
      <c r="AR51" s="87">
        <f t="shared" si="151"/>
        <v>184.61486486486487</v>
      </c>
      <c r="AS51">
        <v>190</v>
      </c>
      <c r="AT51" s="1">
        <v>223172.92747039179</v>
      </c>
      <c r="AU51" s="13">
        <f t="shared" si="152"/>
        <v>9.0348706787839461E-3</v>
      </c>
      <c r="AV51" s="35">
        <v>171</v>
      </c>
      <c r="AW51" s="1">
        <v>224938.43415859339</v>
      </c>
      <c r="AX51" s="35">
        <v>185.52455902306647</v>
      </c>
      <c r="AY51" s="121">
        <v>225776.32698727661</v>
      </c>
      <c r="AZ51" s="122">
        <v>169</v>
      </c>
      <c r="BA51" s="119">
        <v>230430.89802890009</v>
      </c>
      <c r="BB51">
        <v>166</v>
      </c>
      <c r="BC51" s="125">
        <f t="shared" si="153"/>
        <v>2.0615850668373126E-2</v>
      </c>
      <c r="BD51">
        <v>187</v>
      </c>
      <c r="BE51" s="1">
        <v>237020.3978933082</v>
      </c>
      <c r="BF51" s="13">
        <f t="shared" si="130"/>
        <v>2.8596424875199089E-2</v>
      </c>
      <c r="BG51">
        <v>190</v>
      </c>
      <c r="BH51" s="1">
        <v>238980.32942072139</v>
      </c>
      <c r="BI51" s="13">
        <f t="shared" si="123"/>
        <v>8.2690415881228052E-3</v>
      </c>
      <c r="BJ51">
        <v>200</v>
      </c>
      <c r="BK51" s="1">
        <v>241929.03405044659</v>
      </c>
      <c r="BL51" s="13">
        <f t="shared" si="131"/>
        <v>1.2338691794729462E-2</v>
      </c>
      <c r="BM51" s="1">
        <v>245156.9477644279</v>
      </c>
      <c r="BN51" s="109">
        <f t="shared" si="132"/>
        <v>1.3342399049583342E-2</v>
      </c>
      <c r="BO51">
        <v>177</v>
      </c>
      <c r="BP51" s="13">
        <f t="shared" si="133"/>
        <v>-0.11499999999999999</v>
      </c>
      <c r="BQ51" s="1">
        <v>253920.88296797991</v>
      </c>
      <c r="BR51" s="13">
        <f t="shared" si="124"/>
        <v>3.5748263646899758E-2</v>
      </c>
      <c r="BS51">
        <v>208</v>
      </c>
      <c r="BT51" s="13">
        <f t="shared" si="125"/>
        <v>0.17514124293785316</v>
      </c>
      <c r="BU51" s="1">
        <v>262460.7953264722</v>
      </c>
      <c r="BV51" s="13">
        <f t="shared" si="134"/>
        <v>3.3632178096864918E-2</v>
      </c>
      <c r="BW51">
        <v>181</v>
      </c>
      <c r="BX51" s="13">
        <f t="shared" si="135"/>
        <v>-0.12980769230769229</v>
      </c>
      <c r="BY51" s="1">
        <v>267589.90295852482</v>
      </c>
      <c r="BZ51" s="13">
        <f t="shared" si="136"/>
        <v>1.9542376322043031E-2</v>
      </c>
      <c r="CA51">
        <v>153</v>
      </c>
      <c r="CB51" s="13">
        <f t="shared" si="137"/>
        <v>-0.15469613259668513</v>
      </c>
      <c r="CC51" s="1">
        <v>263070.33758813521</v>
      </c>
      <c r="CD51" s="13">
        <f t="shared" si="138"/>
        <v>-1.6889895023767476E-2</v>
      </c>
      <c r="CE51">
        <v>164</v>
      </c>
      <c r="CF51" s="13">
        <f t="shared" si="139"/>
        <v>7.1895424836601274E-2</v>
      </c>
      <c r="CG51" s="1">
        <v>259006.07838392211</v>
      </c>
      <c r="CH51" s="13">
        <f t="shared" si="140"/>
        <v>-1.5449325231703392E-2</v>
      </c>
      <c r="CI51">
        <v>193</v>
      </c>
      <c r="CJ51" s="13">
        <f t="shared" si="141"/>
        <v>0.17682926829268286</v>
      </c>
      <c r="CK51" s="1">
        <v>257524.6330038934</v>
      </c>
      <c r="CL51" s="13">
        <f t="shared" si="142"/>
        <v>-5.7197320976876131E-3</v>
      </c>
      <c r="CM51">
        <v>212</v>
      </c>
      <c r="CN51" s="13">
        <f t="shared" si="143"/>
        <v>9.8445595854922185E-2</v>
      </c>
      <c r="CO51" s="1">
        <v>251702.6405753188</v>
      </c>
      <c r="CP51" s="13">
        <v>-2.2607516650597792E-2</v>
      </c>
      <c r="CQ51">
        <v>210</v>
      </c>
      <c r="CR51" s="13">
        <v>-9.4339622641509413E-3</v>
      </c>
      <c r="CS51" s="1">
        <v>251882.19036203629</v>
      </c>
      <c r="CT51" s="13">
        <f t="shared" si="24"/>
        <v>7.1334089426744463E-4</v>
      </c>
      <c r="CU51">
        <v>230</v>
      </c>
      <c r="CV51" s="13">
        <f t="shared" si="25"/>
        <v>9.5238095238095344E-2</v>
      </c>
      <c r="CW51" s="1">
        <v>245968.5168673966</v>
      </c>
      <c r="CX51" s="13">
        <f t="shared" si="26"/>
        <v>-2.3477934212577045E-2</v>
      </c>
      <c r="CY51">
        <v>251</v>
      </c>
      <c r="CZ51" s="13">
        <f t="shared" si="27"/>
        <v>9.1304347826086873E-2</v>
      </c>
      <c r="DA51" s="1">
        <v>242572.00721269901</v>
      </c>
      <c r="DB51" s="13">
        <f t="shared" si="28"/>
        <v>-1.3808717058405806E-2</v>
      </c>
      <c r="DC51">
        <v>249</v>
      </c>
      <c r="DD51" s="13">
        <f t="shared" si="29"/>
        <v>-7.9681274900398336E-3</v>
      </c>
      <c r="DE51" s="1">
        <v>241806.04060430161</v>
      </c>
      <c r="DF51" s="13">
        <f t="shared" si="30"/>
        <v>-3.1576875551256878E-3</v>
      </c>
      <c r="DG51" s="1">
        <v>257</v>
      </c>
      <c r="DH51" s="13">
        <f t="shared" si="31"/>
        <v>3.2128514056224855E-2</v>
      </c>
      <c r="DI51" s="1">
        <v>242454.258759669</v>
      </c>
      <c r="DJ51" s="13">
        <f t="shared" si="32"/>
        <v>2.680735988842109E-3</v>
      </c>
      <c r="DK51" s="1">
        <v>257</v>
      </c>
      <c r="DL51" s="13">
        <f t="shared" si="33"/>
        <v>0</v>
      </c>
      <c r="DM51" s="1">
        <v>242676.19636268419</v>
      </c>
      <c r="DN51" s="13">
        <f t="shared" si="34"/>
        <v>9.1537927257112628E-4</v>
      </c>
      <c r="DO51" s="1">
        <v>275</v>
      </c>
      <c r="DP51" s="13">
        <f t="shared" si="35"/>
        <v>7.0038910505836549E-2</v>
      </c>
      <c r="DQ51" s="1">
        <v>243716.94983194061</v>
      </c>
      <c r="DR51" s="13">
        <f t="shared" si="36"/>
        <v>4.288650823012663E-3</v>
      </c>
      <c r="DS51">
        <v>269</v>
      </c>
      <c r="DT51" s="13">
        <f t="shared" si="37"/>
        <v>-2.1818181818181848E-2</v>
      </c>
      <c r="DU51" s="1">
        <v>243361.24497146561</v>
      </c>
      <c r="DV51" s="13">
        <f t="shared" si="38"/>
        <v>-1.459499885913873E-3</v>
      </c>
      <c r="DW51">
        <v>242</v>
      </c>
      <c r="DX51" s="13">
        <f t="shared" si="39"/>
        <v>-0.1003717472118959</v>
      </c>
      <c r="DY51" s="1">
        <v>246705.14740996959</v>
      </c>
      <c r="DZ51" s="13">
        <f t="shared" si="40"/>
        <v>1.3740488708035903E-2</v>
      </c>
      <c r="EA51" s="1">
        <v>251</v>
      </c>
      <c r="EB51" s="13">
        <f t="shared" si="41"/>
        <v>3.7190082644628086E-2</v>
      </c>
      <c r="EC51" s="1">
        <v>248326.18597600979</v>
      </c>
      <c r="ED51" s="13">
        <f t="shared" si="42"/>
        <v>6.5707529131784348E-3</v>
      </c>
      <c r="EE51" s="1">
        <f>IFERROR(VLOOKUP($A51,[1]Москва_продажа_районы!$C$2:$F$148,2,0),"")</f>
        <v>251</v>
      </c>
      <c r="EF51" s="13">
        <v>0</v>
      </c>
      <c r="EG51" s="1">
        <v>249754.61559203631</v>
      </c>
      <c r="EH51" s="13">
        <f t="shared" si="43"/>
        <v>5.7522311246085422E-3</v>
      </c>
      <c r="EI51" s="1">
        <f>IFERROR(VLOOKUP($A51,[2]Москва_продажа_районы!$C$2:$F$150,2,0),"")</f>
        <v>239</v>
      </c>
      <c r="EJ51" s="13">
        <v>-4.7808764940239001E-2</v>
      </c>
      <c r="EK51" s="1">
        <v>253781.09293612171</v>
      </c>
      <c r="EL51" s="13">
        <f t="shared" si="44"/>
        <v>1.612173346442769E-2</v>
      </c>
      <c r="EM51">
        <v>222</v>
      </c>
      <c r="EN51" s="13">
        <f t="shared" si="45"/>
        <v>-7.112970711297073E-2</v>
      </c>
      <c r="EO51" s="1">
        <v>257988.07818477869</v>
      </c>
      <c r="EP51" s="13">
        <f t="shared" si="46"/>
        <v>1.6577220942601389E-2</v>
      </c>
      <c r="EQ51">
        <v>207</v>
      </c>
      <c r="ER51" s="13">
        <f t="shared" si="47"/>
        <v>-6.7567567567567544E-2</v>
      </c>
      <c r="ES51" s="183">
        <v>258975.7291711666</v>
      </c>
      <c r="ET51" s="13">
        <f t="shared" si="48"/>
        <v>3.828281497878061E-3</v>
      </c>
      <c r="EU51">
        <v>209</v>
      </c>
      <c r="EV51" s="13">
        <f t="shared" si="49"/>
        <v>9.6618357487923134E-3</v>
      </c>
      <c r="EW51" s="183">
        <v>261008.92675319911</v>
      </c>
      <c r="EX51" s="13">
        <f t="shared" si="50"/>
        <v>7.8509194222160517E-3</v>
      </c>
      <c r="EY51">
        <v>195</v>
      </c>
      <c r="EZ51" s="13">
        <f t="shared" si="51"/>
        <v>-6.6985645933014371E-2</v>
      </c>
      <c r="FA51" s="1">
        <v>262305.91056959768</v>
      </c>
      <c r="FB51" s="13">
        <f t="shared" si="52"/>
        <v>4.9691166985448287E-3</v>
      </c>
      <c r="FC51" s="1">
        <v>177</v>
      </c>
      <c r="FD51" s="13">
        <f t="shared" si="53"/>
        <v>-9.2307692307692313E-2</v>
      </c>
      <c r="FE51" s="1">
        <v>266002.93032113969</v>
      </c>
      <c r="FF51" s="13">
        <f t="shared" si="54"/>
        <v>1.4094305932771167E-2</v>
      </c>
      <c r="FG51" s="1">
        <v>192</v>
      </c>
      <c r="FH51" s="13">
        <f t="shared" si="55"/>
        <v>8.4745762711864403E-2</v>
      </c>
      <c r="FI51" s="1">
        <v>264957.95095094078</v>
      </c>
      <c r="FJ51" s="13">
        <f t="shared" si="56"/>
        <v>-3.9284505961544314E-3</v>
      </c>
      <c r="FK51" s="1">
        <v>218</v>
      </c>
      <c r="FL51" s="13">
        <f t="shared" si="57"/>
        <v>0.13541666666666674</v>
      </c>
      <c r="FM51" s="1">
        <v>268840.10604100762</v>
      </c>
      <c r="FN51" s="13">
        <f t="shared" si="58"/>
        <v>1.4651966759758217E-2</v>
      </c>
      <c r="FO51" s="1">
        <v>243</v>
      </c>
      <c r="FP51" s="13">
        <f t="shared" si="59"/>
        <v>0.1146788990825689</v>
      </c>
      <c r="FQ51" s="1">
        <v>270464.28878890589</v>
      </c>
      <c r="FR51" s="13">
        <f t="shared" si="60"/>
        <v>6.0414451244508172E-3</v>
      </c>
      <c r="FS51">
        <v>241</v>
      </c>
      <c r="FT51" s="13">
        <f t="shared" si="61"/>
        <v>-8.2304526748970819E-3</v>
      </c>
      <c r="FU51" s="1">
        <v>267573.39071216469</v>
      </c>
      <c r="FV51" s="13">
        <f t="shared" si="62"/>
        <v>-1.0688649838713093E-2</v>
      </c>
      <c r="FW51" s="1">
        <v>251</v>
      </c>
      <c r="FX51" s="13">
        <f t="shared" si="63"/>
        <v>4.1493775933610033E-2</v>
      </c>
      <c r="FY51" s="1">
        <v>267027.691185</v>
      </c>
      <c r="FZ51" s="13">
        <f t="shared" si="64"/>
        <v>-2.0394386964722733E-3</v>
      </c>
      <c r="GA51" s="1">
        <v>258</v>
      </c>
      <c r="GB51" s="13">
        <f t="shared" si="65"/>
        <v>2.7888446215139417E-2</v>
      </c>
      <c r="GC51" s="1">
        <v>264790.08712897019</v>
      </c>
      <c r="GD51" s="13">
        <f t="shared" si="66"/>
        <v>-8.3796704607672634E-3</v>
      </c>
      <c r="GE51" s="1">
        <v>237</v>
      </c>
      <c r="GF51" s="13">
        <f t="shared" si="67"/>
        <v>-8.1395348837209336E-2</v>
      </c>
      <c r="GG51" s="1">
        <f>IFERROR(VLOOKUP(A51,[3]Москва_продажа_районы!$C$2:$F$149,3,0),"")</f>
        <v>265031.17637437233</v>
      </c>
      <c r="GH51" s="13">
        <v>9.1049195993764265E-4</v>
      </c>
      <c r="GI51" s="1">
        <v>240</v>
      </c>
      <c r="GJ51" s="13">
        <f t="shared" si="68"/>
        <v>1.2658227848101333E-2</v>
      </c>
      <c r="GK51" s="1">
        <v>265802.71307649132</v>
      </c>
      <c r="GL51" s="13">
        <f t="shared" si="69"/>
        <v>2.9111167700102136E-3</v>
      </c>
      <c r="GM51" s="1">
        <v>260</v>
      </c>
      <c r="GN51" s="13">
        <f t="shared" si="70"/>
        <v>8.3333333333333259E-2</v>
      </c>
      <c r="GO51" s="1">
        <v>265423.30101139512</v>
      </c>
      <c r="GP51" s="13">
        <f t="shared" si="71"/>
        <v>-1.4274198359556234E-3</v>
      </c>
      <c r="GQ51" s="1">
        <v>273.92</v>
      </c>
      <c r="GR51" s="13">
        <f t="shared" si="72"/>
        <v>5.3538461538461535E-2</v>
      </c>
      <c r="GS51" s="1">
        <v>264408.26543013367</v>
      </c>
      <c r="GT51" s="13">
        <f t="shared" si="144"/>
        <v>-3.8242142923912148E-3</v>
      </c>
      <c r="GU51">
        <v>251</v>
      </c>
      <c r="GV51" s="13">
        <f t="shared" si="145"/>
        <v>-8.3674065420560773E-2</v>
      </c>
      <c r="GW51">
        <v>264139.73522472312</v>
      </c>
      <c r="GX51" s="13">
        <f t="shared" si="73"/>
        <v>-1.0155893007872674E-3</v>
      </c>
      <c r="GY51">
        <v>211</v>
      </c>
      <c r="GZ51" s="13">
        <f t="shared" si="74"/>
        <v>-0.15936254980079678</v>
      </c>
      <c r="HA51">
        <v>264955.52173443622</v>
      </c>
      <c r="HB51" s="13">
        <v>3.0884656904006658E-3</v>
      </c>
      <c r="HC51">
        <v>200</v>
      </c>
      <c r="HD51" s="13">
        <v>-5.2132701421800931E-2</v>
      </c>
      <c r="HE51">
        <v>270612.79759903299</v>
      </c>
      <c r="HF51" s="13">
        <v>2.1351794548622571E-2</v>
      </c>
      <c r="HG51">
        <v>197</v>
      </c>
      <c r="HH51" s="13">
        <v>-1.5000000000000013E-2</v>
      </c>
      <c r="HI51">
        <f>VLOOKUP(A51,[4]Москва_продажа_районы!$C$4:$F$151,3,0)</f>
        <v>268120.5274107639</v>
      </c>
      <c r="HJ51" s="13">
        <f t="shared" si="75"/>
        <v>-9.2097277378651032E-3</v>
      </c>
      <c r="HK51">
        <f>VLOOKUP(A51,[4]Москва_продажа_районы!$C$4:$F$151,2,0)</f>
        <v>202</v>
      </c>
      <c r="HL51" s="13">
        <f t="shared" si="76"/>
        <v>2.5380710659898442E-2</v>
      </c>
      <c r="HM51" s="1">
        <f>VLOOKUP(A51,Лист3!$C$4:$F$149,3,0)</f>
        <v>270846.69657425402</v>
      </c>
      <c r="HN51" s="13">
        <f t="shared" si="77"/>
        <v>1.016770028694447E-2</v>
      </c>
      <c r="HO51">
        <f>VLOOKUP(A51,Лист3!$C$4:$F$149,2,0)</f>
        <v>193</v>
      </c>
      <c r="HP51" s="13">
        <f t="shared" si="78"/>
        <v>-4.4554455445544594E-2</v>
      </c>
      <c r="HQ51" s="1">
        <v>277636.72992452508</v>
      </c>
      <c r="HR51" s="13">
        <v>2.5069655403419544E-2</v>
      </c>
      <c r="HS51">
        <v>197</v>
      </c>
      <c r="HT51" s="13">
        <v>2.0725388601036343E-2</v>
      </c>
      <c r="HU51" s="34">
        <v>275400.67688362789</v>
      </c>
      <c r="HV51" s="13">
        <v>-8.0538804844194622E-3</v>
      </c>
      <c r="HW51">
        <v>186</v>
      </c>
      <c r="HX51" s="13">
        <v>-5.5837563451776595E-2</v>
      </c>
      <c r="HY51">
        <v>271597.62494421931</v>
      </c>
      <c r="HZ51" s="13">
        <v>-1.3809159739340715E-2</v>
      </c>
      <c r="IA51">
        <v>176</v>
      </c>
      <c r="IB51" s="13">
        <v>-5.3763440860215006E-2</v>
      </c>
      <c r="IC51" s="34">
        <v>277800.45025852212</v>
      </c>
      <c r="ID51" s="13">
        <v>2.2838289972442638E-2</v>
      </c>
      <c r="IE51">
        <v>168</v>
      </c>
      <c r="IF51" s="13">
        <v>-4.5454545454545414E-2</v>
      </c>
    </row>
    <row r="52" spans="1:240" x14ac:dyDescent="0.3">
      <c r="A52" s="23" t="s">
        <v>65</v>
      </c>
      <c r="B52" s="22">
        <v>194563.68982958887</v>
      </c>
      <c r="C52">
        <v>365</v>
      </c>
      <c r="D52" s="22">
        <v>197764.01014415218</v>
      </c>
      <c r="E52">
        <v>342</v>
      </c>
      <c r="F52" s="22">
        <v>198685.37024366515</v>
      </c>
      <c r="G52">
        <v>221</v>
      </c>
      <c r="H52" s="22">
        <v>202697.9535264803</v>
      </c>
      <c r="I52">
        <v>265</v>
      </c>
      <c r="J52" s="22">
        <v>200008.02325166643</v>
      </c>
      <c r="K52">
        <v>307</v>
      </c>
      <c r="L52" s="22">
        <v>199390.40559795508</v>
      </c>
      <c r="M52">
        <v>309</v>
      </c>
      <c r="N52" s="22">
        <v>200775.09395935605</v>
      </c>
      <c r="O52" s="28">
        <v>304</v>
      </c>
      <c r="P52" s="39">
        <v>207475.60309221596</v>
      </c>
      <c r="Q52" s="28">
        <v>279</v>
      </c>
      <c r="R52" s="39">
        <v>218386.38947191532</v>
      </c>
      <c r="S52">
        <v>264</v>
      </c>
      <c r="T52" s="46">
        <v>216916.68030509824</v>
      </c>
      <c r="U52" s="47">
        <v>256</v>
      </c>
      <c r="V52" s="56">
        <v>223758.03884417069</v>
      </c>
      <c r="W52" s="47">
        <v>206</v>
      </c>
      <c r="X52" s="56">
        <v>230629.3053717592</v>
      </c>
      <c r="Y52" s="47">
        <v>203</v>
      </c>
      <c r="Z52" s="34">
        <v>235013.57651876155</v>
      </c>
      <c r="AA52" s="81">
        <v>254</v>
      </c>
      <c r="AB52" s="1">
        <v>243923.61120697419</v>
      </c>
      <c r="AC52">
        <v>285</v>
      </c>
      <c r="AD52" s="1">
        <v>248640.01610975069</v>
      </c>
      <c r="AE52">
        <v>281</v>
      </c>
      <c r="AF52" s="13">
        <f t="shared" si="19"/>
        <v>7.8093764835996948E-2</v>
      </c>
      <c r="AG52" s="85">
        <f t="shared" si="146"/>
        <v>7.7882483370288247E-2</v>
      </c>
      <c r="AH52" s="35">
        <f t="shared" si="147"/>
        <v>11.682372505543237</v>
      </c>
      <c r="AI52" s="87">
        <f t="shared" si="148"/>
        <v>292.68237250554324</v>
      </c>
      <c r="AL52" s="1">
        <v>254661.15813075841</v>
      </c>
      <c r="AM52">
        <v>317</v>
      </c>
      <c r="AN52" s="13">
        <f t="shared" si="149"/>
        <v>8.2380457380457378E-2</v>
      </c>
      <c r="AQ52" s="35">
        <f t="shared" si="150"/>
        <v>11.780405405405405</v>
      </c>
      <c r="AR52" s="87">
        <f t="shared" si="151"/>
        <v>328.78040540540542</v>
      </c>
      <c r="AS52">
        <v>320</v>
      </c>
      <c r="AT52" s="1">
        <v>257221.39889723089</v>
      </c>
      <c r="AU52" s="13">
        <f t="shared" si="152"/>
        <v>1.0053518900428049E-2</v>
      </c>
      <c r="AV52" s="35">
        <v>301</v>
      </c>
      <c r="AW52" s="1">
        <v>261279.794322223</v>
      </c>
      <c r="AX52" s="35">
        <v>326.56662143826321</v>
      </c>
      <c r="AY52" s="121">
        <v>267136.23919327481</v>
      </c>
      <c r="AZ52" s="122">
        <v>310</v>
      </c>
      <c r="BA52" s="119">
        <v>265814.6951789704</v>
      </c>
      <c r="BB52">
        <v>343</v>
      </c>
      <c r="BC52" s="125">
        <f t="shared" si="153"/>
        <v>-4.9470787576232356E-3</v>
      </c>
      <c r="BD52">
        <v>334</v>
      </c>
      <c r="BE52" s="1">
        <v>268094.42805062601</v>
      </c>
      <c r="BF52" s="13">
        <f t="shared" si="130"/>
        <v>8.5763989463436552E-3</v>
      </c>
      <c r="BG52">
        <v>343</v>
      </c>
      <c r="BH52" s="1">
        <v>271914.06346785813</v>
      </c>
      <c r="BI52" s="13">
        <f t="shared" si="123"/>
        <v>1.4247350998696673E-2</v>
      </c>
      <c r="BJ52">
        <v>326</v>
      </c>
      <c r="BK52" s="1">
        <v>277078.68414111092</v>
      </c>
      <c r="BL52" s="13">
        <f t="shared" si="131"/>
        <v>1.8993576894794417E-2</v>
      </c>
      <c r="BM52" s="1">
        <v>282381.98269728501</v>
      </c>
      <c r="BN52" s="109">
        <f t="shared" si="132"/>
        <v>1.9140045264085526E-2</v>
      </c>
      <c r="BO52">
        <v>310</v>
      </c>
      <c r="BP52" s="13">
        <f t="shared" si="133"/>
        <v>-4.9079754601227044E-2</v>
      </c>
      <c r="BQ52" s="1">
        <v>289621.51085923187</v>
      </c>
      <c r="BR52" s="13">
        <f t="shared" si="124"/>
        <v>2.5637358633137985E-2</v>
      </c>
      <c r="BS52">
        <v>352</v>
      </c>
      <c r="BT52" s="13">
        <f t="shared" si="125"/>
        <v>0.13548387096774195</v>
      </c>
      <c r="BU52" s="1">
        <v>302640.29497459979</v>
      </c>
      <c r="BV52" s="13">
        <f t="shared" si="134"/>
        <v>4.4951026174625541E-2</v>
      </c>
      <c r="BW52">
        <v>306</v>
      </c>
      <c r="BX52" s="13">
        <f t="shared" si="135"/>
        <v>-0.13068181818181823</v>
      </c>
      <c r="BY52" s="1">
        <v>304775.75929960702</v>
      </c>
      <c r="BZ52" s="13">
        <f t="shared" si="136"/>
        <v>7.0561136784064171E-3</v>
      </c>
      <c r="CA52">
        <v>275</v>
      </c>
      <c r="CB52" s="13">
        <f t="shared" si="137"/>
        <v>-0.10130718954248363</v>
      </c>
      <c r="CC52" s="1">
        <v>299223.66597333638</v>
      </c>
      <c r="CD52" s="13">
        <f t="shared" si="138"/>
        <v>-1.8216978079325208E-2</v>
      </c>
      <c r="CE52">
        <v>301</v>
      </c>
      <c r="CF52" s="13">
        <f t="shared" si="139"/>
        <v>9.4545454545454488E-2</v>
      </c>
      <c r="CG52" s="1">
        <v>292273.90264152398</v>
      </c>
      <c r="CH52" s="13">
        <f t="shared" si="140"/>
        <v>-2.3225981505191839E-2</v>
      </c>
      <c r="CI52">
        <v>341</v>
      </c>
      <c r="CJ52" s="13">
        <f t="shared" si="141"/>
        <v>0.13289036544850497</v>
      </c>
      <c r="CK52" s="1">
        <v>291179.68119108601</v>
      </c>
      <c r="CL52" s="13">
        <f t="shared" si="142"/>
        <v>-3.7438219442398335E-3</v>
      </c>
      <c r="CM52">
        <v>373</v>
      </c>
      <c r="CN52" s="13">
        <f t="shared" si="143"/>
        <v>9.384164222873892E-2</v>
      </c>
      <c r="CO52" s="1">
        <v>290783.31797251728</v>
      </c>
      <c r="CP52" s="13">
        <v>-1.3612324079324001E-3</v>
      </c>
      <c r="CQ52">
        <v>357</v>
      </c>
      <c r="CR52" s="13">
        <v>-4.2895442359249358E-2</v>
      </c>
      <c r="CS52" s="1">
        <v>286885.05291265663</v>
      </c>
      <c r="CT52" s="13">
        <f t="shared" si="24"/>
        <v>-1.3406082188762602E-2</v>
      </c>
      <c r="CU52">
        <v>409</v>
      </c>
      <c r="CV52" s="13">
        <f t="shared" si="25"/>
        <v>0.14565826330532206</v>
      </c>
      <c r="CW52" s="1">
        <v>277581.22296805482</v>
      </c>
      <c r="CX52" s="13">
        <f t="shared" si="26"/>
        <v>-3.2430514765906637E-2</v>
      </c>
      <c r="CY52">
        <v>417</v>
      </c>
      <c r="CZ52" s="13">
        <f t="shared" si="27"/>
        <v>1.9559902200489088E-2</v>
      </c>
      <c r="DA52" s="1">
        <v>273965.00431840302</v>
      </c>
      <c r="DB52" s="13">
        <f t="shared" si="28"/>
        <v>-1.3027605437374912E-2</v>
      </c>
      <c r="DC52">
        <v>419</v>
      </c>
      <c r="DD52" s="13">
        <f t="shared" si="29"/>
        <v>4.7961630695443347E-3</v>
      </c>
      <c r="DE52" s="1">
        <v>270372.25257489429</v>
      </c>
      <c r="DF52" s="13">
        <f t="shared" si="30"/>
        <v>-1.3113907568038208E-2</v>
      </c>
      <c r="DG52" s="1">
        <v>462</v>
      </c>
      <c r="DH52" s="13">
        <f t="shared" si="31"/>
        <v>0.10262529832935563</v>
      </c>
      <c r="DI52" s="1">
        <v>268950.03184798971</v>
      </c>
      <c r="DJ52" s="13">
        <f t="shared" si="32"/>
        <v>-5.2602318224597155E-3</v>
      </c>
      <c r="DK52" s="1">
        <v>474</v>
      </c>
      <c r="DL52" s="13">
        <f t="shared" si="33"/>
        <v>2.5974025974025983E-2</v>
      </c>
      <c r="DM52" s="1">
        <v>276026.39730396389</v>
      </c>
      <c r="DN52" s="13">
        <f t="shared" si="34"/>
        <v>2.6311078706150681E-2</v>
      </c>
      <c r="DO52" s="1">
        <v>503</v>
      </c>
      <c r="DP52" s="13">
        <f t="shared" si="35"/>
        <v>6.1181434599156148E-2</v>
      </c>
      <c r="DQ52" s="1">
        <v>276594.64739909151</v>
      </c>
      <c r="DR52" s="13">
        <f t="shared" si="36"/>
        <v>2.0586802591269215E-3</v>
      </c>
      <c r="DS52">
        <v>493</v>
      </c>
      <c r="DT52" s="13">
        <f t="shared" si="37"/>
        <v>-1.9880715705765439E-2</v>
      </c>
      <c r="DU52" s="1">
        <v>275039.9237824931</v>
      </c>
      <c r="DV52" s="13">
        <f t="shared" si="38"/>
        <v>-5.6209461434556518E-3</v>
      </c>
      <c r="DW52">
        <v>441</v>
      </c>
      <c r="DX52" s="13">
        <f t="shared" si="39"/>
        <v>-0.10547667342799194</v>
      </c>
      <c r="DY52" s="1">
        <v>273357.49484665622</v>
      </c>
      <c r="DZ52" s="13">
        <f t="shared" si="40"/>
        <v>-6.1170353478114947E-3</v>
      </c>
      <c r="EA52" s="1">
        <v>417</v>
      </c>
      <c r="EB52" s="13">
        <f t="shared" si="41"/>
        <v>-5.4421768707482943E-2</v>
      </c>
      <c r="EC52" s="1">
        <v>279257.70188216749</v>
      </c>
      <c r="ED52" s="13">
        <f t="shared" si="42"/>
        <v>2.1584215347089986E-2</v>
      </c>
      <c r="EE52" s="1">
        <f>IFERROR(VLOOKUP($A52,[1]Москва_продажа_районы!$C$2:$F$148,2,0),"")</f>
        <v>422</v>
      </c>
      <c r="EF52" s="13">
        <v>1.1990407673860837E-2</v>
      </c>
      <c r="EG52" s="1">
        <v>282084.85728719598</v>
      </c>
      <c r="EH52" s="13">
        <f t="shared" si="43"/>
        <v>1.0123822497906998E-2</v>
      </c>
      <c r="EI52" s="1">
        <f>IFERROR(VLOOKUP($A52,[2]Москва_продажа_районы!$C$2:$F$150,2,0),"")</f>
        <v>398</v>
      </c>
      <c r="EJ52" s="13">
        <v>-5.6872037914691975E-2</v>
      </c>
      <c r="EK52" s="1">
        <v>289034.93134679779</v>
      </c>
      <c r="EL52" s="13">
        <f t="shared" si="44"/>
        <v>2.4638238742910712E-2</v>
      </c>
      <c r="EM52">
        <v>381</v>
      </c>
      <c r="EN52" s="13">
        <f t="shared" si="45"/>
        <v>-4.2713567839195998E-2</v>
      </c>
      <c r="EO52" s="1">
        <v>299514.19713358203</v>
      </c>
      <c r="EP52" s="13">
        <f t="shared" si="46"/>
        <v>3.6256052989701582E-2</v>
      </c>
      <c r="EQ52">
        <v>371</v>
      </c>
      <c r="ER52" s="13">
        <f t="shared" si="47"/>
        <v>-2.6246719160105014E-2</v>
      </c>
      <c r="ES52" s="183">
        <v>301383.52891831577</v>
      </c>
      <c r="ET52" s="13">
        <f t="shared" si="48"/>
        <v>6.2412126123692069E-3</v>
      </c>
      <c r="EU52">
        <v>349</v>
      </c>
      <c r="EV52" s="13">
        <f t="shared" si="49"/>
        <v>-5.9299191374663107E-2</v>
      </c>
      <c r="EW52" s="183">
        <v>303798.76890404319</v>
      </c>
      <c r="EX52" s="13">
        <f t="shared" si="50"/>
        <v>8.0138420118573972E-3</v>
      </c>
      <c r="EY52">
        <v>339</v>
      </c>
      <c r="EZ52" s="13">
        <f t="shared" si="51"/>
        <v>-2.8653295128939882E-2</v>
      </c>
      <c r="FA52" s="1">
        <v>304971.95493522071</v>
      </c>
      <c r="FB52" s="13">
        <f t="shared" si="52"/>
        <v>3.8617208206925824E-3</v>
      </c>
      <c r="FC52" s="1">
        <v>314</v>
      </c>
      <c r="FD52" s="13">
        <f t="shared" si="53"/>
        <v>-7.3746312684365822E-2</v>
      </c>
      <c r="FE52" s="1">
        <v>307738.13000134338</v>
      </c>
      <c r="FF52" s="13">
        <f t="shared" si="54"/>
        <v>9.0702604661148101E-3</v>
      </c>
      <c r="FG52" s="1">
        <v>337</v>
      </c>
      <c r="FH52" s="13">
        <f t="shared" si="55"/>
        <v>7.3248407643312197E-2</v>
      </c>
      <c r="FI52" s="1">
        <v>310809.1119351568</v>
      </c>
      <c r="FJ52" s="13">
        <f t="shared" si="56"/>
        <v>9.9792051566700568E-3</v>
      </c>
      <c r="FK52" s="1">
        <v>379</v>
      </c>
      <c r="FL52" s="13">
        <f t="shared" si="57"/>
        <v>0.12462908011869445</v>
      </c>
      <c r="FM52" s="1">
        <v>303623.26430198859</v>
      </c>
      <c r="FN52" s="13">
        <f t="shared" si="58"/>
        <v>-2.3119810060997725E-2</v>
      </c>
      <c r="FO52" s="1">
        <v>382</v>
      </c>
      <c r="FP52" s="13">
        <f t="shared" si="59"/>
        <v>7.9155672823219003E-3</v>
      </c>
      <c r="FQ52" s="1">
        <v>302029.03842715232</v>
      </c>
      <c r="FR52" s="13">
        <f t="shared" si="60"/>
        <v>-5.250671019894626E-3</v>
      </c>
      <c r="FS52">
        <v>379</v>
      </c>
      <c r="FT52" s="13">
        <f t="shared" si="61"/>
        <v>-7.8534031413612926E-3</v>
      </c>
      <c r="FU52" s="1">
        <v>301762.20216748229</v>
      </c>
      <c r="FV52" s="13">
        <f t="shared" si="62"/>
        <v>-8.8347882395545252E-4</v>
      </c>
      <c r="FW52" s="1">
        <v>390</v>
      </c>
      <c r="FX52" s="13">
        <f t="shared" si="63"/>
        <v>2.9023746701847042E-2</v>
      </c>
      <c r="FY52" s="1">
        <v>304415.16785702039</v>
      </c>
      <c r="FZ52" s="13">
        <f t="shared" si="64"/>
        <v>8.7915771772690832E-3</v>
      </c>
      <c r="GA52" s="1">
        <v>383</v>
      </c>
      <c r="GB52" s="13">
        <f t="shared" si="65"/>
        <v>-1.7948717948717996E-2</v>
      </c>
      <c r="GC52" s="1">
        <v>305608.33702704858</v>
      </c>
      <c r="GD52" s="13">
        <f t="shared" si="66"/>
        <v>3.9195457257523714E-3</v>
      </c>
      <c r="GE52" s="1">
        <v>372</v>
      </c>
      <c r="GF52" s="13">
        <f t="shared" si="67"/>
        <v>-2.8720626631853818E-2</v>
      </c>
      <c r="GG52" s="1">
        <f>IFERROR(VLOOKUP(A52,[3]Москва_продажа_районы!$C$2:$F$149,3,0),"")</f>
        <v>305178.56579207222</v>
      </c>
      <c r="GH52" s="13">
        <v>-1.4062811216380977E-3</v>
      </c>
      <c r="GI52" s="1">
        <v>357</v>
      </c>
      <c r="GJ52" s="13">
        <f t="shared" si="68"/>
        <v>-4.0322580645161255E-2</v>
      </c>
      <c r="GK52" s="1">
        <v>307404.109127131</v>
      </c>
      <c r="GL52" s="13">
        <f t="shared" si="69"/>
        <v>7.2925938598686901E-3</v>
      </c>
      <c r="GM52" s="1">
        <v>365</v>
      </c>
      <c r="GN52" s="13">
        <f t="shared" si="70"/>
        <v>2.2408963585434094E-2</v>
      </c>
      <c r="GO52" s="1">
        <v>305936.67520346731</v>
      </c>
      <c r="GP52" s="13">
        <f t="shared" si="71"/>
        <v>-4.7736314515457456E-3</v>
      </c>
      <c r="GQ52" s="1">
        <v>372.36</v>
      </c>
      <c r="GR52" s="13">
        <f t="shared" si="72"/>
        <v>2.016438356164385E-2</v>
      </c>
      <c r="GS52" s="1">
        <v>312267.33155182598</v>
      </c>
      <c r="GT52" s="13">
        <f t="shared" si="144"/>
        <v>2.0692701664971613E-2</v>
      </c>
      <c r="GU52">
        <v>369</v>
      </c>
      <c r="GV52" s="13">
        <f t="shared" si="145"/>
        <v>-9.0235256203674563E-3</v>
      </c>
      <c r="GW52">
        <v>310954.68858960812</v>
      </c>
      <c r="GX52" s="13">
        <f t="shared" si="73"/>
        <v>-4.2035872138613817E-3</v>
      </c>
      <c r="GY52">
        <v>325</v>
      </c>
      <c r="GZ52" s="13">
        <f t="shared" si="74"/>
        <v>-0.1192411924119241</v>
      </c>
      <c r="HA52">
        <v>316437.02810953732</v>
      </c>
      <c r="HB52" s="13">
        <v>1.7630670065775123E-2</v>
      </c>
      <c r="HC52">
        <v>279</v>
      </c>
      <c r="HD52" s="13">
        <v>-0.1415384615384615</v>
      </c>
      <c r="HE52">
        <v>318056.09663578228</v>
      </c>
      <c r="HF52" s="13">
        <v>5.1165583747188048E-3</v>
      </c>
      <c r="HG52">
        <v>307</v>
      </c>
      <c r="HH52" s="13">
        <v>0.10035842293906816</v>
      </c>
      <c r="HI52">
        <f>VLOOKUP(A52,[4]Москва_продажа_районы!$C$4:$F$151,3,0)</f>
        <v>319164.25190975348</v>
      </c>
      <c r="HJ52" s="13">
        <f t="shared" si="75"/>
        <v>3.4841503926277273E-3</v>
      </c>
      <c r="HK52">
        <f>VLOOKUP(A52,[4]Москва_продажа_районы!$C$4:$F$151,2,0)</f>
        <v>316</v>
      </c>
      <c r="HL52" s="13">
        <f t="shared" si="76"/>
        <v>2.931596091205213E-2</v>
      </c>
      <c r="HM52" s="1">
        <f>VLOOKUP(A52,Лист3!$C$4:$F$149,3,0)</f>
        <v>321811.65785350779</v>
      </c>
      <c r="HN52" s="13">
        <f t="shared" si="77"/>
        <v>8.2948072282946761E-3</v>
      </c>
      <c r="HO52">
        <f>VLOOKUP(A52,Лист3!$C$4:$F$149,2,0)</f>
        <v>311</v>
      </c>
      <c r="HP52" s="13">
        <f t="shared" si="78"/>
        <v>-1.5822784810126556E-2</v>
      </c>
      <c r="HQ52" s="1">
        <v>323759.29858397192</v>
      </c>
      <c r="HR52" s="13">
        <v>6.0521136600673042E-3</v>
      </c>
      <c r="HS52">
        <v>326</v>
      </c>
      <c r="HT52" s="13">
        <v>4.8231511254019255E-2</v>
      </c>
      <c r="HU52" s="34">
        <v>328162.92125376209</v>
      </c>
      <c r="HV52" s="13">
        <v>1.3601532648020775E-2</v>
      </c>
      <c r="HW52">
        <v>313</v>
      </c>
      <c r="HX52" s="13">
        <v>-3.9877300613496924E-2</v>
      </c>
      <c r="HY52">
        <v>332491.13665177277</v>
      </c>
      <c r="HZ52" s="13">
        <v>1.318922741629236E-2</v>
      </c>
      <c r="IA52">
        <v>329</v>
      </c>
      <c r="IB52" s="13">
        <v>5.1118210862619806E-2</v>
      </c>
      <c r="IC52" s="34">
        <v>330508.65674524289</v>
      </c>
      <c r="ID52" s="13">
        <v>-5.9625045241618047E-3</v>
      </c>
      <c r="IE52">
        <v>348</v>
      </c>
      <c r="IF52" s="13">
        <v>5.7750759878419489E-2</v>
      </c>
    </row>
    <row r="53" spans="1:240" x14ac:dyDescent="0.3">
      <c r="A53" s="23" t="s">
        <v>66</v>
      </c>
      <c r="B53" s="22">
        <v>174567.350810584</v>
      </c>
      <c r="C53">
        <v>274</v>
      </c>
      <c r="D53" s="22">
        <v>175404.27465534347</v>
      </c>
      <c r="E53">
        <v>262</v>
      </c>
      <c r="F53" s="22">
        <v>173641.1100778571</v>
      </c>
      <c r="G53">
        <v>168</v>
      </c>
      <c r="H53" s="22">
        <v>174323.77796820318</v>
      </c>
      <c r="I53">
        <v>194</v>
      </c>
      <c r="J53" s="22">
        <v>174704.40821670654</v>
      </c>
      <c r="K53">
        <v>225</v>
      </c>
      <c r="L53" s="22">
        <v>176100.01732094385</v>
      </c>
      <c r="M53">
        <v>262</v>
      </c>
      <c r="N53" s="22">
        <v>178766.65668698991</v>
      </c>
      <c r="O53" s="28">
        <v>252</v>
      </c>
      <c r="P53" s="39">
        <v>186596.46122945237</v>
      </c>
      <c r="Q53" s="28">
        <v>262</v>
      </c>
      <c r="R53" s="39">
        <v>193222.21865909558</v>
      </c>
      <c r="S53">
        <v>218</v>
      </c>
      <c r="T53" s="46">
        <v>198011.32044724896</v>
      </c>
      <c r="U53" s="47">
        <v>185</v>
      </c>
      <c r="V53" s="56">
        <v>200287.7112110203</v>
      </c>
      <c r="W53" s="47">
        <v>163</v>
      </c>
      <c r="X53" s="56">
        <v>208606.71164501351</v>
      </c>
      <c r="Y53" s="47">
        <v>126</v>
      </c>
      <c r="Z53" s="34">
        <v>206066.11206249593</v>
      </c>
      <c r="AA53" s="81">
        <v>187</v>
      </c>
      <c r="AB53" s="1">
        <v>213812.30743152311</v>
      </c>
      <c r="AC53">
        <v>199</v>
      </c>
      <c r="AD53" s="1">
        <v>220374.3800375656</v>
      </c>
      <c r="AE53">
        <v>202</v>
      </c>
      <c r="AF53" s="13">
        <f t="shared" si="19"/>
        <v>5.6410785155259768E-2</v>
      </c>
      <c r="AG53" s="85">
        <f t="shared" si="146"/>
        <v>5.5986696230598668E-2</v>
      </c>
      <c r="AH53" s="35">
        <f t="shared" si="147"/>
        <v>8.3980044345898008</v>
      </c>
      <c r="AI53" s="87">
        <f t="shared" si="148"/>
        <v>210.39800443458981</v>
      </c>
      <c r="AL53" s="1">
        <v>217506.51156771221</v>
      </c>
      <c r="AM53">
        <v>221</v>
      </c>
      <c r="AN53" s="13">
        <f t="shared" si="149"/>
        <v>5.7432432432432436E-2</v>
      </c>
      <c r="AQ53" s="35">
        <f t="shared" si="150"/>
        <v>8.2128378378378386</v>
      </c>
      <c r="AR53" s="87">
        <f t="shared" si="151"/>
        <v>229.21283783783784</v>
      </c>
      <c r="AS53">
        <v>228</v>
      </c>
      <c r="AT53" s="1">
        <v>219914.04139131459</v>
      </c>
      <c r="AU53" s="13">
        <f t="shared" si="152"/>
        <v>1.1068771257695786E-2</v>
      </c>
      <c r="AV53" s="35">
        <v>202</v>
      </c>
      <c r="AW53" s="1">
        <v>225774.29046747641</v>
      </c>
      <c r="AX53" s="35">
        <v>219.15766621438263</v>
      </c>
      <c r="AY53" s="121">
        <v>234512.8777364174</v>
      </c>
      <c r="AZ53" s="122">
        <v>228</v>
      </c>
      <c r="BA53" s="119">
        <v>237068.9107272423</v>
      </c>
      <c r="BB53">
        <v>233</v>
      </c>
      <c r="BC53" s="125">
        <f t="shared" si="153"/>
        <v>1.089932892170542E-2</v>
      </c>
      <c r="BD53">
        <v>266</v>
      </c>
      <c r="BE53" s="1">
        <v>239577.77934817111</v>
      </c>
      <c r="BF53" s="13">
        <f t="shared" si="130"/>
        <v>1.058286644685924E-2</v>
      </c>
      <c r="BG53">
        <v>234</v>
      </c>
      <c r="BH53" s="1">
        <v>240391.5947650591</v>
      </c>
      <c r="BI53" s="13">
        <f t="shared" si="123"/>
        <v>3.3968735293488095E-3</v>
      </c>
      <c r="BJ53">
        <v>227</v>
      </c>
      <c r="BK53" s="1">
        <v>242184.6197360956</v>
      </c>
      <c r="BL53" s="13">
        <f t="shared" si="131"/>
        <v>7.4587673200008364E-3</v>
      </c>
      <c r="BM53" s="1">
        <v>248647.5573606581</v>
      </c>
      <c r="BN53" s="109">
        <f t="shared" si="132"/>
        <v>2.6685995302282439E-2</v>
      </c>
      <c r="BO53">
        <v>184</v>
      </c>
      <c r="BP53" s="13">
        <f t="shared" si="133"/>
        <v>-0.18942731277533043</v>
      </c>
      <c r="BQ53" s="1">
        <v>255777.69642725779</v>
      </c>
      <c r="BR53" s="13">
        <f t="shared" si="124"/>
        <v>2.8675685143600971E-2</v>
      </c>
      <c r="BS53">
        <v>207</v>
      </c>
      <c r="BT53" s="13">
        <f t="shared" si="125"/>
        <v>0.125</v>
      </c>
      <c r="BU53" s="1">
        <v>256996.03776292221</v>
      </c>
      <c r="BV53" s="13">
        <f t="shared" si="134"/>
        <v>4.7632821496259581E-3</v>
      </c>
      <c r="BW53">
        <v>208</v>
      </c>
      <c r="BX53" s="13">
        <f t="shared" si="135"/>
        <v>4.8309178743961567E-3</v>
      </c>
      <c r="BY53" s="1">
        <v>260753.01249425611</v>
      </c>
      <c r="BZ53" s="13">
        <f t="shared" si="136"/>
        <v>1.4618804103118777E-2</v>
      </c>
      <c r="CA53">
        <v>176</v>
      </c>
      <c r="CB53" s="13">
        <f t="shared" si="137"/>
        <v>-0.15384615384615385</v>
      </c>
      <c r="CC53" s="1">
        <v>257382.82689297249</v>
      </c>
      <c r="CD53" s="13">
        <f t="shared" si="138"/>
        <v>-1.2924819426037737E-2</v>
      </c>
      <c r="CE53">
        <v>190</v>
      </c>
      <c r="CF53" s="13">
        <f t="shared" si="139"/>
        <v>7.9545454545454586E-2</v>
      </c>
      <c r="CG53" s="1">
        <v>250393.99190148231</v>
      </c>
      <c r="CH53" s="13">
        <f t="shared" si="140"/>
        <v>-2.715346270711505E-2</v>
      </c>
      <c r="CI53">
        <v>230</v>
      </c>
      <c r="CJ53" s="13">
        <f t="shared" si="141"/>
        <v>0.21052631578947367</v>
      </c>
      <c r="CK53" s="1">
        <v>247237.15593289991</v>
      </c>
      <c r="CL53" s="13">
        <f t="shared" si="142"/>
        <v>-1.2607474902290972E-2</v>
      </c>
      <c r="CM53">
        <v>257</v>
      </c>
      <c r="CN53" s="13">
        <f t="shared" si="143"/>
        <v>0.11739130434782608</v>
      </c>
      <c r="CO53" s="1">
        <v>248518.89334941289</v>
      </c>
      <c r="CP53" s="13">
        <v>5.1842426826040899E-3</v>
      </c>
      <c r="CQ53">
        <v>241</v>
      </c>
      <c r="CR53" s="13">
        <v>-6.2256809338521402E-2</v>
      </c>
      <c r="CS53" s="1">
        <v>249026.9712908488</v>
      </c>
      <c r="CT53" s="13">
        <f t="shared" si="24"/>
        <v>2.0444238045176366E-3</v>
      </c>
      <c r="CU53">
        <v>252</v>
      </c>
      <c r="CV53" s="13">
        <f t="shared" si="25"/>
        <v>4.5643153526971014E-2</v>
      </c>
      <c r="CW53" s="1">
        <v>249013.58106457951</v>
      </c>
      <c r="CX53" s="13">
        <f t="shared" si="26"/>
        <v>-5.3770184811230415E-5</v>
      </c>
      <c r="CY53">
        <v>270</v>
      </c>
      <c r="CZ53" s="13">
        <f t="shared" si="27"/>
        <v>7.1428571428571397E-2</v>
      </c>
      <c r="DA53" s="1">
        <v>240559.86674293701</v>
      </c>
      <c r="DB53" s="13">
        <f t="shared" si="28"/>
        <v>-3.3948808275843012E-2</v>
      </c>
      <c r="DC53">
        <v>274</v>
      </c>
      <c r="DD53" s="13">
        <f t="shared" si="29"/>
        <v>1.4814814814814836E-2</v>
      </c>
      <c r="DE53" s="1">
        <v>241292.01367028261</v>
      </c>
      <c r="DF53" s="13">
        <f t="shared" si="30"/>
        <v>3.0435123583103518E-3</v>
      </c>
      <c r="DG53" s="1">
        <v>266</v>
      </c>
      <c r="DH53" s="13">
        <f t="shared" si="31"/>
        <v>-2.9197080291970767E-2</v>
      </c>
      <c r="DI53" s="1">
        <v>239511.78630615011</v>
      </c>
      <c r="DJ53" s="13">
        <f t="shared" si="32"/>
        <v>-7.3778959239203523E-3</v>
      </c>
      <c r="DK53" s="1">
        <v>278</v>
      </c>
      <c r="DL53" s="13">
        <f t="shared" si="33"/>
        <v>4.5112781954887327E-2</v>
      </c>
      <c r="DM53" s="1">
        <v>239400.26039245439</v>
      </c>
      <c r="DN53" s="13">
        <f t="shared" si="34"/>
        <v>-4.6563851998981942E-4</v>
      </c>
      <c r="DO53" s="1">
        <v>277</v>
      </c>
      <c r="DP53" s="13">
        <f t="shared" si="35"/>
        <v>-3.597122302158251E-3</v>
      </c>
      <c r="DQ53" s="1">
        <v>241908.62760351531</v>
      </c>
      <c r="DR53" s="13">
        <f t="shared" si="36"/>
        <v>1.0477712960499375E-2</v>
      </c>
      <c r="DS53">
        <v>282</v>
      </c>
      <c r="DT53" s="13">
        <f t="shared" si="37"/>
        <v>1.8050541516245522E-2</v>
      </c>
      <c r="DU53" s="1">
        <v>244104.98385667181</v>
      </c>
      <c r="DV53" s="13">
        <f t="shared" si="38"/>
        <v>9.0792803667849586E-3</v>
      </c>
      <c r="DW53">
        <v>297</v>
      </c>
      <c r="DX53" s="13">
        <f t="shared" si="39"/>
        <v>5.3191489361702038E-2</v>
      </c>
      <c r="DY53" s="1">
        <v>246014.7386294943</v>
      </c>
      <c r="DZ53" s="13">
        <f t="shared" si="40"/>
        <v>7.8234976715747528E-3</v>
      </c>
      <c r="EA53" s="1">
        <v>293</v>
      </c>
      <c r="EB53" s="13">
        <f t="shared" si="41"/>
        <v>-1.3468013468013518E-2</v>
      </c>
      <c r="EC53" s="1">
        <v>247981.89914263159</v>
      </c>
      <c r="ED53" s="13">
        <f t="shared" si="42"/>
        <v>7.9961083799124921E-3</v>
      </c>
      <c r="EE53" s="1">
        <f>IFERROR(VLOOKUP($A53,[1]Москва_продажа_районы!$C$2:$F$148,2,0),"")</f>
        <v>286</v>
      </c>
      <c r="EF53" s="13">
        <v>-2.3890784982935176E-2</v>
      </c>
      <c r="EG53" s="1">
        <v>246959.4278583432</v>
      </c>
      <c r="EH53" s="13">
        <f t="shared" si="43"/>
        <v>-4.1231690208981542E-3</v>
      </c>
      <c r="EI53" s="1">
        <f>IFERROR(VLOOKUP($A53,[2]Москва_продажа_районы!$C$2:$F$150,2,0),"")</f>
        <v>283</v>
      </c>
      <c r="EJ53" s="13">
        <v>-1.0489510489510523E-2</v>
      </c>
      <c r="EK53" s="1">
        <v>252162.23019346979</v>
      </c>
      <c r="EL53" s="13">
        <f t="shared" si="44"/>
        <v>2.1067437595907235E-2</v>
      </c>
      <c r="EM53">
        <v>253</v>
      </c>
      <c r="EN53" s="13">
        <f t="shared" si="45"/>
        <v>-0.10600706713780916</v>
      </c>
      <c r="EO53" s="1">
        <v>256705.16038542581</v>
      </c>
      <c r="EP53" s="13">
        <f t="shared" si="46"/>
        <v>1.8015902653107485E-2</v>
      </c>
      <c r="EQ53">
        <v>227</v>
      </c>
      <c r="ER53" s="13">
        <f t="shared" si="47"/>
        <v>-0.10276679841897229</v>
      </c>
      <c r="ES53" s="183">
        <v>260575.12922311531</v>
      </c>
      <c r="ET53" s="13">
        <f t="shared" si="48"/>
        <v>1.50755397043012E-2</v>
      </c>
      <c r="EU53">
        <v>234</v>
      </c>
      <c r="EV53" s="13">
        <f t="shared" si="49"/>
        <v>3.0837004405286361E-2</v>
      </c>
      <c r="EW53" s="183">
        <v>267077.65116819192</v>
      </c>
      <c r="EX53" s="13">
        <f t="shared" si="50"/>
        <v>2.4954499550526421E-2</v>
      </c>
      <c r="EY53">
        <v>216</v>
      </c>
      <c r="EZ53" s="13">
        <f t="shared" si="51"/>
        <v>-7.6923076923076872E-2</v>
      </c>
      <c r="FA53" s="1">
        <v>272672.03285835229</v>
      </c>
      <c r="FB53" s="13">
        <f t="shared" si="52"/>
        <v>2.0946648533453294E-2</v>
      </c>
      <c r="FC53" s="1">
        <v>192</v>
      </c>
      <c r="FD53" s="13">
        <f t="shared" si="53"/>
        <v>-0.11111111111111116</v>
      </c>
      <c r="FE53" s="1">
        <v>275965.668282556</v>
      </c>
      <c r="FF53" s="13">
        <f t="shared" si="54"/>
        <v>1.207910979970106E-2</v>
      </c>
      <c r="FG53" s="1">
        <v>203</v>
      </c>
      <c r="FH53" s="13">
        <f t="shared" si="55"/>
        <v>5.7291666666666741E-2</v>
      </c>
      <c r="FI53" s="1">
        <v>276634.18152052019</v>
      </c>
      <c r="FJ53" s="13">
        <f t="shared" si="56"/>
        <v>2.4224507422412334E-3</v>
      </c>
      <c r="FK53" s="1">
        <v>242</v>
      </c>
      <c r="FL53" s="13">
        <f t="shared" si="57"/>
        <v>0.19211822660098532</v>
      </c>
      <c r="FM53" s="1">
        <v>275537.95689056889</v>
      </c>
      <c r="FN53" s="13">
        <f t="shared" si="58"/>
        <v>-3.9627229864577229E-3</v>
      </c>
      <c r="FO53" s="1">
        <v>259</v>
      </c>
      <c r="FP53" s="13">
        <f t="shared" si="59"/>
        <v>7.024793388429762E-2</v>
      </c>
      <c r="FQ53" s="1">
        <v>273295.17247425171</v>
      </c>
      <c r="FR53" s="13">
        <f t="shared" si="60"/>
        <v>-8.1396568430240901E-3</v>
      </c>
      <c r="FS53">
        <v>259</v>
      </c>
      <c r="FT53" s="13">
        <f t="shared" si="61"/>
        <v>0</v>
      </c>
      <c r="FU53" s="1">
        <v>272689.93557922909</v>
      </c>
      <c r="FV53" s="13">
        <f t="shared" si="62"/>
        <v>-2.2145905086546902E-3</v>
      </c>
      <c r="FW53" s="1">
        <v>249</v>
      </c>
      <c r="FX53" s="13">
        <f t="shared" si="63"/>
        <v>-3.8610038610038644E-2</v>
      </c>
      <c r="FY53" s="1">
        <v>273711.66841216543</v>
      </c>
      <c r="FZ53" s="13">
        <f t="shared" si="64"/>
        <v>3.7468666775912762E-3</v>
      </c>
      <c r="GA53" s="1">
        <v>266</v>
      </c>
      <c r="GB53" s="13">
        <f t="shared" si="65"/>
        <v>6.8273092369477872E-2</v>
      </c>
      <c r="GC53" s="1">
        <v>277014.3378369956</v>
      </c>
      <c r="GD53" s="13">
        <f t="shared" si="66"/>
        <v>1.2066235407461212E-2</v>
      </c>
      <c r="GE53" s="1">
        <v>285</v>
      </c>
      <c r="GF53" s="13">
        <f t="shared" si="67"/>
        <v>7.1428571428571397E-2</v>
      </c>
      <c r="GG53" s="1">
        <f>IFERROR(VLOOKUP(A53,[3]Москва_продажа_районы!$C$2:$F$149,3,0),"")</f>
        <v>278748.94155691698</v>
      </c>
      <c r="GH53" s="13">
        <v>6.2617831750719777E-3</v>
      </c>
      <c r="GI53" s="1">
        <v>262</v>
      </c>
      <c r="GJ53" s="13">
        <f t="shared" si="68"/>
        <v>-8.0701754385964941E-2</v>
      </c>
      <c r="GK53" s="1">
        <v>275978.04135756253</v>
      </c>
      <c r="GL53" s="13">
        <f t="shared" si="69"/>
        <v>-9.9404868907410071E-3</v>
      </c>
      <c r="GM53" s="1">
        <v>264</v>
      </c>
      <c r="GN53" s="13">
        <f t="shared" si="70"/>
        <v>7.6335877862594437E-3</v>
      </c>
      <c r="GO53" s="1">
        <v>278357.9313212682</v>
      </c>
      <c r="GP53" s="13">
        <f t="shared" si="71"/>
        <v>8.6234758098824305E-3</v>
      </c>
      <c r="GQ53" s="1">
        <v>268.57</v>
      </c>
      <c r="GR53" s="13">
        <f t="shared" si="72"/>
        <v>1.7310606060606082E-2</v>
      </c>
      <c r="GS53" s="1">
        <v>277123.58673771197</v>
      </c>
      <c r="GT53" s="13">
        <f t="shared" si="144"/>
        <v>-4.4343790661800497E-3</v>
      </c>
      <c r="GU53">
        <v>284</v>
      </c>
      <c r="GV53" s="13">
        <f t="shared" si="145"/>
        <v>5.7452433257623836E-2</v>
      </c>
      <c r="GW53">
        <v>274303.27408288379</v>
      </c>
      <c r="GX53" s="13">
        <f t="shared" si="73"/>
        <v>-1.0177093505568391E-2</v>
      </c>
      <c r="GY53">
        <v>253</v>
      </c>
      <c r="GZ53" s="13">
        <f t="shared" si="74"/>
        <v>-0.10915492957746475</v>
      </c>
      <c r="HA53">
        <v>273892.65435177519</v>
      </c>
      <c r="HB53" s="13">
        <v>-1.4969552677833731E-3</v>
      </c>
      <c r="HC53">
        <v>221</v>
      </c>
      <c r="HD53" s="13">
        <v>-0.12648221343873522</v>
      </c>
      <c r="HE53">
        <v>274111.42295509757</v>
      </c>
      <c r="HF53" s="13">
        <v>7.9873848329437003E-4</v>
      </c>
      <c r="HG53">
        <v>229</v>
      </c>
      <c r="HH53" s="13">
        <v>3.6199095022624528E-2</v>
      </c>
      <c r="HI53">
        <f>VLOOKUP(A53,[4]Москва_продажа_районы!$C$4:$F$151,3,0)</f>
        <v>277273.67536617868</v>
      </c>
      <c r="HJ53" s="13">
        <f t="shared" si="75"/>
        <v>1.1536375890468076E-2</v>
      </c>
      <c r="HK53">
        <f>VLOOKUP(A53,[4]Москва_продажа_районы!$C$4:$F$151,2,0)</f>
        <v>232</v>
      </c>
      <c r="HL53" s="13">
        <f t="shared" si="76"/>
        <v>1.3100436681222627E-2</v>
      </c>
      <c r="HM53" s="1">
        <f>VLOOKUP(A53,Лист3!$C$4:$F$149,3,0)</f>
        <v>279369.44550910679</v>
      </c>
      <c r="HN53" s="13">
        <f t="shared" si="77"/>
        <v>7.5584894244300482E-3</v>
      </c>
      <c r="HO53">
        <f>VLOOKUP(A53,Лист3!$C$4:$F$149,2,0)</f>
        <v>226</v>
      </c>
      <c r="HP53" s="13">
        <f t="shared" si="78"/>
        <v>-2.5862068965517238E-2</v>
      </c>
      <c r="HQ53" s="1">
        <v>283307.94474450231</v>
      </c>
      <c r="HR53" s="13">
        <v>1.4097816703677823E-2</v>
      </c>
      <c r="HS53">
        <v>227</v>
      </c>
      <c r="HT53" s="13">
        <v>4.4247787610618428E-3</v>
      </c>
      <c r="HU53" s="34">
        <v>282579.55415265373</v>
      </c>
      <c r="HV53" s="13">
        <v>-2.5710207050687606E-3</v>
      </c>
      <c r="HW53">
        <v>213</v>
      </c>
      <c r="HX53" s="13">
        <v>-6.1674008810572722E-2</v>
      </c>
      <c r="HY53">
        <v>284028.72794782137</v>
      </c>
      <c r="HZ53" s="13">
        <v>5.1283745546033543E-3</v>
      </c>
      <c r="IA53">
        <v>227</v>
      </c>
      <c r="IB53" s="13">
        <v>6.5727699530516492E-2</v>
      </c>
      <c r="IC53" s="34">
        <v>290213.97972942068</v>
      </c>
      <c r="ID53" s="13">
        <v>2.177685273700769E-2</v>
      </c>
      <c r="IE53">
        <v>214</v>
      </c>
      <c r="IF53" s="13">
        <v>-5.7268722466960353E-2</v>
      </c>
    </row>
    <row r="54" spans="1:240" x14ac:dyDescent="0.3">
      <c r="A54" s="23" t="s">
        <v>67</v>
      </c>
      <c r="B54" s="22">
        <v>177036.01171696419</v>
      </c>
      <c r="C54">
        <v>336</v>
      </c>
      <c r="D54" s="22">
        <v>176466.37222110378</v>
      </c>
      <c r="E54">
        <v>308</v>
      </c>
      <c r="F54" s="22">
        <v>178062.6010440845</v>
      </c>
      <c r="G54">
        <v>213</v>
      </c>
      <c r="H54" s="22">
        <v>180218.97700877883</v>
      </c>
      <c r="I54">
        <v>260</v>
      </c>
      <c r="J54" s="22">
        <v>181107.14392668806</v>
      </c>
      <c r="K54">
        <v>290</v>
      </c>
      <c r="L54" s="22">
        <v>180666.42769662803</v>
      </c>
      <c r="M54">
        <v>283</v>
      </c>
      <c r="N54" s="22">
        <v>183025.18796109001</v>
      </c>
      <c r="O54" s="28">
        <v>278</v>
      </c>
      <c r="P54" s="39">
        <v>186743.40679074769</v>
      </c>
      <c r="Q54" s="28">
        <v>304</v>
      </c>
      <c r="R54" s="39">
        <v>194535.93980410858</v>
      </c>
      <c r="S54">
        <v>271</v>
      </c>
      <c r="T54" s="46">
        <v>202526.4389680202</v>
      </c>
      <c r="U54" s="47">
        <v>215</v>
      </c>
      <c r="V54" s="56">
        <v>213008.1591387339</v>
      </c>
      <c r="W54" s="47">
        <v>212</v>
      </c>
      <c r="X54" s="56">
        <v>216573.35293907719</v>
      </c>
      <c r="Y54" s="47">
        <v>209</v>
      </c>
      <c r="Z54" s="34">
        <v>211505.07948776323</v>
      </c>
      <c r="AA54" s="81">
        <v>245</v>
      </c>
      <c r="AB54" s="1">
        <v>220845.19757999401</v>
      </c>
      <c r="AC54">
        <v>261</v>
      </c>
      <c r="AD54" s="1">
        <v>222009.50233759731</v>
      </c>
      <c r="AE54">
        <v>203</v>
      </c>
      <c r="AF54" s="13">
        <f t="shared" si="19"/>
        <v>2.5100730651980596E-2</v>
      </c>
      <c r="AG54" s="85">
        <f t="shared" si="146"/>
        <v>5.6263858093126388E-2</v>
      </c>
      <c r="AH54" s="35">
        <f t="shared" si="147"/>
        <v>8.4395787139689578</v>
      </c>
      <c r="AI54" s="87">
        <f t="shared" si="148"/>
        <v>211.43957871396896</v>
      </c>
      <c r="AL54" s="1">
        <v>227736.98164321261</v>
      </c>
      <c r="AM54">
        <v>219</v>
      </c>
      <c r="AN54" s="13">
        <f t="shared" si="149"/>
        <v>5.6912681912681916E-2</v>
      </c>
      <c r="AQ54" s="35">
        <f t="shared" si="150"/>
        <v>8.138513513513514</v>
      </c>
      <c r="AR54" s="87">
        <f t="shared" si="151"/>
        <v>227.13851351351352</v>
      </c>
      <c r="AS54">
        <v>205</v>
      </c>
      <c r="AT54" s="1">
        <v>226864.076703561</v>
      </c>
      <c r="AU54" s="13">
        <f t="shared" si="152"/>
        <v>-3.8329520895256097E-3</v>
      </c>
      <c r="AV54" s="35">
        <v>205</v>
      </c>
      <c r="AW54" s="1">
        <v>237893.66280361809</v>
      </c>
      <c r="AX54" s="35">
        <v>222.4124830393487</v>
      </c>
      <c r="AY54" s="121">
        <v>241290.17689657811</v>
      </c>
      <c r="AZ54" s="122">
        <v>195</v>
      </c>
      <c r="BA54" s="119">
        <v>245277.1971880951</v>
      </c>
      <c r="BB54">
        <v>204</v>
      </c>
      <c r="BC54" s="125">
        <f t="shared" si="153"/>
        <v>1.6523757174026654E-2</v>
      </c>
      <c r="BD54">
        <v>242</v>
      </c>
      <c r="BE54" s="1">
        <v>248607.1120155034</v>
      </c>
      <c r="BF54" s="13">
        <f t="shared" si="130"/>
        <v>1.3576128827233358E-2</v>
      </c>
      <c r="BG54">
        <v>253</v>
      </c>
      <c r="BH54" s="1">
        <v>253006.41992380499</v>
      </c>
      <c r="BI54" s="13">
        <f t="shared" si="123"/>
        <v>1.7695824840390006E-2</v>
      </c>
      <c r="BJ54">
        <v>292</v>
      </c>
      <c r="BK54" s="1">
        <v>259921.10376709179</v>
      </c>
      <c r="BL54" s="13">
        <f t="shared" si="131"/>
        <v>2.7330072673132921E-2</v>
      </c>
      <c r="BM54" s="1">
        <v>265526.83065222128</v>
      </c>
      <c r="BN54" s="109">
        <f t="shared" si="132"/>
        <v>2.1567032472102232E-2</v>
      </c>
      <c r="BO54">
        <v>273</v>
      </c>
      <c r="BP54" s="13">
        <f t="shared" si="133"/>
        <v>-6.506849315068497E-2</v>
      </c>
      <c r="BQ54" s="1">
        <v>266061.51586240681</v>
      </c>
      <c r="BR54" s="13">
        <f t="shared" si="124"/>
        <v>2.0136767680771772E-3</v>
      </c>
      <c r="BS54">
        <v>291</v>
      </c>
      <c r="BT54" s="13">
        <f t="shared" si="125"/>
        <v>6.5934065934065922E-2</v>
      </c>
      <c r="BU54" s="1">
        <v>280600.51322387799</v>
      </c>
      <c r="BV54" s="13">
        <f t="shared" si="134"/>
        <v>5.464524741334631E-2</v>
      </c>
      <c r="BW54">
        <v>276</v>
      </c>
      <c r="BX54" s="13">
        <f t="shared" si="135"/>
        <v>-5.1546391752577359E-2</v>
      </c>
      <c r="BY54" s="1">
        <v>284631.34983457049</v>
      </c>
      <c r="BZ54" s="13">
        <f t="shared" si="136"/>
        <v>1.4365036486859495E-2</v>
      </c>
      <c r="CA54">
        <v>252</v>
      </c>
      <c r="CB54" s="13">
        <f t="shared" si="137"/>
        <v>-8.6956521739130488E-2</v>
      </c>
      <c r="CC54" s="1">
        <v>278952.63230666949</v>
      </c>
      <c r="CD54" s="13">
        <f t="shared" si="138"/>
        <v>-1.9951131634661778E-2</v>
      </c>
      <c r="CE54">
        <v>282</v>
      </c>
      <c r="CF54" s="13">
        <f t="shared" si="139"/>
        <v>0.11904761904761907</v>
      </c>
      <c r="CG54" s="1">
        <v>272644.44091564813</v>
      </c>
      <c r="CH54" s="13">
        <f t="shared" si="140"/>
        <v>-2.2613844289113505E-2</v>
      </c>
      <c r="CI54">
        <v>321</v>
      </c>
      <c r="CJ54" s="13">
        <f t="shared" si="141"/>
        <v>0.13829787234042556</v>
      </c>
      <c r="CK54" s="1">
        <v>267623.34654617088</v>
      </c>
      <c r="CL54" s="13">
        <f t="shared" si="142"/>
        <v>-1.841627268325885E-2</v>
      </c>
      <c r="CM54">
        <v>334</v>
      </c>
      <c r="CN54" s="13">
        <f t="shared" si="143"/>
        <v>4.049844236760114E-2</v>
      </c>
      <c r="CO54" s="1">
        <v>268562.08256027068</v>
      </c>
      <c r="CP54" s="13">
        <v>3.5076760910985882E-3</v>
      </c>
      <c r="CQ54">
        <v>335</v>
      </c>
      <c r="CR54" s="13">
        <v>2.9940119760478723E-3</v>
      </c>
      <c r="CS54" s="1">
        <v>271067.41209640302</v>
      </c>
      <c r="CT54" s="13">
        <f t="shared" si="24"/>
        <v>9.3286792843143562E-3</v>
      </c>
      <c r="CU54">
        <v>395</v>
      </c>
      <c r="CV54" s="13">
        <f t="shared" si="25"/>
        <v>0.17910447761194037</v>
      </c>
      <c r="CW54" s="1">
        <v>268335.43247590959</v>
      </c>
      <c r="CX54" s="13">
        <f t="shared" si="26"/>
        <v>-1.0078598527815008E-2</v>
      </c>
      <c r="CY54">
        <v>373</v>
      </c>
      <c r="CZ54" s="13">
        <f t="shared" si="27"/>
        <v>-5.5696202531645533E-2</v>
      </c>
      <c r="DA54" s="1">
        <v>260112.3859098586</v>
      </c>
      <c r="DB54" s="13">
        <f t="shared" si="28"/>
        <v>-3.0644654305164276E-2</v>
      </c>
      <c r="DC54">
        <v>379</v>
      </c>
      <c r="DD54" s="13">
        <f t="shared" si="29"/>
        <v>1.6085790884718509E-2</v>
      </c>
      <c r="DE54" s="1">
        <v>256375.32464468369</v>
      </c>
      <c r="DF54" s="13">
        <f t="shared" si="30"/>
        <v>-1.4367102328106673E-2</v>
      </c>
      <c r="DG54" s="1">
        <v>369</v>
      </c>
      <c r="DH54" s="13">
        <f t="shared" si="31"/>
        <v>-2.6385224274406371E-2</v>
      </c>
      <c r="DI54" s="1">
        <v>256182.44554933201</v>
      </c>
      <c r="DJ54" s="13">
        <f t="shared" si="32"/>
        <v>-7.5233096484217388E-4</v>
      </c>
      <c r="DK54" s="1">
        <v>349</v>
      </c>
      <c r="DL54" s="13">
        <f t="shared" si="33"/>
        <v>-5.4200542005420016E-2</v>
      </c>
      <c r="DM54" s="1">
        <v>257068.67989954769</v>
      </c>
      <c r="DN54" s="13">
        <f t="shared" si="34"/>
        <v>3.4593875014166109E-3</v>
      </c>
      <c r="DO54" s="1">
        <v>383</v>
      </c>
      <c r="DP54" s="13">
        <f t="shared" si="35"/>
        <v>9.7421203438395443E-2</v>
      </c>
      <c r="DQ54" s="1">
        <v>260347.66817277641</v>
      </c>
      <c r="DR54" s="13">
        <f t="shared" si="36"/>
        <v>1.2755300546569925E-2</v>
      </c>
      <c r="DS54">
        <v>400</v>
      </c>
      <c r="DT54" s="13">
        <f t="shared" si="37"/>
        <v>4.4386422976501416E-2</v>
      </c>
      <c r="DU54" s="1">
        <v>267625.88458051579</v>
      </c>
      <c r="DV54" s="13">
        <f t="shared" si="38"/>
        <v>2.7955758001678266E-2</v>
      </c>
      <c r="DW54">
        <v>406</v>
      </c>
      <c r="DX54" s="13">
        <f t="shared" si="39"/>
        <v>1.4999999999999902E-2</v>
      </c>
      <c r="DY54" s="1">
        <v>272352.34537979559</v>
      </c>
      <c r="DZ54" s="13">
        <f t="shared" si="40"/>
        <v>1.7660701268444878E-2</v>
      </c>
      <c r="EA54" s="1">
        <v>415</v>
      </c>
      <c r="EB54" s="13">
        <f t="shared" si="41"/>
        <v>2.2167487684729092E-2</v>
      </c>
      <c r="EC54" s="1">
        <v>274239.74066575489</v>
      </c>
      <c r="ED54" s="13">
        <f t="shared" si="42"/>
        <v>6.9299762531045417E-3</v>
      </c>
      <c r="EE54" s="1">
        <f>IFERROR(VLOOKUP($A54,[1]Москва_продажа_районы!$C$2:$F$148,2,0),"")</f>
        <v>427</v>
      </c>
      <c r="EF54" s="13">
        <v>2.8915662650602414E-2</v>
      </c>
      <c r="EG54" s="1">
        <v>274068.73395229707</v>
      </c>
      <c r="EH54" s="13">
        <f t="shared" si="43"/>
        <v>-6.2356649347272697E-4</v>
      </c>
      <c r="EI54" s="1">
        <f>IFERROR(VLOOKUP($A54,[2]Москва_продажа_районы!$C$2:$F$150,2,0),"")</f>
        <v>376</v>
      </c>
      <c r="EJ54" s="13">
        <v>-0.11943793911007028</v>
      </c>
      <c r="EK54" s="1">
        <v>270607.66371381492</v>
      </c>
      <c r="EL54" s="13">
        <f t="shared" si="44"/>
        <v>-1.2628475304609421E-2</v>
      </c>
      <c r="EM54">
        <v>326</v>
      </c>
      <c r="EN54" s="13">
        <f t="shared" si="45"/>
        <v>-0.13297872340425532</v>
      </c>
      <c r="EO54" s="1">
        <v>269515.85435090761</v>
      </c>
      <c r="EP54" s="13">
        <f t="shared" si="46"/>
        <v>-4.0346579543363292E-3</v>
      </c>
      <c r="EQ54">
        <v>278</v>
      </c>
      <c r="ER54" s="13">
        <f t="shared" si="47"/>
        <v>-0.14723926380368102</v>
      </c>
      <c r="ES54" s="183">
        <v>274421.76929422299</v>
      </c>
      <c r="ET54" s="13">
        <f t="shared" si="48"/>
        <v>1.8202695181441575E-2</v>
      </c>
      <c r="EU54">
        <v>263</v>
      </c>
      <c r="EV54" s="13">
        <f t="shared" si="49"/>
        <v>-5.3956834532374098E-2</v>
      </c>
      <c r="EW54" s="183">
        <v>276193.21769082092</v>
      </c>
      <c r="EX54" s="13">
        <f t="shared" si="50"/>
        <v>6.4552036128688872E-3</v>
      </c>
      <c r="EY54">
        <v>246</v>
      </c>
      <c r="EZ54" s="13">
        <f t="shared" si="51"/>
        <v>-6.4638783269961975E-2</v>
      </c>
      <c r="FA54" s="1">
        <v>282731.39928934822</v>
      </c>
      <c r="FB54" s="13">
        <f t="shared" si="52"/>
        <v>2.3672491501389281E-2</v>
      </c>
      <c r="FC54" s="1">
        <v>240</v>
      </c>
      <c r="FD54" s="13">
        <f t="shared" si="53"/>
        <v>-2.4390243902439046E-2</v>
      </c>
      <c r="FE54" s="1">
        <v>282704.16262269561</v>
      </c>
      <c r="FF54" s="13">
        <f t="shared" si="54"/>
        <v>-9.6334070856851639E-5</v>
      </c>
      <c r="FG54" s="1">
        <v>232</v>
      </c>
      <c r="FH54" s="13">
        <f t="shared" si="55"/>
        <v>-3.3333333333333326E-2</v>
      </c>
      <c r="FI54" s="1">
        <v>285931.96631069819</v>
      </c>
      <c r="FJ54" s="13">
        <f t="shared" si="56"/>
        <v>1.1417602266827975E-2</v>
      </c>
      <c r="FK54" s="1">
        <v>284</v>
      </c>
      <c r="FL54" s="13">
        <f t="shared" si="57"/>
        <v>0.22413793103448265</v>
      </c>
      <c r="FM54" s="1">
        <v>287765.49436449312</v>
      </c>
      <c r="FN54" s="13">
        <f t="shared" si="58"/>
        <v>6.4124626478545554E-3</v>
      </c>
      <c r="FO54" s="1">
        <v>315</v>
      </c>
      <c r="FP54" s="13">
        <f t="shared" si="59"/>
        <v>0.10915492957746475</v>
      </c>
      <c r="FQ54" s="1">
        <v>286381.79337817791</v>
      </c>
      <c r="FR54" s="13">
        <f t="shared" si="60"/>
        <v>-4.8084326071511363E-3</v>
      </c>
      <c r="FS54">
        <v>298</v>
      </c>
      <c r="FT54" s="13">
        <f t="shared" si="61"/>
        <v>-5.3968253968253999E-2</v>
      </c>
      <c r="FU54" s="1">
        <v>285999.70475135319</v>
      </c>
      <c r="FV54" s="13">
        <f t="shared" si="62"/>
        <v>-1.3341931493534576E-3</v>
      </c>
      <c r="FW54" s="1">
        <v>279</v>
      </c>
      <c r="FX54" s="13">
        <f t="shared" si="63"/>
        <v>-6.375838926174493E-2</v>
      </c>
      <c r="FY54" s="1">
        <v>282230.83641428838</v>
      </c>
      <c r="FZ54" s="13">
        <f t="shared" si="64"/>
        <v>-1.3177874922428501E-2</v>
      </c>
      <c r="GA54" s="1">
        <v>276</v>
      </c>
      <c r="GB54" s="13">
        <f t="shared" si="65"/>
        <v>-1.0752688172043001E-2</v>
      </c>
      <c r="GC54" s="1">
        <v>280260.46601003309</v>
      </c>
      <c r="GD54" s="13">
        <f t="shared" si="66"/>
        <v>-6.9814143248435601E-3</v>
      </c>
      <c r="GE54" s="1">
        <v>295</v>
      </c>
      <c r="GF54" s="13">
        <f t="shared" si="67"/>
        <v>6.8840579710145011E-2</v>
      </c>
      <c r="GG54" s="1">
        <f>IFERROR(VLOOKUP(A54,[3]Москва_продажа_районы!$C$2:$F$149,3,0),"")</f>
        <v>281235.69765328121</v>
      </c>
      <c r="GH54" s="13">
        <v>3.4797331822504773E-3</v>
      </c>
      <c r="GI54" s="1">
        <v>254</v>
      </c>
      <c r="GJ54" s="13">
        <f t="shared" si="68"/>
        <v>-0.13898305084745766</v>
      </c>
      <c r="GK54" s="1">
        <v>283810.89169500372</v>
      </c>
      <c r="GL54" s="13">
        <f t="shared" si="69"/>
        <v>9.1567111259727163E-3</v>
      </c>
      <c r="GM54" s="1">
        <v>257</v>
      </c>
      <c r="GN54" s="13">
        <f t="shared" si="70"/>
        <v>1.1811023622047223E-2</v>
      </c>
      <c r="GO54" s="1">
        <v>287659.78567868483</v>
      </c>
      <c r="GP54" s="13">
        <f t="shared" si="71"/>
        <v>1.3561473841593452E-2</v>
      </c>
      <c r="GQ54" s="1">
        <v>282.48</v>
      </c>
      <c r="GR54" s="13">
        <f t="shared" si="72"/>
        <v>9.9143968871595378E-2</v>
      </c>
      <c r="GS54" s="1">
        <v>277494.29575249698</v>
      </c>
      <c r="GT54" s="13">
        <f t="shared" si="144"/>
        <v>-3.5338585482861617E-2</v>
      </c>
      <c r="GU54">
        <v>250</v>
      </c>
      <c r="GV54" s="13">
        <f t="shared" si="145"/>
        <v>-0.11498159161710564</v>
      </c>
      <c r="GW54">
        <v>278199.30398094212</v>
      </c>
      <c r="GX54" s="13">
        <f t="shared" si="73"/>
        <v>2.5406224172404013E-3</v>
      </c>
      <c r="GY54">
        <v>211</v>
      </c>
      <c r="GZ54" s="13">
        <f t="shared" si="74"/>
        <v>-0.15600000000000003</v>
      </c>
      <c r="HA54">
        <v>283040.7939079408</v>
      </c>
      <c r="HB54" s="13">
        <v>1.7402954851858166E-2</v>
      </c>
      <c r="HC54">
        <v>198</v>
      </c>
      <c r="HD54" s="13">
        <v>-6.1611374407582908E-2</v>
      </c>
      <c r="HE54">
        <v>282847.79446144268</v>
      </c>
      <c r="HF54" s="13">
        <v>-6.8187855126244923E-4</v>
      </c>
      <c r="HG54">
        <v>227</v>
      </c>
      <c r="HH54" s="13">
        <v>0.14646464646464641</v>
      </c>
      <c r="HI54">
        <f>VLOOKUP(A54,[4]Москва_продажа_районы!$C$4:$F$151,3,0)</f>
        <v>283803.22259311029</v>
      </c>
      <c r="HJ54" s="13">
        <f t="shared" si="75"/>
        <v>3.3778878618686559E-3</v>
      </c>
      <c r="HK54">
        <f>VLOOKUP(A54,[4]Москва_продажа_районы!$C$4:$F$151,2,0)</f>
        <v>229</v>
      </c>
      <c r="HL54" s="13">
        <f t="shared" si="76"/>
        <v>8.8105726872247381E-3</v>
      </c>
      <c r="HM54" s="1">
        <f>VLOOKUP(A54,Лист3!$C$4:$F$149,3,0)</f>
        <v>285070.10869113449</v>
      </c>
      <c r="HN54" s="13">
        <f t="shared" si="77"/>
        <v>4.4639595225475226E-3</v>
      </c>
      <c r="HO54">
        <f>VLOOKUP(A54,Лист3!$C$4:$F$149,2,0)</f>
        <v>247</v>
      </c>
      <c r="HP54" s="13">
        <f t="shared" si="78"/>
        <v>7.8602620087336206E-2</v>
      </c>
      <c r="HQ54" s="1">
        <v>289285.19665948558</v>
      </c>
      <c r="HR54" s="13">
        <v>1.4786145021321806E-2</v>
      </c>
      <c r="HS54">
        <v>234</v>
      </c>
      <c r="HT54" s="13">
        <v>-5.2631578947368474E-2</v>
      </c>
      <c r="HU54" s="34">
        <v>285327.93575081922</v>
      </c>
      <c r="HV54" s="13">
        <v>-1.3679444901995463E-2</v>
      </c>
      <c r="HW54">
        <v>230</v>
      </c>
      <c r="HX54" s="13">
        <v>-1.7094017094017144E-2</v>
      </c>
      <c r="HY54">
        <v>295702.50388529297</v>
      </c>
      <c r="HZ54" s="13">
        <v>3.6360155577384479E-2</v>
      </c>
      <c r="IA54">
        <v>223</v>
      </c>
      <c r="IB54" s="13">
        <v>-3.0434782608695699E-2</v>
      </c>
      <c r="IC54" s="34">
        <v>298986.5866898672</v>
      </c>
      <c r="ID54" s="13">
        <v>1.1106036511101536E-2</v>
      </c>
      <c r="IE54">
        <v>231</v>
      </c>
      <c r="IF54" s="13">
        <v>3.5874439461883512E-2</v>
      </c>
    </row>
    <row r="55" spans="1:240" x14ac:dyDescent="0.3">
      <c r="A55" s="23" t="s">
        <v>68</v>
      </c>
      <c r="B55" s="22">
        <v>199848.11286830608</v>
      </c>
      <c r="C55">
        <v>366</v>
      </c>
      <c r="D55" s="22">
        <v>201991.47660802145</v>
      </c>
      <c r="E55">
        <v>374</v>
      </c>
      <c r="F55" s="22">
        <v>205907.55459588475</v>
      </c>
      <c r="G55">
        <v>243</v>
      </c>
      <c r="H55" s="22">
        <v>204564.20518648604</v>
      </c>
      <c r="I55">
        <v>249</v>
      </c>
      <c r="J55" s="22">
        <v>204435.61680419469</v>
      </c>
      <c r="K55">
        <v>319</v>
      </c>
      <c r="L55" s="22">
        <v>204592.11532211205</v>
      </c>
      <c r="M55">
        <v>334</v>
      </c>
      <c r="N55" s="22">
        <v>208926.38020944918</v>
      </c>
      <c r="O55" s="28">
        <v>340</v>
      </c>
      <c r="P55" s="39">
        <v>210444.62688708096</v>
      </c>
      <c r="Q55" s="28">
        <v>300</v>
      </c>
      <c r="R55" s="39">
        <v>214450.15427311778</v>
      </c>
      <c r="S55">
        <v>299</v>
      </c>
      <c r="T55" s="46">
        <v>291764.21607495303</v>
      </c>
      <c r="U55" s="47">
        <v>275</v>
      </c>
      <c r="V55" s="56">
        <v>220806.75205115529</v>
      </c>
      <c r="W55" s="47">
        <v>265</v>
      </c>
      <c r="X55" s="56">
        <v>231728.42912378031</v>
      </c>
      <c r="Y55" s="47">
        <v>243</v>
      </c>
      <c r="Z55" s="34">
        <v>226756.32741197915</v>
      </c>
      <c r="AA55" s="81">
        <v>275</v>
      </c>
      <c r="AB55" s="1">
        <v>236720.13178048449</v>
      </c>
      <c r="AC55">
        <v>293</v>
      </c>
      <c r="AD55" s="1">
        <v>242883.6360301924</v>
      </c>
      <c r="AE55">
        <v>256</v>
      </c>
      <c r="AF55" s="13">
        <f t="shared" si="19"/>
        <v>4.8139138337892184E-2</v>
      </c>
      <c r="AG55" s="85">
        <f t="shared" si="146"/>
        <v>7.0953436807095344E-2</v>
      </c>
      <c r="AH55" s="35">
        <f t="shared" si="147"/>
        <v>10.643015521064301</v>
      </c>
      <c r="AI55" s="87">
        <f t="shared" si="148"/>
        <v>266.64301552106429</v>
      </c>
      <c r="AL55" s="1">
        <v>249829.54603653049</v>
      </c>
      <c r="AM55">
        <v>291</v>
      </c>
      <c r="AN55" s="13">
        <f t="shared" si="149"/>
        <v>7.5623700623700621E-2</v>
      </c>
      <c r="AQ55" s="35">
        <f t="shared" si="150"/>
        <v>10.814189189189189</v>
      </c>
      <c r="AR55" s="87">
        <f t="shared" si="151"/>
        <v>301.81418918918916</v>
      </c>
      <c r="AS55">
        <v>312</v>
      </c>
      <c r="AT55" s="1">
        <v>250955.448148978</v>
      </c>
      <c r="AU55" s="13">
        <f t="shared" si="152"/>
        <v>4.5066811764644665E-3</v>
      </c>
      <c r="AV55" s="35">
        <v>289</v>
      </c>
      <c r="AW55" s="1">
        <v>257715.87377198081</v>
      </c>
      <c r="AX55" s="35">
        <v>313.54735413839893</v>
      </c>
      <c r="AY55" s="121">
        <v>264177.18726884108</v>
      </c>
      <c r="AZ55" s="122">
        <v>284</v>
      </c>
      <c r="BA55" s="119">
        <v>265983.62922001688</v>
      </c>
      <c r="BB55">
        <v>267</v>
      </c>
      <c r="BC55" s="125">
        <f t="shared" si="153"/>
        <v>6.8379937338702845E-3</v>
      </c>
      <c r="BD55">
        <v>303</v>
      </c>
      <c r="BE55" s="1">
        <v>267611.27596893942</v>
      </c>
      <c r="BF55" s="13">
        <f t="shared" si="130"/>
        <v>6.1193493512947672E-3</v>
      </c>
      <c r="BG55">
        <v>257</v>
      </c>
      <c r="BH55" s="1">
        <v>271447.40392827243</v>
      </c>
      <c r="BI55" s="13">
        <f t="shared" si="123"/>
        <v>1.4334702248414377E-2</v>
      </c>
      <c r="BJ55">
        <v>265</v>
      </c>
      <c r="BK55" s="1">
        <v>273577.09343936649</v>
      </c>
      <c r="BL55" s="13">
        <f t="shared" si="131"/>
        <v>7.845680158565127E-3</v>
      </c>
      <c r="BM55" s="1">
        <v>278449.3898399545</v>
      </c>
      <c r="BN55" s="109">
        <f t="shared" si="132"/>
        <v>1.7809591948413139E-2</v>
      </c>
      <c r="BO55">
        <v>272</v>
      </c>
      <c r="BP55" s="13">
        <f t="shared" si="133"/>
        <v>2.6415094339622636E-2</v>
      </c>
      <c r="BQ55" s="1">
        <v>286750.46550856292</v>
      </c>
      <c r="BR55" s="13">
        <f t="shared" si="124"/>
        <v>2.9811793350955629E-2</v>
      </c>
      <c r="BS55">
        <v>332</v>
      </c>
      <c r="BT55" s="13">
        <f t="shared" si="125"/>
        <v>0.22058823529411775</v>
      </c>
      <c r="BU55" s="1">
        <v>294627.5047743661</v>
      </c>
      <c r="BV55" s="13">
        <f t="shared" si="134"/>
        <v>2.7470013873675647E-2</v>
      </c>
      <c r="BW55">
        <v>318</v>
      </c>
      <c r="BX55" s="13">
        <f t="shared" si="135"/>
        <v>-4.216867469879515E-2</v>
      </c>
      <c r="BY55" s="1">
        <v>296592.40588090487</v>
      </c>
      <c r="BZ55" s="13">
        <f t="shared" si="136"/>
        <v>6.6691027643313028E-3</v>
      </c>
      <c r="CA55">
        <v>262</v>
      </c>
      <c r="CB55" s="13">
        <f t="shared" si="137"/>
        <v>-0.17610062893081757</v>
      </c>
      <c r="CC55" s="1">
        <v>295090.43835642602</v>
      </c>
      <c r="CD55" s="13">
        <f t="shared" si="138"/>
        <v>-5.0640795067489197E-3</v>
      </c>
      <c r="CE55">
        <v>302</v>
      </c>
      <c r="CF55" s="13">
        <f t="shared" si="139"/>
        <v>0.15267175572519087</v>
      </c>
      <c r="CG55" s="1">
        <v>290254.62260397512</v>
      </c>
      <c r="CH55" s="13">
        <f t="shared" si="140"/>
        <v>-1.6387571821659397E-2</v>
      </c>
      <c r="CI55">
        <v>322</v>
      </c>
      <c r="CJ55" s="13">
        <f t="shared" si="141"/>
        <v>6.6225165562913801E-2</v>
      </c>
      <c r="CK55" s="1">
        <v>283002.94013099629</v>
      </c>
      <c r="CL55" s="13">
        <f t="shared" si="142"/>
        <v>-2.4983865572652975E-2</v>
      </c>
      <c r="CM55">
        <v>351</v>
      </c>
      <c r="CN55" s="13">
        <f t="shared" si="143"/>
        <v>9.0062111801242128E-2</v>
      </c>
      <c r="CO55" s="1">
        <v>284187.35304873908</v>
      </c>
      <c r="CP55" s="13">
        <v>4.1851611760448382E-3</v>
      </c>
      <c r="CQ55">
        <v>387</v>
      </c>
      <c r="CR55" s="13">
        <v>0.10256410256410264</v>
      </c>
      <c r="CS55" s="1">
        <v>279210.04358649201</v>
      </c>
      <c r="CT55" s="13">
        <f t="shared" si="24"/>
        <v>-1.7514183544239059E-2</v>
      </c>
      <c r="CU55">
        <v>444</v>
      </c>
      <c r="CV55" s="13">
        <f t="shared" si="25"/>
        <v>0.1472868217054264</v>
      </c>
      <c r="CW55" s="1">
        <v>274709.78809547191</v>
      </c>
      <c r="CX55" s="13">
        <f t="shared" si="26"/>
        <v>-1.6117813790699209E-2</v>
      </c>
      <c r="CY55">
        <v>445</v>
      </c>
      <c r="CZ55" s="13">
        <f t="shared" si="27"/>
        <v>2.2522522522523403E-3</v>
      </c>
      <c r="DA55" s="1">
        <v>271059.46102447732</v>
      </c>
      <c r="DB55" s="13">
        <f t="shared" si="28"/>
        <v>-1.3287939597281362E-2</v>
      </c>
      <c r="DC55">
        <v>417</v>
      </c>
      <c r="DD55" s="13">
        <f t="shared" si="29"/>
        <v>-6.2921348314606718E-2</v>
      </c>
      <c r="DE55" s="1">
        <v>268224.17671849811</v>
      </c>
      <c r="DF55" s="13">
        <f t="shared" si="30"/>
        <v>-1.0460008646306473E-2</v>
      </c>
      <c r="DG55" s="1">
        <v>418</v>
      </c>
      <c r="DH55" s="13">
        <f t="shared" si="31"/>
        <v>2.3980815347721673E-3</v>
      </c>
      <c r="DI55" s="1">
        <v>268876.52188468073</v>
      </c>
      <c r="DJ55" s="13">
        <f t="shared" si="32"/>
        <v>2.4320893595928261E-3</v>
      </c>
      <c r="DK55" s="1">
        <v>387</v>
      </c>
      <c r="DL55" s="13">
        <f t="shared" si="33"/>
        <v>-7.4162679425837319E-2</v>
      </c>
      <c r="DM55" s="1">
        <v>270571.54406636278</v>
      </c>
      <c r="DN55" s="13">
        <f t="shared" si="34"/>
        <v>6.3040914461436337E-3</v>
      </c>
      <c r="DO55" s="1">
        <v>373</v>
      </c>
      <c r="DP55" s="13">
        <f t="shared" si="35"/>
        <v>-3.6175710594315236E-2</v>
      </c>
      <c r="DQ55" s="1">
        <v>269209.43153404712</v>
      </c>
      <c r="DR55" s="13">
        <f t="shared" si="36"/>
        <v>-5.0342046759417336E-3</v>
      </c>
      <c r="DS55">
        <v>395</v>
      </c>
      <c r="DT55" s="13">
        <f t="shared" si="37"/>
        <v>5.8981233243967868E-2</v>
      </c>
      <c r="DU55" s="1">
        <v>273486.27550698858</v>
      </c>
      <c r="DV55" s="13">
        <f t="shared" si="38"/>
        <v>1.5886679558626771E-2</v>
      </c>
      <c r="DW55">
        <v>365</v>
      </c>
      <c r="DX55" s="13">
        <f t="shared" si="39"/>
        <v>-7.5949367088607556E-2</v>
      </c>
      <c r="DY55" s="1">
        <v>274513.86625026813</v>
      </c>
      <c r="DZ55" s="13">
        <f t="shared" si="40"/>
        <v>3.7573759099047699E-3</v>
      </c>
      <c r="EA55" s="1">
        <v>354</v>
      </c>
      <c r="EB55" s="13">
        <f t="shared" si="41"/>
        <v>-3.013698630136985E-2</v>
      </c>
      <c r="EC55" s="1">
        <v>274509.35936891253</v>
      </c>
      <c r="ED55" s="13">
        <f t="shared" si="42"/>
        <v>-1.6417681981462096E-5</v>
      </c>
      <c r="EE55" s="1">
        <f>IFERROR(VLOOKUP($A55,[1]Москва_продажа_районы!$C$2:$F$148,2,0),"")</f>
        <v>332</v>
      </c>
      <c r="EF55" s="13">
        <v>-6.2146892655367214E-2</v>
      </c>
      <c r="EG55" s="1">
        <v>273367.19971573103</v>
      </c>
      <c r="EH55" s="13">
        <f t="shared" si="43"/>
        <v>-4.1607311889375609E-3</v>
      </c>
      <c r="EI55" s="1">
        <f>IFERROR(VLOOKUP($A55,[2]Москва_продажа_районы!$C$2:$F$150,2,0),"")</f>
        <v>301</v>
      </c>
      <c r="EJ55" s="13">
        <v>-9.3373493975903665E-2</v>
      </c>
      <c r="EK55" s="1">
        <v>283890.58946096012</v>
      </c>
      <c r="EL55" s="13">
        <f t="shared" si="44"/>
        <v>3.8495436746515788E-2</v>
      </c>
      <c r="EM55">
        <v>268</v>
      </c>
      <c r="EN55" s="13">
        <f t="shared" si="45"/>
        <v>-0.10963455149501666</v>
      </c>
      <c r="EO55" s="1">
        <v>294822.74534202542</v>
      </c>
      <c r="EP55" s="13">
        <f t="shared" si="46"/>
        <v>3.850834189968344E-2</v>
      </c>
      <c r="EQ55">
        <v>261</v>
      </c>
      <c r="ER55" s="13">
        <f t="shared" si="47"/>
        <v>-2.6119402985074647E-2</v>
      </c>
      <c r="ES55" s="183">
        <v>299050.73315505352</v>
      </c>
      <c r="ET55" s="13">
        <f t="shared" si="48"/>
        <v>1.434077892505603E-2</v>
      </c>
      <c r="EU55">
        <v>254</v>
      </c>
      <c r="EV55" s="13">
        <f t="shared" si="49"/>
        <v>-2.6819923371647514E-2</v>
      </c>
      <c r="EW55" s="183">
        <v>298565.68708190869</v>
      </c>
      <c r="EX55" s="13">
        <f t="shared" si="50"/>
        <v>-1.6219524628061643E-3</v>
      </c>
      <c r="EY55">
        <v>260</v>
      </c>
      <c r="EZ55" s="13">
        <f t="shared" si="51"/>
        <v>2.3622047244094446E-2</v>
      </c>
      <c r="FA55" s="1">
        <v>308751.01547223842</v>
      </c>
      <c r="FB55" s="13">
        <f t="shared" si="52"/>
        <v>3.4114196074833902E-2</v>
      </c>
      <c r="FC55" s="1">
        <v>230</v>
      </c>
      <c r="FD55" s="13">
        <f t="shared" si="53"/>
        <v>-0.11538461538461542</v>
      </c>
      <c r="FE55" s="1">
        <v>308187.41388216912</v>
      </c>
      <c r="FF55" s="13">
        <f t="shared" si="54"/>
        <v>-1.8254242474547988E-3</v>
      </c>
      <c r="FG55" s="1">
        <v>242</v>
      </c>
      <c r="FH55" s="13">
        <f t="shared" si="55"/>
        <v>5.2173913043478182E-2</v>
      </c>
      <c r="FI55" s="1">
        <v>307670.94356052642</v>
      </c>
      <c r="FJ55" s="13">
        <f t="shared" si="56"/>
        <v>-1.6758319722951498E-3</v>
      </c>
      <c r="FK55" s="1">
        <v>288</v>
      </c>
      <c r="FL55" s="13">
        <f t="shared" si="57"/>
        <v>0.19008264462809921</v>
      </c>
      <c r="FM55" s="1">
        <v>307947.36017361417</v>
      </c>
      <c r="FN55" s="13">
        <f t="shared" si="58"/>
        <v>8.9841637266396823E-4</v>
      </c>
      <c r="FO55" s="1">
        <v>325</v>
      </c>
      <c r="FP55" s="13">
        <f t="shared" si="59"/>
        <v>0.12847222222222232</v>
      </c>
      <c r="FQ55" s="1">
        <v>305791.47904118558</v>
      </c>
      <c r="FR55" s="13">
        <f t="shared" si="60"/>
        <v>-7.0008105645495977E-3</v>
      </c>
      <c r="FS55">
        <v>322</v>
      </c>
      <c r="FT55" s="13">
        <f t="shared" si="61"/>
        <v>-9.2307692307692646E-3</v>
      </c>
      <c r="FU55" s="1">
        <v>308228.00392393972</v>
      </c>
      <c r="FV55" s="13">
        <f t="shared" si="62"/>
        <v>7.9679292908811927E-3</v>
      </c>
      <c r="FW55" s="1">
        <v>323</v>
      </c>
      <c r="FX55" s="13">
        <f t="shared" si="63"/>
        <v>3.1055900621117516E-3</v>
      </c>
      <c r="FY55" s="1">
        <v>307742.3177815752</v>
      </c>
      <c r="FZ55" s="13">
        <f t="shared" si="64"/>
        <v>-1.5757365851948313E-3</v>
      </c>
      <c r="GA55" s="1">
        <v>327</v>
      </c>
      <c r="GB55" s="13">
        <f t="shared" si="65"/>
        <v>1.2383900928792491E-2</v>
      </c>
      <c r="GC55" s="1">
        <v>304487.52992799139</v>
      </c>
      <c r="GD55" s="13">
        <f t="shared" si="66"/>
        <v>-1.0576341521850607E-2</v>
      </c>
      <c r="GE55" s="1">
        <v>338</v>
      </c>
      <c r="GF55" s="13">
        <f t="shared" si="67"/>
        <v>3.3639143730886945E-2</v>
      </c>
      <c r="GG55" s="1">
        <f>IFERROR(VLOOKUP(A55,[3]Москва_продажа_районы!$C$2:$F$149,3,0),"")</f>
        <v>306328.13793345768</v>
      </c>
      <c r="GH55" s="13">
        <v>6.0449372291258019E-3</v>
      </c>
      <c r="GI55" s="1">
        <v>340</v>
      </c>
      <c r="GJ55" s="13">
        <f t="shared" si="68"/>
        <v>5.9171597633136397E-3</v>
      </c>
      <c r="GK55" s="1">
        <v>305008.84816453012</v>
      </c>
      <c r="GL55" s="13">
        <f t="shared" si="69"/>
        <v>-4.3067861079550962E-3</v>
      </c>
      <c r="GM55" s="1">
        <v>354</v>
      </c>
      <c r="GN55" s="13">
        <f t="shared" si="70"/>
        <v>4.117647058823537E-2</v>
      </c>
      <c r="GO55" s="1">
        <v>303585.99498501187</v>
      </c>
      <c r="GP55" s="13">
        <f t="shared" si="71"/>
        <v>-4.6649570597070422E-3</v>
      </c>
      <c r="GQ55" s="1">
        <v>359.52000000000004</v>
      </c>
      <c r="GR55" s="13">
        <f t="shared" si="72"/>
        <v>1.5593220338983249E-2</v>
      </c>
      <c r="GS55" s="1">
        <v>304086.24405120581</v>
      </c>
      <c r="GT55" s="13">
        <f t="shared" si="144"/>
        <v>1.6478002096855793E-3</v>
      </c>
      <c r="GU55">
        <v>339</v>
      </c>
      <c r="GV55" s="13">
        <f t="shared" si="145"/>
        <v>-5.7076101468624962E-2</v>
      </c>
      <c r="GW55">
        <v>309833.24311421701</v>
      </c>
      <c r="GX55" s="13">
        <f t="shared" si="73"/>
        <v>1.8899240512975757E-2</v>
      </c>
      <c r="GY55">
        <v>302</v>
      </c>
      <c r="GZ55" s="13">
        <f t="shared" si="74"/>
        <v>-0.10914454277286134</v>
      </c>
      <c r="HA55">
        <v>311418.62816754961</v>
      </c>
      <c r="HB55" s="13">
        <v>5.1168978428444145E-3</v>
      </c>
      <c r="HC55">
        <v>274</v>
      </c>
      <c r="HD55" s="13">
        <v>-9.27152317880795E-2</v>
      </c>
      <c r="HE55">
        <v>316295.56107154052</v>
      </c>
      <c r="HF55" s="13">
        <v>1.5660376300183909E-2</v>
      </c>
      <c r="HG55">
        <v>307</v>
      </c>
      <c r="HH55" s="13">
        <v>0.12043795620437958</v>
      </c>
      <c r="HI55">
        <f>VLOOKUP(A55,[4]Москва_продажа_районы!$C$4:$F$151,3,0)</f>
        <v>313227.80676823482</v>
      </c>
      <c r="HJ55" s="13">
        <f t="shared" si="75"/>
        <v>-9.6990115603039495E-3</v>
      </c>
      <c r="HK55">
        <f>VLOOKUP(A55,[4]Москва_продажа_районы!$C$4:$F$151,2,0)</f>
        <v>300</v>
      </c>
      <c r="HL55" s="13">
        <f t="shared" si="76"/>
        <v>-2.2801302931596101E-2</v>
      </c>
      <c r="HM55" s="1">
        <f>VLOOKUP(A55,Лист3!$C$4:$F$149,3,0)</f>
        <v>316204.5280567783</v>
      </c>
      <c r="HN55" s="13">
        <f t="shared" si="77"/>
        <v>9.5033749374173748E-3</v>
      </c>
      <c r="HO55">
        <f>VLOOKUP(A55,Лист3!$C$4:$F$149,2,0)</f>
        <v>291</v>
      </c>
      <c r="HP55" s="13">
        <f t="shared" si="78"/>
        <v>-3.0000000000000027E-2</v>
      </c>
      <c r="HQ55" s="1">
        <v>317994.7836479976</v>
      </c>
      <c r="HR55" s="13">
        <v>5.6617013115569659E-3</v>
      </c>
      <c r="HS55">
        <v>292</v>
      </c>
      <c r="HT55" s="13">
        <v>3.4364261168384758E-3</v>
      </c>
      <c r="HU55" s="34">
        <v>318811.98892923997</v>
      </c>
      <c r="HV55" s="13">
        <v>2.5698700836143118E-3</v>
      </c>
      <c r="HW55">
        <v>269</v>
      </c>
      <c r="HX55" s="13">
        <v>-7.8767123287671215E-2</v>
      </c>
      <c r="HY55">
        <v>320589.94120360591</v>
      </c>
      <c r="HZ55" s="13">
        <v>5.5768049386641927E-3</v>
      </c>
      <c r="IA55">
        <v>279</v>
      </c>
      <c r="IB55" s="13">
        <v>3.7174721189590976E-2</v>
      </c>
      <c r="IC55" s="34">
        <v>325462.92237361881</v>
      </c>
      <c r="ID55" s="13">
        <v>1.5200043868245139E-2</v>
      </c>
      <c r="IE55">
        <v>267</v>
      </c>
      <c r="IF55" s="13">
        <v>-4.3010752688172005E-2</v>
      </c>
    </row>
    <row r="56" spans="1:240" x14ac:dyDescent="0.3">
      <c r="A56" s="23" t="s">
        <v>69</v>
      </c>
      <c r="B56" s="22">
        <v>206542.81981095037</v>
      </c>
      <c r="C56">
        <v>242</v>
      </c>
      <c r="D56" s="22">
        <v>210945.42235283015</v>
      </c>
      <c r="E56">
        <v>265</v>
      </c>
      <c r="F56" s="22">
        <v>215092.60377683613</v>
      </c>
      <c r="G56">
        <v>177</v>
      </c>
      <c r="H56" s="22">
        <v>216360.03020508506</v>
      </c>
      <c r="I56">
        <v>183</v>
      </c>
      <c r="J56" s="22">
        <v>212267.53800004019</v>
      </c>
      <c r="K56">
        <v>217</v>
      </c>
      <c r="L56" s="22">
        <v>215728.88625228248</v>
      </c>
      <c r="M56">
        <v>221</v>
      </c>
      <c r="N56" s="22">
        <v>218057.42289850136</v>
      </c>
      <c r="O56" s="28">
        <v>210</v>
      </c>
      <c r="P56" s="39">
        <v>225733.05574850208</v>
      </c>
      <c r="Q56" s="28">
        <v>210</v>
      </c>
      <c r="R56" s="39">
        <v>232071.82615995369</v>
      </c>
      <c r="S56">
        <v>184</v>
      </c>
      <c r="T56" s="46">
        <v>243413.46137954143</v>
      </c>
      <c r="U56" s="47">
        <v>152</v>
      </c>
      <c r="V56" s="56">
        <v>244794.7248756488</v>
      </c>
      <c r="W56" s="47">
        <v>123</v>
      </c>
      <c r="X56" s="56">
        <v>251598.7430227866</v>
      </c>
      <c r="Y56" s="47">
        <v>120</v>
      </c>
      <c r="Z56" s="34">
        <v>251790.44181620763</v>
      </c>
      <c r="AA56" s="81">
        <v>155</v>
      </c>
      <c r="AB56" s="1">
        <v>259687.0691668035</v>
      </c>
      <c r="AC56">
        <v>165</v>
      </c>
      <c r="AD56" s="1">
        <v>260670.06551061949</v>
      </c>
      <c r="AE56">
        <v>168</v>
      </c>
      <c r="AF56" s="13">
        <f t="shared" si="19"/>
        <v>3.605472101667595E-2</v>
      </c>
      <c r="AG56" s="85">
        <f t="shared" si="146"/>
        <v>4.6563192904656318E-2</v>
      </c>
      <c r="AH56" s="35">
        <f t="shared" si="147"/>
        <v>6.9844789356984478</v>
      </c>
      <c r="AI56" s="87">
        <f t="shared" si="148"/>
        <v>174.98447893569846</v>
      </c>
      <c r="AL56" s="1">
        <v>264064.00408509868</v>
      </c>
      <c r="AM56">
        <v>193</v>
      </c>
      <c r="AN56" s="13">
        <f t="shared" si="149"/>
        <v>5.0155925155925159E-2</v>
      </c>
      <c r="AQ56" s="35">
        <f t="shared" si="150"/>
        <v>7.1722972972972974</v>
      </c>
      <c r="AR56" s="87">
        <f t="shared" si="151"/>
        <v>200.17229729729729</v>
      </c>
      <c r="AS56">
        <v>188</v>
      </c>
      <c r="AT56" s="1">
        <v>265427.32873472897</v>
      </c>
      <c r="AU56" s="13">
        <f t="shared" si="152"/>
        <v>5.1628568397794616E-3</v>
      </c>
      <c r="AV56" s="35">
        <v>194</v>
      </c>
      <c r="AW56" s="1">
        <v>270363.87191262929</v>
      </c>
      <c r="AX56" s="35">
        <v>210.47815468113976</v>
      </c>
      <c r="AY56" s="121">
        <v>274219.08313962113</v>
      </c>
      <c r="AZ56" s="122">
        <v>174</v>
      </c>
      <c r="BA56" s="119">
        <v>280677.21442663693</v>
      </c>
      <c r="BB56">
        <v>189</v>
      </c>
      <c r="BC56" s="125">
        <f t="shared" si="153"/>
        <v>2.3550991466657178E-2</v>
      </c>
      <c r="BD56">
        <v>189</v>
      </c>
      <c r="BE56" s="1">
        <v>283871.87680367928</v>
      </c>
      <c r="BF56" s="13">
        <f t="shared" si="130"/>
        <v>1.1381979771918349E-2</v>
      </c>
      <c r="BG56">
        <v>177</v>
      </c>
      <c r="BH56" s="1">
        <v>287417.35794633749</v>
      </c>
      <c r="BI56" s="13">
        <f t="shared" si="123"/>
        <v>1.2489723119385232E-2</v>
      </c>
      <c r="BJ56">
        <v>181</v>
      </c>
      <c r="BK56" s="1">
        <v>294114.47856243851</v>
      </c>
      <c r="BL56" s="13">
        <f t="shared" si="131"/>
        <v>2.3301030473432238E-2</v>
      </c>
      <c r="BM56" s="1">
        <v>299455.98077178572</v>
      </c>
      <c r="BN56" s="109">
        <f t="shared" si="132"/>
        <v>1.816130316146003E-2</v>
      </c>
      <c r="BO56">
        <v>163</v>
      </c>
      <c r="BP56" s="13">
        <f t="shared" si="133"/>
        <v>-9.9447513812154664E-2</v>
      </c>
      <c r="BQ56" s="1">
        <v>312761.38298439141</v>
      </c>
      <c r="BR56" s="13">
        <f t="shared" si="124"/>
        <v>4.4431913426186354E-2</v>
      </c>
      <c r="BS56">
        <v>179</v>
      </c>
      <c r="BT56" s="13">
        <f t="shared" si="125"/>
        <v>9.8159509202454087E-2</v>
      </c>
      <c r="BU56" s="1">
        <v>328247.56441180862</v>
      </c>
      <c r="BV56" s="13">
        <f t="shared" si="134"/>
        <v>4.951436548734689E-2</v>
      </c>
      <c r="BW56">
        <v>169</v>
      </c>
      <c r="BX56" s="13">
        <f t="shared" si="135"/>
        <v>-5.5865921787709549E-2</v>
      </c>
      <c r="BY56" s="1">
        <v>330991.51644389168</v>
      </c>
      <c r="BZ56" s="13">
        <f t="shared" si="136"/>
        <v>8.3593979958389575E-3</v>
      </c>
      <c r="CA56">
        <v>147</v>
      </c>
      <c r="CB56" s="13">
        <f t="shared" si="137"/>
        <v>-0.13017751479289941</v>
      </c>
      <c r="CC56" s="1">
        <v>319387.6858790894</v>
      </c>
      <c r="CD56" s="13">
        <f t="shared" si="138"/>
        <v>-3.5057788457757422E-2</v>
      </c>
      <c r="CE56">
        <v>146</v>
      </c>
      <c r="CF56" s="13">
        <f t="shared" si="139"/>
        <v>-6.8027210884353817E-3</v>
      </c>
      <c r="CG56" s="1">
        <v>315982.14060832519</v>
      </c>
      <c r="CH56" s="13">
        <f t="shared" si="140"/>
        <v>-1.0662731912755907E-2</v>
      </c>
      <c r="CI56">
        <v>148</v>
      </c>
      <c r="CJ56" s="13">
        <f t="shared" si="141"/>
        <v>1.3698630136986356E-2</v>
      </c>
      <c r="CK56" s="1">
        <v>309358.96486320999</v>
      </c>
      <c r="CL56" s="13">
        <f t="shared" si="142"/>
        <v>-2.0960601546544222E-2</v>
      </c>
      <c r="CM56">
        <v>166</v>
      </c>
      <c r="CN56" s="13">
        <f t="shared" si="143"/>
        <v>0.12162162162162171</v>
      </c>
      <c r="CO56" s="1">
        <v>305248.2926005295</v>
      </c>
      <c r="CP56" s="13">
        <v>-1.328771016704855E-2</v>
      </c>
      <c r="CQ56">
        <v>174</v>
      </c>
      <c r="CR56" s="13">
        <v>4.8192771084337283E-2</v>
      </c>
      <c r="CS56" s="1">
        <v>305046.15995057672</v>
      </c>
      <c r="CT56" s="13">
        <f t="shared" si="24"/>
        <v>-6.6219092736186091E-4</v>
      </c>
      <c r="CU56">
        <v>201</v>
      </c>
      <c r="CV56" s="13">
        <f t="shared" si="25"/>
        <v>0.15517241379310343</v>
      </c>
      <c r="CW56" s="1">
        <v>302606.69321195758</v>
      </c>
      <c r="CX56" s="13">
        <f t="shared" si="26"/>
        <v>-7.9970412970101767E-3</v>
      </c>
      <c r="CY56">
        <v>194</v>
      </c>
      <c r="CZ56" s="13">
        <f t="shared" si="27"/>
        <v>-3.4825870646766122E-2</v>
      </c>
      <c r="DA56" s="1">
        <v>296585.47089931689</v>
      </c>
      <c r="DB56" s="13">
        <f t="shared" si="28"/>
        <v>-1.9897849081689678E-2</v>
      </c>
      <c r="DC56">
        <v>211</v>
      </c>
      <c r="DD56" s="13">
        <f t="shared" si="29"/>
        <v>8.7628865979381354E-2</v>
      </c>
      <c r="DE56" s="1">
        <v>293479.6168308676</v>
      </c>
      <c r="DF56" s="13">
        <f t="shared" si="30"/>
        <v>-1.0472037146767921E-2</v>
      </c>
      <c r="DG56" s="1">
        <v>229</v>
      </c>
      <c r="DH56" s="13">
        <f t="shared" si="31"/>
        <v>8.5308056872037907E-2</v>
      </c>
      <c r="DI56" s="1">
        <v>296583.62866592192</v>
      </c>
      <c r="DJ56" s="13">
        <f t="shared" si="32"/>
        <v>1.0576584052319982E-2</v>
      </c>
      <c r="DK56" s="1">
        <v>232</v>
      </c>
      <c r="DL56" s="13">
        <f t="shared" si="33"/>
        <v>1.3100436681222627E-2</v>
      </c>
      <c r="DM56" s="1">
        <v>300247.17645754549</v>
      </c>
      <c r="DN56" s="13">
        <f t="shared" si="34"/>
        <v>1.235249500487523E-2</v>
      </c>
      <c r="DO56" s="1">
        <v>230</v>
      </c>
      <c r="DP56" s="13">
        <f t="shared" si="35"/>
        <v>-8.6206896551723755E-3</v>
      </c>
      <c r="DQ56" s="1">
        <v>294243.12504360429</v>
      </c>
      <c r="DR56" s="13">
        <f t="shared" si="36"/>
        <v>-1.9997028730726951E-2</v>
      </c>
      <c r="DS56">
        <v>259</v>
      </c>
      <c r="DT56" s="13">
        <f t="shared" si="37"/>
        <v>0.12608695652173907</v>
      </c>
      <c r="DU56" s="1">
        <v>294013.59277070197</v>
      </c>
      <c r="DV56" s="13">
        <f t="shared" si="38"/>
        <v>-7.800769274330932E-4</v>
      </c>
      <c r="DW56">
        <v>241</v>
      </c>
      <c r="DX56" s="13">
        <f t="shared" si="39"/>
        <v>-6.949806949806947E-2</v>
      </c>
      <c r="DY56" s="1">
        <v>301792.79437729937</v>
      </c>
      <c r="DZ56" s="13">
        <f t="shared" si="40"/>
        <v>2.6458646123427076E-2</v>
      </c>
      <c r="EA56" s="1">
        <v>228</v>
      </c>
      <c r="EB56" s="13">
        <f t="shared" si="41"/>
        <v>-5.3941908713692976E-2</v>
      </c>
      <c r="EC56" s="1">
        <v>312579.42999100708</v>
      </c>
      <c r="ED56" s="13">
        <f t="shared" si="42"/>
        <v>3.5741859364018858E-2</v>
      </c>
      <c r="EE56" s="1">
        <f>IFERROR(VLOOKUP($A56,[1]Москва_продажа_районы!$C$2:$F$148,2,0),"")</f>
        <v>215</v>
      </c>
      <c r="EF56" s="13">
        <v>-5.7017543859649078E-2</v>
      </c>
      <c r="EG56" s="1">
        <v>318417.8138415112</v>
      </c>
      <c r="EH56" s="13">
        <f t="shared" si="43"/>
        <v>1.8678080802284613E-2</v>
      </c>
      <c r="EI56" s="1">
        <f>IFERROR(VLOOKUP($A56,[2]Москва_продажа_районы!$C$2:$F$150,2,0),"")</f>
        <v>195</v>
      </c>
      <c r="EJ56" s="13">
        <v>-9.3023255813953543E-2</v>
      </c>
      <c r="EK56" s="1">
        <v>327320.58209901309</v>
      </c>
      <c r="EL56" s="13">
        <f t="shared" si="44"/>
        <v>2.7959391310729664E-2</v>
      </c>
      <c r="EM56">
        <v>175</v>
      </c>
      <c r="EN56" s="13">
        <f t="shared" si="45"/>
        <v>-0.10256410256410253</v>
      </c>
      <c r="EO56" s="1">
        <v>336575.54820464418</v>
      </c>
      <c r="EP56" s="13">
        <f t="shared" si="46"/>
        <v>2.8274928653375886E-2</v>
      </c>
      <c r="EQ56">
        <v>180</v>
      </c>
      <c r="ER56" s="13">
        <f t="shared" si="47"/>
        <v>2.857142857142847E-2</v>
      </c>
      <c r="ES56" s="183">
        <v>342931.92181745009</v>
      </c>
      <c r="ET56" s="13">
        <f t="shared" si="48"/>
        <v>1.8885428982325037E-2</v>
      </c>
      <c r="EU56">
        <v>194</v>
      </c>
      <c r="EV56" s="13">
        <f t="shared" si="49"/>
        <v>7.7777777777777724E-2</v>
      </c>
      <c r="EW56" s="183">
        <v>343587.8021479444</v>
      </c>
      <c r="EX56" s="13">
        <f t="shared" si="50"/>
        <v>1.912567156239886E-3</v>
      </c>
      <c r="EY56">
        <v>190</v>
      </c>
      <c r="EZ56" s="13">
        <f t="shared" si="51"/>
        <v>-2.0618556701030966E-2</v>
      </c>
      <c r="FA56" s="1">
        <v>337965.35665210453</v>
      </c>
      <c r="FB56" s="13">
        <f t="shared" si="52"/>
        <v>-1.6363926369594828E-2</v>
      </c>
      <c r="FC56" s="1">
        <v>178</v>
      </c>
      <c r="FD56" s="13">
        <f t="shared" si="53"/>
        <v>-6.315789473684208E-2</v>
      </c>
      <c r="FE56" s="1">
        <v>339804.70690695138</v>
      </c>
      <c r="FF56" s="13">
        <f t="shared" si="54"/>
        <v>5.4424224810125654E-3</v>
      </c>
      <c r="FG56" s="1">
        <v>175</v>
      </c>
      <c r="FH56" s="13">
        <f t="shared" si="55"/>
        <v>-1.6853932584269704E-2</v>
      </c>
      <c r="FI56" s="1">
        <v>345837.86595665902</v>
      </c>
      <c r="FJ56" s="13">
        <f t="shared" si="56"/>
        <v>1.7754783636236393E-2</v>
      </c>
      <c r="FK56" s="1">
        <v>202</v>
      </c>
      <c r="FL56" s="13">
        <f t="shared" si="57"/>
        <v>0.15428571428571436</v>
      </c>
      <c r="FM56" s="1">
        <v>344168.81572315848</v>
      </c>
      <c r="FN56" s="13">
        <f t="shared" si="58"/>
        <v>-4.8261060970973269E-3</v>
      </c>
      <c r="FO56" s="1">
        <v>192</v>
      </c>
      <c r="FP56" s="13">
        <f t="shared" si="59"/>
        <v>-4.9504950495049549E-2</v>
      </c>
      <c r="FQ56" s="1">
        <v>351351.7365446238</v>
      </c>
      <c r="FR56" s="13">
        <f t="shared" si="60"/>
        <v>2.0870341801225489E-2</v>
      </c>
      <c r="FS56">
        <v>183</v>
      </c>
      <c r="FT56" s="13">
        <f t="shared" si="61"/>
        <v>-4.6875E-2</v>
      </c>
      <c r="FU56" s="1">
        <v>348154.38638349518</v>
      </c>
      <c r="FV56" s="13">
        <f t="shared" si="62"/>
        <v>-9.1001404819370801E-3</v>
      </c>
      <c r="FW56" s="1">
        <v>175</v>
      </c>
      <c r="FX56" s="13">
        <f t="shared" si="63"/>
        <v>-4.3715846994535568E-2</v>
      </c>
      <c r="FY56" s="1">
        <v>355372.93391677272</v>
      </c>
      <c r="FZ56" s="13">
        <f t="shared" si="64"/>
        <v>2.0733754379088198E-2</v>
      </c>
      <c r="GA56" s="1">
        <v>180</v>
      </c>
      <c r="GB56" s="13">
        <f t="shared" si="65"/>
        <v>2.857142857142847E-2</v>
      </c>
      <c r="GC56" s="1">
        <v>343892.58006875147</v>
      </c>
      <c r="GD56" s="13">
        <f t="shared" si="66"/>
        <v>-3.2305087845294067E-2</v>
      </c>
      <c r="GE56" s="1">
        <v>175</v>
      </c>
      <c r="GF56" s="13">
        <f t="shared" si="67"/>
        <v>-2.777777777777779E-2</v>
      </c>
      <c r="GG56" s="1">
        <f>IFERROR(VLOOKUP(A56,[3]Москва_продажа_районы!$C$2:$F$149,3,0),"")</f>
        <v>337301.40092281648</v>
      </c>
      <c r="GH56" s="13">
        <v>-1.9166389529594596E-2</v>
      </c>
      <c r="GI56" s="1">
        <v>170</v>
      </c>
      <c r="GJ56" s="13">
        <f t="shared" si="68"/>
        <v>-2.8571428571428581E-2</v>
      </c>
      <c r="GK56" s="1">
        <v>342992.05914001999</v>
      </c>
      <c r="GL56" s="13">
        <f t="shared" si="69"/>
        <v>1.6871137213289256E-2</v>
      </c>
      <c r="GM56" s="1">
        <v>194</v>
      </c>
      <c r="GN56" s="13">
        <f t="shared" si="70"/>
        <v>0.14117647058823524</v>
      </c>
      <c r="GO56" s="1">
        <v>340630.90701478021</v>
      </c>
      <c r="GP56" s="13">
        <f t="shared" si="71"/>
        <v>-6.8839848104934598E-3</v>
      </c>
      <c r="GQ56" s="1">
        <v>194.74</v>
      </c>
      <c r="GR56" s="13">
        <f t="shared" si="72"/>
        <v>3.8144329896907525E-3</v>
      </c>
      <c r="GS56" s="1">
        <v>341780.98229392897</v>
      </c>
      <c r="GT56" s="13">
        <f t="shared" si="144"/>
        <v>3.3763092410721285E-3</v>
      </c>
      <c r="GU56">
        <v>177</v>
      </c>
      <c r="GV56" s="13">
        <f t="shared" si="145"/>
        <v>-9.1095820067782718E-2</v>
      </c>
      <c r="GW56">
        <v>355161.21061337233</v>
      </c>
      <c r="GX56" s="13">
        <f t="shared" si="73"/>
        <v>3.9148545450479411E-2</v>
      </c>
      <c r="GY56">
        <v>170</v>
      </c>
      <c r="GZ56" s="13">
        <f t="shared" si="74"/>
        <v>-3.9548022598870025E-2</v>
      </c>
      <c r="HA56">
        <v>361010.51301472221</v>
      </c>
      <c r="HB56" s="13">
        <v>1.6469429167808025E-2</v>
      </c>
      <c r="HC56">
        <v>154</v>
      </c>
      <c r="HD56" s="13">
        <v>-9.4117647058823528E-2</v>
      </c>
      <c r="HE56">
        <v>352680.25467951992</v>
      </c>
      <c r="HF56" s="13">
        <v>-2.3074835870119381E-2</v>
      </c>
      <c r="HG56">
        <v>147</v>
      </c>
      <c r="HH56" s="13">
        <v>-4.5454545454545414E-2</v>
      </c>
      <c r="HI56">
        <f>VLOOKUP(A56,[4]Москва_продажа_районы!$C$4:$F$151,3,0)</f>
        <v>359351.07027303497</v>
      </c>
      <c r="HJ56" s="13">
        <f t="shared" si="75"/>
        <v>1.8914627357227154E-2</v>
      </c>
      <c r="HK56">
        <f>VLOOKUP(A56,[4]Москва_продажа_районы!$C$4:$F$151,2,0)</f>
        <v>161</v>
      </c>
      <c r="HL56" s="13">
        <f t="shared" si="76"/>
        <v>9.5238095238095344E-2</v>
      </c>
      <c r="HM56" s="1">
        <f>VLOOKUP(A56,Лист3!$C$4:$F$149,3,0)</f>
        <v>360052.53094912268</v>
      </c>
      <c r="HN56" s="13">
        <f t="shared" si="77"/>
        <v>1.9520205562619797E-3</v>
      </c>
      <c r="HO56">
        <f>VLOOKUP(A56,Лист3!$C$4:$F$149,2,0)</f>
        <v>169</v>
      </c>
      <c r="HP56" s="13">
        <f t="shared" si="78"/>
        <v>4.9689440993788914E-2</v>
      </c>
      <c r="HQ56" s="1">
        <v>356009.3195087185</v>
      </c>
      <c r="HR56" s="13">
        <v>-1.1229504288571501E-2</v>
      </c>
      <c r="HS56">
        <v>183</v>
      </c>
      <c r="HT56" s="13">
        <v>8.2840236686390512E-2</v>
      </c>
      <c r="HU56" s="34">
        <v>357366.80626683548</v>
      </c>
      <c r="HV56" s="13">
        <v>3.8130652309615876E-3</v>
      </c>
      <c r="HW56">
        <v>183</v>
      </c>
      <c r="HX56" s="13">
        <v>0</v>
      </c>
      <c r="HY56">
        <v>354496.61641649302</v>
      </c>
      <c r="HZ56" s="13">
        <v>-8.0314953711715376E-3</v>
      </c>
      <c r="IA56">
        <v>179</v>
      </c>
      <c r="IB56" s="13">
        <v>-2.1857923497267784E-2</v>
      </c>
      <c r="IC56" s="34">
        <v>348788.46815160278</v>
      </c>
      <c r="ID56" s="13">
        <v>-1.6102123406965929E-2</v>
      </c>
      <c r="IE56">
        <v>179</v>
      </c>
      <c r="IF56" s="13">
        <v>0</v>
      </c>
    </row>
    <row r="57" spans="1:240" x14ac:dyDescent="0.3">
      <c r="A57" s="23" t="s">
        <v>70</v>
      </c>
      <c r="B57" s="22">
        <v>125475.28601094341</v>
      </c>
      <c r="C57">
        <v>53</v>
      </c>
      <c r="D57" s="22">
        <v>130169.15855065575</v>
      </c>
      <c r="E57">
        <v>61</v>
      </c>
      <c r="F57" s="22">
        <v>131185.60628948722</v>
      </c>
      <c r="G57">
        <v>39</v>
      </c>
      <c r="H57" s="22">
        <v>129663.9955438265</v>
      </c>
      <c r="I57">
        <v>45</v>
      </c>
      <c r="J57" s="22">
        <v>127696.44710527544</v>
      </c>
      <c r="K57">
        <v>58</v>
      </c>
      <c r="L57" s="22">
        <v>126257.4542842057</v>
      </c>
      <c r="M57">
        <v>52</v>
      </c>
      <c r="N57" s="22">
        <v>129706.95841980452</v>
      </c>
      <c r="O57" s="28">
        <v>34</v>
      </c>
      <c r="P57" s="39">
        <v>129770.4596873368</v>
      </c>
      <c r="Q57" s="28">
        <v>30</v>
      </c>
      <c r="R57" s="39">
        <v>129741.74356894207</v>
      </c>
      <c r="S57">
        <v>42</v>
      </c>
      <c r="T57" s="46">
        <v>132535.50057402166</v>
      </c>
      <c r="U57" s="47">
        <v>33</v>
      </c>
      <c r="V57" s="56">
        <v>135929.9837937718</v>
      </c>
      <c r="W57" s="47">
        <v>30</v>
      </c>
      <c r="X57" s="56">
        <v>134918.68910004699</v>
      </c>
      <c r="Y57" s="47">
        <v>37</v>
      </c>
      <c r="Z57" s="34">
        <v>153542.01606346318</v>
      </c>
      <c r="AA57" s="81">
        <v>40</v>
      </c>
      <c r="AB57" s="1">
        <v>155313.54899637069</v>
      </c>
      <c r="AC57">
        <v>43</v>
      </c>
      <c r="AD57" s="1">
        <v>161219.9769979642</v>
      </c>
      <c r="AE57">
        <v>35</v>
      </c>
      <c r="AF57" s="13">
        <f t="shared" si="19"/>
        <v>0.19494176880427494</v>
      </c>
      <c r="AG57" s="85">
        <f t="shared" si="146"/>
        <v>9.7006651884700666E-3</v>
      </c>
      <c r="AH57" s="35">
        <f t="shared" si="147"/>
        <v>1.45509977827051</v>
      </c>
      <c r="AI57" s="87">
        <f t="shared" si="148"/>
        <v>36.455099778270508</v>
      </c>
      <c r="AL57" s="1">
        <v>165223.13043059511</v>
      </c>
      <c r="AM57">
        <v>39</v>
      </c>
      <c r="AN57" s="13">
        <f t="shared" si="149"/>
        <v>1.0135135135135136E-2</v>
      </c>
      <c r="AQ57" s="35">
        <f t="shared" si="150"/>
        <v>1.4493243243243243</v>
      </c>
      <c r="AR57" s="87">
        <f t="shared" si="151"/>
        <v>40.449324324324323</v>
      </c>
      <c r="AS57">
        <v>45</v>
      </c>
      <c r="AT57" s="1">
        <v>165255.07112644601</v>
      </c>
      <c r="AU57" s="13">
        <f t="shared" si="152"/>
        <v>1.9331854908966051E-4</v>
      </c>
      <c r="AV57" s="35">
        <v>50</v>
      </c>
      <c r="AW57" s="1">
        <v>182026.51450608371</v>
      </c>
      <c r="AX57" s="35">
        <v>54.246947082767981</v>
      </c>
      <c r="AY57" s="121">
        <v>180356.88814736161</v>
      </c>
      <c r="AZ57" s="122">
        <v>44</v>
      </c>
      <c r="BA57" s="119">
        <v>176692.89766224491</v>
      </c>
      <c r="BB57">
        <v>42</v>
      </c>
      <c r="BC57" s="125">
        <f t="shared" si="153"/>
        <v>-2.0315223459183906E-2</v>
      </c>
      <c r="BD57">
        <v>52</v>
      </c>
      <c r="BE57" s="1">
        <v>175933.43539195819</v>
      </c>
      <c r="BF57" s="13">
        <f t="shared" si="130"/>
        <v>-4.2982048533635187E-3</v>
      </c>
      <c r="BG57">
        <v>45</v>
      </c>
      <c r="BH57" s="1">
        <v>175683.9213591833</v>
      </c>
      <c r="BI57" s="13">
        <f t="shared" si="123"/>
        <v>-1.4182297538782862E-3</v>
      </c>
      <c r="BJ57">
        <v>50</v>
      </c>
      <c r="BK57" s="1">
        <v>178401.9158860716</v>
      </c>
      <c r="BL57" s="13">
        <f t="shared" si="131"/>
        <v>1.5470934994280983E-2</v>
      </c>
      <c r="BM57" s="1">
        <v>179240.1562015223</v>
      </c>
      <c r="BN57" s="109">
        <f t="shared" si="132"/>
        <v>4.6986060171350097E-3</v>
      </c>
      <c r="BO57">
        <v>36</v>
      </c>
      <c r="BP57" s="13">
        <f t="shared" si="133"/>
        <v>-0.28000000000000003</v>
      </c>
      <c r="BQ57" s="1">
        <v>179864.0448636075</v>
      </c>
      <c r="BR57" s="13">
        <f t="shared" si="124"/>
        <v>3.4807415665480956E-3</v>
      </c>
      <c r="BS57">
        <v>41</v>
      </c>
      <c r="BT57" s="13">
        <f t="shared" si="125"/>
        <v>0.13888888888888884</v>
      </c>
      <c r="BU57" s="1">
        <v>181108.82626130019</v>
      </c>
      <c r="BV57" s="13">
        <f t="shared" si="134"/>
        <v>6.9206794422789208E-3</v>
      </c>
      <c r="BW57">
        <v>49</v>
      </c>
      <c r="BX57" s="13">
        <f t="shared" si="135"/>
        <v>0.19512195121951215</v>
      </c>
      <c r="BY57" s="1">
        <v>177846.37084585361</v>
      </c>
      <c r="BZ57" s="13">
        <f t="shared" si="136"/>
        <v>-1.801378476573845E-2</v>
      </c>
      <c r="CA57">
        <v>37</v>
      </c>
      <c r="CB57" s="13">
        <f t="shared" si="137"/>
        <v>-0.24489795918367352</v>
      </c>
      <c r="CC57" s="1">
        <v>177747.2104600129</v>
      </c>
      <c r="CD57" s="13">
        <f t="shared" si="138"/>
        <v>-5.5756204284129751E-4</v>
      </c>
      <c r="CE57">
        <v>43</v>
      </c>
      <c r="CF57" s="13">
        <f t="shared" si="139"/>
        <v>0.16216216216216206</v>
      </c>
      <c r="CG57" s="1">
        <v>182079.0621306705</v>
      </c>
      <c r="CH57" s="13">
        <f t="shared" si="140"/>
        <v>2.4370856000759167E-2</v>
      </c>
      <c r="CI57">
        <v>60</v>
      </c>
      <c r="CJ57" s="13">
        <f t="shared" si="141"/>
        <v>0.39534883720930236</v>
      </c>
      <c r="CK57" s="1">
        <v>180045.74929722681</v>
      </c>
      <c r="CL57" s="13">
        <f t="shared" si="142"/>
        <v>-1.1167197423196717E-2</v>
      </c>
      <c r="CM57">
        <v>59</v>
      </c>
      <c r="CN57" s="13">
        <f t="shared" si="143"/>
        <v>-1.6666666666666718E-2</v>
      </c>
      <c r="CO57" s="1">
        <v>175032.7466343783</v>
      </c>
      <c r="CP57" s="13">
        <v>-2.7842938155528629E-2</v>
      </c>
      <c r="CQ57">
        <v>57</v>
      </c>
      <c r="CR57" s="13">
        <v>-3.3898305084745783E-2</v>
      </c>
      <c r="CS57" s="1">
        <v>180277.5266891504</v>
      </c>
      <c r="CT57" s="13">
        <f t="shared" si="24"/>
        <v>2.9964564663592874E-2</v>
      </c>
      <c r="CU57">
        <v>57</v>
      </c>
      <c r="CV57" s="13">
        <f t="shared" si="25"/>
        <v>0</v>
      </c>
      <c r="CW57" s="1">
        <v>175721.294000194</v>
      </c>
      <c r="CX57" s="13">
        <f t="shared" si="26"/>
        <v>-2.5273436864998944E-2</v>
      </c>
      <c r="CY57">
        <v>54</v>
      </c>
      <c r="CZ57" s="13">
        <f t="shared" si="27"/>
        <v>-5.2631578947368474E-2</v>
      </c>
      <c r="DA57" s="1">
        <v>167083.2517720756</v>
      </c>
      <c r="DB57" s="13">
        <f t="shared" si="28"/>
        <v>-4.9157629286003646E-2</v>
      </c>
      <c r="DC57">
        <v>43</v>
      </c>
      <c r="DD57" s="13">
        <f t="shared" si="29"/>
        <v>-0.20370370370370372</v>
      </c>
      <c r="DE57" s="1">
        <v>163856.15129865709</v>
      </c>
      <c r="DF57" s="13">
        <f t="shared" si="30"/>
        <v>-1.9314326476125299E-2</v>
      </c>
      <c r="DG57" s="1">
        <v>41</v>
      </c>
      <c r="DH57" s="13">
        <f t="shared" si="31"/>
        <v>-4.6511627906976716E-2</v>
      </c>
      <c r="DI57" s="1">
        <v>178042.5055450318</v>
      </c>
      <c r="DJ57" s="13">
        <f t="shared" si="32"/>
        <v>8.657809996109056E-2</v>
      </c>
      <c r="DK57" s="1">
        <v>43</v>
      </c>
      <c r="DL57" s="13">
        <f t="shared" si="33"/>
        <v>4.8780487804878092E-2</v>
      </c>
      <c r="DM57" s="1">
        <v>183040.3976376249</v>
      </c>
      <c r="DN57" s="13">
        <f t="shared" si="34"/>
        <v>2.8071342162329982E-2</v>
      </c>
      <c r="DO57" s="1">
        <v>60</v>
      </c>
      <c r="DP57" s="13">
        <f t="shared" si="35"/>
        <v>0.39534883720930236</v>
      </c>
      <c r="DQ57" s="1">
        <v>191583.7761331709</v>
      </c>
      <c r="DR57" s="13">
        <f t="shared" si="36"/>
        <v>4.667482482451657E-2</v>
      </c>
      <c r="DS57">
        <v>60</v>
      </c>
      <c r="DT57" s="13">
        <f t="shared" si="37"/>
        <v>0</v>
      </c>
      <c r="DU57" s="1">
        <v>191216.63563561719</v>
      </c>
      <c r="DV57" s="13">
        <f t="shared" si="38"/>
        <v>-1.9163444053765799E-3</v>
      </c>
      <c r="DW57">
        <v>55</v>
      </c>
      <c r="DX57" s="13">
        <f t="shared" si="39"/>
        <v>-8.333333333333337E-2</v>
      </c>
      <c r="DY57" s="1">
        <v>185781.37211384889</v>
      </c>
      <c r="DZ57" s="13">
        <f t="shared" si="40"/>
        <v>-2.8424637342358339E-2</v>
      </c>
      <c r="EA57" s="1">
        <v>53</v>
      </c>
      <c r="EB57" s="13">
        <f t="shared" si="41"/>
        <v>-3.6363636363636376E-2</v>
      </c>
      <c r="EC57" s="1">
        <v>187281.34802836311</v>
      </c>
      <c r="ED57" s="13">
        <f t="shared" si="42"/>
        <v>8.0738768233179492E-3</v>
      </c>
      <c r="EE57" s="1">
        <f>IFERROR(VLOOKUP($A57,[1]Москва_продажа_районы!$C$2:$F$148,2,0),"")</f>
        <v>51</v>
      </c>
      <c r="EF57" s="13">
        <v>-3.7735849056603765E-2</v>
      </c>
      <c r="EG57" s="1">
        <v>185356.339250716</v>
      </c>
      <c r="EH57" s="13">
        <f t="shared" si="43"/>
        <v>-1.02786999234733E-2</v>
      </c>
      <c r="EI57" s="1">
        <f>IFERROR(VLOOKUP($A57,[2]Москва_продажа_районы!$C$2:$F$150,2,0),"")</f>
        <v>41</v>
      </c>
      <c r="EJ57" s="13">
        <v>-0.19607843137254899</v>
      </c>
      <c r="EK57" s="1">
        <v>196371.30497770041</v>
      </c>
      <c r="EL57" s="13">
        <f t="shared" si="44"/>
        <v>5.9425891617795656E-2</v>
      </c>
      <c r="EM57">
        <v>56</v>
      </c>
      <c r="EN57" s="13">
        <f t="shared" si="45"/>
        <v>0.36585365853658547</v>
      </c>
      <c r="EO57" s="1">
        <v>205507.15627221059</v>
      </c>
      <c r="EP57" s="13">
        <f t="shared" si="46"/>
        <v>4.6523351747077557E-2</v>
      </c>
      <c r="EQ57">
        <v>54</v>
      </c>
      <c r="ER57" s="13">
        <f t="shared" si="47"/>
        <v>-3.5714285714285698E-2</v>
      </c>
      <c r="ES57" s="183">
        <v>196444.04346887369</v>
      </c>
      <c r="ET57" s="13">
        <f t="shared" si="48"/>
        <v>-4.4101202934909378E-2</v>
      </c>
      <c r="EU57">
        <v>42</v>
      </c>
      <c r="EV57" s="13">
        <f t="shared" si="49"/>
        <v>-0.22222222222222221</v>
      </c>
      <c r="EW57" s="183">
        <v>197177.85780782541</v>
      </c>
      <c r="EX57" s="13">
        <f t="shared" si="50"/>
        <v>3.7354878569682004E-3</v>
      </c>
      <c r="EY57">
        <v>45</v>
      </c>
      <c r="EZ57" s="13">
        <f t="shared" si="51"/>
        <v>7.1428571428571397E-2</v>
      </c>
      <c r="FA57" s="1">
        <v>195549.28040515649</v>
      </c>
      <c r="FB57" s="13">
        <f t="shared" si="52"/>
        <v>-8.2594334920514934E-3</v>
      </c>
      <c r="FC57" s="1">
        <v>38</v>
      </c>
      <c r="FD57" s="13">
        <f t="shared" si="53"/>
        <v>-0.15555555555555556</v>
      </c>
      <c r="FE57" s="1">
        <v>190307.88666881269</v>
      </c>
      <c r="FF57" s="13">
        <f t="shared" si="54"/>
        <v>-2.680344169758242E-2</v>
      </c>
      <c r="FG57" s="1">
        <v>29</v>
      </c>
      <c r="FH57" s="13">
        <f t="shared" si="55"/>
        <v>-0.23684210526315785</v>
      </c>
      <c r="FI57" s="1">
        <v>192887.4085338701</v>
      </c>
      <c r="FJ57" s="13">
        <f t="shared" si="56"/>
        <v>1.3554466450181657E-2</v>
      </c>
      <c r="FK57" s="1">
        <v>36</v>
      </c>
      <c r="FL57" s="13">
        <f t="shared" si="57"/>
        <v>0.24137931034482762</v>
      </c>
      <c r="FM57" s="1">
        <v>200804.5233842165</v>
      </c>
      <c r="FN57" s="13">
        <f t="shared" si="58"/>
        <v>4.104526526912311E-2</v>
      </c>
      <c r="FO57" s="1">
        <v>50</v>
      </c>
      <c r="FP57" s="13">
        <f t="shared" si="59"/>
        <v>0.38888888888888884</v>
      </c>
      <c r="FQ57" s="1">
        <v>203667.0731325926</v>
      </c>
      <c r="FR57" s="13">
        <f t="shared" si="60"/>
        <v>1.4255404709678565E-2</v>
      </c>
      <c r="FS57">
        <v>63</v>
      </c>
      <c r="FT57" s="13">
        <f t="shared" si="61"/>
        <v>0.26</v>
      </c>
      <c r="FU57" s="1">
        <v>192397.79486194911</v>
      </c>
      <c r="FV57" s="13">
        <f t="shared" si="62"/>
        <v>-5.5331861440886421E-2</v>
      </c>
      <c r="FW57" s="1">
        <v>63</v>
      </c>
      <c r="FX57" s="13">
        <f t="shared" si="63"/>
        <v>0</v>
      </c>
      <c r="FY57" s="1">
        <v>191463.11451909889</v>
      </c>
      <c r="FZ57" s="13">
        <f t="shared" si="64"/>
        <v>-4.8580616192658299E-3</v>
      </c>
      <c r="GA57" s="1">
        <v>73</v>
      </c>
      <c r="GB57" s="13">
        <f t="shared" si="65"/>
        <v>0.15873015873015883</v>
      </c>
      <c r="GC57" s="1">
        <v>195403.0850351768</v>
      </c>
      <c r="GD57" s="13">
        <f t="shared" si="66"/>
        <v>2.0578222212534358E-2</v>
      </c>
      <c r="GE57" s="1">
        <v>62</v>
      </c>
      <c r="GF57" s="13">
        <f t="shared" si="67"/>
        <v>-0.15068493150684936</v>
      </c>
      <c r="GG57" s="1">
        <f>IFERROR(VLOOKUP(A57,[3]Москва_продажа_районы!$C$2:$F$149,3,0),"")</f>
        <v>192808.88942273191</v>
      </c>
      <c r="GH57" s="13">
        <v>-1.3276124130680356E-2</v>
      </c>
      <c r="GI57" s="1">
        <v>52</v>
      </c>
      <c r="GJ57" s="13">
        <f t="shared" si="68"/>
        <v>-0.16129032258064513</v>
      </c>
      <c r="GK57" s="1">
        <v>191113.12689097779</v>
      </c>
      <c r="GL57" s="13">
        <f t="shared" si="69"/>
        <v>-8.79504330340386E-3</v>
      </c>
      <c r="GM57" s="1">
        <v>61</v>
      </c>
      <c r="GN57" s="13">
        <f t="shared" si="70"/>
        <v>0.17307692307692313</v>
      </c>
      <c r="GO57" s="1">
        <v>183660.78999974049</v>
      </c>
      <c r="GP57" s="13">
        <f t="shared" si="71"/>
        <v>-3.8994374758404504E-2</v>
      </c>
      <c r="GQ57" s="1">
        <v>59.92</v>
      </c>
      <c r="GR57" s="13">
        <f t="shared" si="72"/>
        <v>-1.7704918032786843E-2</v>
      </c>
      <c r="GS57" s="1">
        <v>180079.40059612971</v>
      </c>
      <c r="GT57" s="13">
        <f t="shared" si="144"/>
        <v>-1.9500021771744702E-2</v>
      </c>
      <c r="GU57">
        <v>50</v>
      </c>
      <c r="GV57" s="13">
        <f t="shared" si="145"/>
        <v>-0.16555407209612816</v>
      </c>
      <c r="GW57">
        <v>184401.25486773439</v>
      </c>
      <c r="GX57" s="13">
        <f t="shared" si="73"/>
        <v>2.3999714888531143E-2</v>
      </c>
      <c r="GY57">
        <v>48</v>
      </c>
      <c r="GZ57" s="13">
        <f t="shared" si="74"/>
        <v>-4.0000000000000036E-2</v>
      </c>
      <c r="HA57">
        <v>187238.1474361479</v>
      </c>
      <c r="HB57" s="13">
        <v>1.5384345244550124E-2</v>
      </c>
      <c r="HC57">
        <v>42</v>
      </c>
      <c r="HD57" s="13">
        <v>-0.125</v>
      </c>
      <c r="HE57">
        <v>185670.9132007522</v>
      </c>
      <c r="HF57" s="13">
        <v>-8.3702720671821051E-3</v>
      </c>
      <c r="HG57">
        <v>43</v>
      </c>
      <c r="HH57" s="13">
        <v>2.3809523809523725E-2</v>
      </c>
      <c r="HI57">
        <f>VLOOKUP(A57,[4]Москва_продажа_районы!$C$4:$F$151,3,0)</f>
        <v>195384.2838787947</v>
      </c>
      <c r="HJ57" s="13">
        <f t="shared" si="75"/>
        <v>5.2314983055747444E-2</v>
      </c>
      <c r="HK57">
        <f>VLOOKUP(A57,[4]Москва_продажа_районы!$C$4:$F$151,2,0)</f>
        <v>41</v>
      </c>
      <c r="HL57" s="13">
        <f t="shared" si="76"/>
        <v>-4.6511627906976716E-2</v>
      </c>
      <c r="HM57" s="1">
        <f>VLOOKUP(A57,Лист3!$C$4:$F$149,3,0)</f>
        <v>192168.28077297489</v>
      </c>
      <c r="HN57" s="13">
        <f t="shared" si="77"/>
        <v>-1.6459886342828023E-2</v>
      </c>
      <c r="HO57">
        <f>VLOOKUP(A57,Лист3!$C$4:$F$149,2,0)</f>
        <v>25</v>
      </c>
      <c r="HP57" s="13">
        <f t="shared" si="78"/>
        <v>-0.3902439024390244</v>
      </c>
      <c r="HQ57" s="1">
        <v>199391.54592558631</v>
      </c>
      <c r="HR57" s="13">
        <v>3.7588228002855884E-2</v>
      </c>
      <c r="HS57">
        <v>36</v>
      </c>
      <c r="HT57" s="13">
        <v>0.43999999999999995</v>
      </c>
      <c r="HU57" s="34">
        <v>207921.99361660119</v>
      </c>
      <c r="HV57" s="13">
        <v>4.2782394064984519E-2</v>
      </c>
      <c r="HW57">
        <v>37</v>
      </c>
      <c r="HX57" s="13">
        <v>2.7777777777777679E-2</v>
      </c>
      <c r="HY57">
        <v>202244.17893820931</v>
      </c>
      <c r="HZ57" s="13">
        <v>-2.730742707701006E-2</v>
      </c>
      <c r="IA57">
        <v>39</v>
      </c>
      <c r="IB57" s="13">
        <v>5.4054054054053946E-2</v>
      </c>
      <c r="IC57" s="34">
        <v>200302.290555071</v>
      </c>
      <c r="ID57" s="13">
        <v>-9.6017022261570828E-3</v>
      </c>
      <c r="IE57">
        <v>42</v>
      </c>
      <c r="IF57" s="13">
        <v>7.6923076923076872E-2</v>
      </c>
    </row>
    <row r="58" spans="1:240" x14ac:dyDescent="0.3">
      <c r="A58" s="23" t="s">
        <v>71</v>
      </c>
      <c r="B58" s="22">
        <v>232506.58669941826</v>
      </c>
      <c r="C58">
        <v>361</v>
      </c>
      <c r="D58" s="22">
        <v>235108.58134792914</v>
      </c>
      <c r="E58">
        <v>338</v>
      </c>
      <c r="F58" s="22">
        <v>244358.95890530606</v>
      </c>
      <c r="G58">
        <v>245</v>
      </c>
      <c r="H58" s="22">
        <v>240542.71959212254</v>
      </c>
      <c r="I58">
        <v>248</v>
      </c>
      <c r="J58" s="22">
        <v>236451.83847978697</v>
      </c>
      <c r="K58">
        <v>307</v>
      </c>
      <c r="L58" s="22">
        <v>234270.94488734557</v>
      </c>
      <c r="M58">
        <v>298</v>
      </c>
      <c r="N58" s="22">
        <v>237508.10237148404</v>
      </c>
      <c r="O58" s="28">
        <v>282</v>
      </c>
      <c r="P58" s="39">
        <v>242867.4029761446</v>
      </c>
      <c r="Q58" s="28">
        <v>282</v>
      </c>
      <c r="R58" s="39">
        <v>245577.22565231315</v>
      </c>
      <c r="S58">
        <v>273</v>
      </c>
      <c r="T58" s="46">
        <v>252601.63255993943</v>
      </c>
      <c r="U58" s="47">
        <v>262</v>
      </c>
      <c r="V58" s="56">
        <v>259293.1152921507</v>
      </c>
      <c r="W58" s="47">
        <v>213</v>
      </c>
      <c r="X58" s="56">
        <v>264037.35808221129</v>
      </c>
      <c r="Y58" s="47">
        <v>204</v>
      </c>
      <c r="Z58" s="34">
        <v>262673.36371593684</v>
      </c>
      <c r="AA58" s="81">
        <v>237</v>
      </c>
      <c r="AB58" s="1">
        <v>275205.98590361408</v>
      </c>
      <c r="AC58">
        <v>252</v>
      </c>
      <c r="AD58" s="1">
        <v>286435.87167446711</v>
      </c>
      <c r="AE58">
        <v>230</v>
      </c>
      <c r="AF58" s="13">
        <f t="shared" si="19"/>
        <v>8.4830850281730763E-2</v>
      </c>
      <c r="AG58" s="85">
        <f t="shared" si="146"/>
        <v>6.3747228381374726E-2</v>
      </c>
      <c r="AH58" s="35">
        <f t="shared" si="147"/>
        <v>9.5620842572062088</v>
      </c>
      <c r="AI58" s="87">
        <f t="shared" si="148"/>
        <v>239.56208425720621</v>
      </c>
      <c r="AL58" s="1">
        <v>291181.92632065283</v>
      </c>
      <c r="AM58">
        <v>250</v>
      </c>
      <c r="AN58" s="13">
        <f t="shared" si="149"/>
        <v>6.4968814968814972E-2</v>
      </c>
      <c r="AQ58" s="35">
        <f t="shared" si="150"/>
        <v>9.2905405405405403</v>
      </c>
      <c r="AR58" s="87">
        <f t="shared" si="151"/>
        <v>259.29054054054052</v>
      </c>
      <c r="AS58">
        <v>255</v>
      </c>
      <c r="AT58" s="1">
        <v>291311.13910789299</v>
      </c>
      <c r="AU58" s="13">
        <f t="shared" si="152"/>
        <v>4.4375277295838345E-4</v>
      </c>
      <c r="AV58" s="35">
        <v>250</v>
      </c>
      <c r="AW58" s="1">
        <v>292509.20125835133</v>
      </c>
      <c r="AX58" s="35">
        <v>271.23473541383987</v>
      </c>
      <c r="AY58" s="121">
        <v>303709.96735501318</v>
      </c>
      <c r="AZ58" s="122">
        <v>236</v>
      </c>
      <c r="BA58" s="119">
        <v>307121.16091650078</v>
      </c>
      <c r="BB58">
        <v>231</v>
      </c>
      <c r="BC58" s="125">
        <f t="shared" si="153"/>
        <v>1.123174715402131E-2</v>
      </c>
      <c r="BD58">
        <v>248</v>
      </c>
      <c r="BE58" s="1">
        <v>310821.22781970107</v>
      </c>
      <c r="BF58" s="13">
        <f t="shared" si="130"/>
        <v>1.2047580479829678E-2</v>
      </c>
      <c r="BG58">
        <v>242</v>
      </c>
      <c r="BH58" s="1">
        <v>314843.28171843331</v>
      </c>
      <c r="BI58" s="13">
        <f t="shared" si="123"/>
        <v>1.2940087544681234E-2</v>
      </c>
      <c r="BJ58">
        <v>264</v>
      </c>
      <c r="BK58" s="1">
        <v>325600.73654595797</v>
      </c>
      <c r="BL58" s="13">
        <f t="shared" si="131"/>
        <v>3.4167649278745493E-2</v>
      </c>
      <c r="BM58" s="1">
        <v>330878.79983354232</v>
      </c>
      <c r="BN58" s="109">
        <f t="shared" si="132"/>
        <v>1.6210231412788545E-2</v>
      </c>
      <c r="BO58">
        <v>243</v>
      </c>
      <c r="BP58" s="13">
        <f t="shared" si="133"/>
        <v>-7.9545454545454586E-2</v>
      </c>
      <c r="BQ58" s="1">
        <v>333644.03930569952</v>
      </c>
      <c r="BR58" s="13">
        <f t="shared" si="124"/>
        <v>8.3572579251023349E-3</v>
      </c>
      <c r="BS58">
        <v>247</v>
      </c>
      <c r="BT58" s="13">
        <f t="shared" si="125"/>
        <v>1.6460905349794164E-2</v>
      </c>
      <c r="BU58" s="1">
        <v>352973.86200329248</v>
      </c>
      <c r="BV58" s="13">
        <f t="shared" si="134"/>
        <v>5.7935465407437103E-2</v>
      </c>
      <c r="BW58">
        <v>223</v>
      </c>
      <c r="BX58" s="13">
        <f t="shared" si="135"/>
        <v>-9.7165991902834037E-2</v>
      </c>
      <c r="BY58" s="1">
        <v>353196.97332820517</v>
      </c>
      <c r="BZ58" s="13">
        <f t="shared" si="136"/>
        <v>6.3209021667054444E-4</v>
      </c>
      <c r="CA58">
        <v>230</v>
      </c>
      <c r="CB58" s="13">
        <f t="shared" si="137"/>
        <v>3.1390134529148073E-2</v>
      </c>
      <c r="CC58" s="1">
        <v>338765.64545667451</v>
      </c>
      <c r="CD58" s="13">
        <f t="shared" si="138"/>
        <v>-4.0859149317002963E-2</v>
      </c>
      <c r="CE58">
        <v>230</v>
      </c>
      <c r="CF58" s="13">
        <f t="shared" si="139"/>
        <v>0</v>
      </c>
      <c r="CG58" s="1">
        <v>333051.21948905312</v>
      </c>
      <c r="CH58" s="13">
        <f t="shared" si="140"/>
        <v>-1.6868375067719876E-2</v>
      </c>
      <c r="CI58">
        <v>262</v>
      </c>
      <c r="CJ58" s="13">
        <f t="shared" si="141"/>
        <v>0.13913043478260878</v>
      </c>
      <c r="CK58" s="1">
        <v>330859.39960184961</v>
      </c>
      <c r="CL58" s="13">
        <f t="shared" si="142"/>
        <v>-6.5810294601715835E-3</v>
      </c>
      <c r="CM58">
        <v>262</v>
      </c>
      <c r="CN58" s="13">
        <f t="shared" si="143"/>
        <v>0</v>
      </c>
      <c r="CO58" s="1">
        <v>328139.65229503781</v>
      </c>
      <c r="CP58" s="13">
        <v>-8.220250989044553E-3</v>
      </c>
      <c r="CQ58">
        <v>265</v>
      </c>
      <c r="CR58" s="13">
        <v>1.1450381679389388E-2</v>
      </c>
      <c r="CS58" s="1">
        <v>330560.65580931189</v>
      </c>
      <c r="CT58" s="13">
        <f t="shared" si="24"/>
        <v>7.3779669641915735E-3</v>
      </c>
      <c r="CU58">
        <v>296</v>
      </c>
      <c r="CV58" s="13">
        <f t="shared" si="25"/>
        <v>0.11698113207547167</v>
      </c>
      <c r="CW58" s="1">
        <v>322849.52522921318</v>
      </c>
      <c r="CX58" s="13">
        <f t="shared" si="26"/>
        <v>-2.3327430063386001E-2</v>
      </c>
      <c r="CY58">
        <v>318</v>
      </c>
      <c r="CZ58" s="13">
        <f t="shared" si="27"/>
        <v>7.4324324324324342E-2</v>
      </c>
      <c r="DA58" s="1">
        <v>322614.41629388061</v>
      </c>
      <c r="DB58" s="13">
        <f t="shared" si="28"/>
        <v>-7.2823069869976109E-4</v>
      </c>
      <c r="DC58">
        <v>295</v>
      </c>
      <c r="DD58" s="13">
        <f t="shared" si="29"/>
        <v>-7.2327044025157217E-2</v>
      </c>
      <c r="DE58" s="1">
        <v>322030.31852476962</v>
      </c>
      <c r="DF58" s="13">
        <f t="shared" si="30"/>
        <v>-1.8105135406563111E-3</v>
      </c>
      <c r="DG58" s="1">
        <v>292</v>
      </c>
      <c r="DH58" s="13">
        <f t="shared" si="31"/>
        <v>-1.016949152542368E-2</v>
      </c>
      <c r="DI58" s="1">
        <v>324926.34012756502</v>
      </c>
      <c r="DJ58" s="13">
        <f t="shared" si="32"/>
        <v>8.9930091553558356E-3</v>
      </c>
      <c r="DK58" s="1">
        <v>293</v>
      </c>
      <c r="DL58" s="13">
        <f t="shared" si="33"/>
        <v>3.424657534246478E-3</v>
      </c>
      <c r="DM58" s="1">
        <v>326073.53046639351</v>
      </c>
      <c r="DN58" s="13">
        <f t="shared" si="34"/>
        <v>3.5306166264579275E-3</v>
      </c>
      <c r="DO58" s="1">
        <v>301</v>
      </c>
      <c r="DP58" s="13">
        <f t="shared" si="35"/>
        <v>2.7303754266211566E-2</v>
      </c>
      <c r="DQ58" s="1">
        <v>329082.47962226352</v>
      </c>
      <c r="DR58" s="13">
        <f t="shared" si="36"/>
        <v>9.2278240173810921E-3</v>
      </c>
      <c r="DS58">
        <v>329</v>
      </c>
      <c r="DT58" s="13">
        <f t="shared" si="37"/>
        <v>9.3023255813953432E-2</v>
      </c>
      <c r="DU58" s="1">
        <v>330069.16722411418</v>
      </c>
      <c r="DV58" s="13">
        <f t="shared" si="38"/>
        <v>2.9982987942209771E-3</v>
      </c>
      <c r="DW58">
        <v>329</v>
      </c>
      <c r="DX58" s="13">
        <f t="shared" si="39"/>
        <v>0</v>
      </c>
      <c r="DY58" s="1">
        <v>324334.4093903696</v>
      </c>
      <c r="DZ58" s="13">
        <f t="shared" si="40"/>
        <v>-1.7374412405660178E-2</v>
      </c>
      <c r="EA58" s="1">
        <v>321</v>
      </c>
      <c r="EB58" s="13">
        <f t="shared" si="41"/>
        <v>-2.4316109422492405E-2</v>
      </c>
      <c r="EC58" s="1">
        <v>324059.62651918712</v>
      </c>
      <c r="ED58" s="13">
        <f t="shared" si="42"/>
        <v>-8.4722084128840969E-4</v>
      </c>
      <c r="EE58" s="1">
        <f>IFERROR(VLOOKUP($A58,[1]Москва_продажа_районы!$C$2:$F$148,2,0),"")</f>
        <v>323</v>
      </c>
      <c r="EF58" s="13">
        <v>6.230529595015577E-3</v>
      </c>
      <c r="EG58" s="1">
        <v>322102.65875707997</v>
      </c>
      <c r="EH58" s="13">
        <f t="shared" si="43"/>
        <v>-6.0389126011390903E-3</v>
      </c>
      <c r="EI58" s="1">
        <f>IFERROR(VLOOKUP($A58,[2]Москва_продажа_районы!$C$2:$F$150,2,0),"")</f>
        <v>277</v>
      </c>
      <c r="EJ58" s="13">
        <v>-0.14241486068111453</v>
      </c>
      <c r="EK58" s="1">
        <v>334243.07761732402</v>
      </c>
      <c r="EL58" s="13">
        <f t="shared" si="44"/>
        <v>3.7691147620734E-2</v>
      </c>
      <c r="EM58">
        <v>268</v>
      </c>
      <c r="EN58" s="13">
        <f t="shared" si="45"/>
        <v>-3.2490974729241895E-2</v>
      </c>
      <c r="EO58" s="1">
        <v>341014.85031322099</v>
      </c>
      <c r="EP58" s="13">
        <f t="shared" si="46"/>
        <v>2.0260023765249047E-2</v>
      </c>
      <c r="EQ58">
        <v>238</v>
      </c>
      <c r="ER58" s="13">
        <f t="shared" si="47"/>
        <v>-0.11194029850746268</v>
      </c>
      <c r="ES58" s="183">
        <v>341983.15872554987</v>
      </c>
      <c r="ET58" s="13">
        <f t="shared" si="48"/>
        <v>2.8394904545638866E-3</v>
      </c>
      <c r="EU58">
        <v>223</v>
      </c>
      <c r="EV58" s="13">
        <f t="shared" si="49"/>
        <v>-6.3025210084033612E-2</v>
      </c>
      <c r="EW58" s="183">
        <v>351290.67929339758</v>
      </c>
      <c r="EX58" s="13">
        <f t="shared" si="50"/>
        <v>2.7216312646896279E-2</v>
      </c>
      <c r="EY58">
        <v>232</v>
      </c>
      <c r="EZ58" s="13">
        <f t="shared" si="51"/>
        <v>4.0358744394618729E-2</v>
      </c>
      <c r="FA58" s="1">
        <v>347250.17708508618</v>
      </c>
      <c r="FB58" s="13">
        <f t="shared" si="52"/>
        <v>-1.1501877067842114E-2</v>
      </c>
      <c r="FC58" s="1">
        <v>215</v>
      </c>
      <c r="FD58" s="13">
        <f t="shared" si="53"/>
        <v>-7.3275862068965525E-2</v>
      </c>
      <c r="FE58" s="1">
        <v>346135.52364154288</v>
      </c>
      <c r="FF58" s="13">
        <f t="shared" si="54"/>
        <v>-3.2099434848384956E-3</v>
      </c>
      <c r="FG58" s="1">
        <v>215</v>
      </c>
      <c r="FH58" s="13">
        <f t="shared" si="55"/>
        <v>0</v>
      </c>
      <c r="FI58" s="1">
        <v>359166.87528458581</v>
      </c>
      <c r="FJ58" s="13">
        <f t="shared" si="56"/>
        <v>3.7648119747853981E-2</v>
      </c>
      <c r="FK58" s="1">
        <v>283</v>
      </c>
      <c r="FL58" s="13">
        <f t="shared" si="57"/>
        <v>0.3162790697674418</v>
      </c>
      <c r="FM58" s="1">
        <v>362279.25299604161</v>
      </c>
      <c r="FN58" s="13">
        <f t="shared" si="58"/>
        <v>8.6655477596304653E-3</v>
      </c>
      <c r="FO58" s="1">
        <v>286</v>
      </c>
      <c r="FP58" s="13">
        <f t="shared" si="59"/>
        <v>1.0600706713780994E-2</v>
      </c>
      <c r="FQ58" s="1">
        <v>361450.59064168972</v>
      </c>
      <c r="FR58" s="13">
        <f t="shared" si="60"/>
        <v>-2.2873580187076081E-3</v>
      </c>
      <c r="FS58">
        <v>290</v>
      </c>
      <c r="FT58" s="13">
        <f t="shared" si="61"/>
        <v>1.3986013986013957E-2</v>
      </c>
      <c r="FU58" s="1">
        <v>364126.03734890762</v>
      </c>
      <c r="FV58" s="13">
        <f t="shared" si="62"/>
        <v>7.4019707713526284E-3</v>
      </c>
      <c r="FW58" s="1">
        <v>254</v>
      </c>
      <c r="FX58" s="13">
        <f t="shared" si="63"/>
        <v>-0.12413793103448278</v>
      </c>
      <c r="FY58" s="1">
        <v>361513.40434073552</v>
      </c>
      <c r="FZ58" s="13">
        <f t="shared" si="64"/>
        <v>-7.1750787919312442E-3</v>
      </c>
      <c r="GA58" s="1">
        <v>276</v>
      </c>
      <c r="GB58" s="13">
        <f t="shared" si="65"/>
        <v>8.6614173228346525E-2</v>
      </c>
      <c r="GC58" s="1">
        <v>366644.89149801352</v>
      </c>
      <c r="GD58" s="13">
        <f t="shared" si="66"/>
        <v>1.419445889326254E-2</v>
      </c>
      <c r="GE58" s="1">
        <v>275</v>
      </c>
      <c r="GF58" s="13">
        <f t="shared" si="67"/>
        <v>-3.6231884057971175E-3</v>
      </c>
      <c r="GG58" s="1">
        <f>IFERROR(VLOOKUP(A58,[3]Москва_продажа_районы!$C$2:$F$149,3,0),"")</f>
        <v>372997.97917825449</v>
      </c>
      <c r="GH58" s="13">
        <v>1.7327631797306564E-2</v>
      </c>
      <c r="GI58" s="1">
        <v>268</v>
      </c>
      <c r="GJ58" s="13">
        <f t="shared" si="68"/>
        <v>-2.5454545454545507E-2</v>
      </c>
      <c r="GK58" s="1">
        <v>365208.2006646556</v>
      </c>
      <c r="GL58" s="13">
        <f t="shared" si="69"/>
        <v>-2.0884237846972908E-2</v>
      </c>
      <c r="GM58" s="1">
        <v>296</v>
      </c>
      <c r="GN58" s="13">
        <f t="shared" si="70"/>
        <v>0.10447761194029859</v>
      </c>
      <c r="GO58" s="1">
        <v>361995.49804441648</v>
      </c>
      <c r="GP58" s="13">
        <f t="shared" si="71"/>
        <v>-8.7969071187125047E-3</v>
      </c>
      <c r="GQ58" s="1">
        <v>315.65000000000003</v>
      </c>
      <c r="GR58" s="13">
        <f t="shared" si="72"/>
        <v>6.638513513513522E-2</v>
      </c>
      <c r="GS58" s="1">
        <v>361899.69714606582</v>
      </c>
      <c r="GT58" s="13">
        <f t="shared" si="144"/>
        <v>-2.6464665684577948E-4</v>
      </c>
      <c r="GU58">
        <v>326</v>
      </c>
      <c r="GV58" s="13">
        <f t="shared" si="145"/>
        <v>3.2789482021226002E-2</v>
      </c>
      <c r="GW58">
        <v>365907.96048488811</v>
      </c>
      <c r="GX58" s="13">
        <f t="shared" si="73"/>
        <v>1.1075619489133048E-2</v>
      </c>
      <c r="GY58">
        <v>285</v>
      </c>
      <c r="GZ58" s="13">
        <f t="shared" si="74"/>
        <v>-0.12576687116564422</v>
      </c>
      <c r="HA58">
        <v>372568.39911029983</v>
      </c>
      <c r="HB58" s="13">
        <v>1.82024971978898E-2</v>
      </c>
      <c r="HC58">
        <v>259</v>
      </c>
      <c r="HD58" s="13">
        <v>-9.1228070175438547E-2</v>
      </c>
      <c r="HE58">
        <v>371232.8107048294</v>
      </c>
      <c r="HF58" s="13">
        <v>-3.5848139795533474E-3</v>
      </c>
      <c r="HG58">
        <v>251</v>
      </c>
      <c r="HH58" s="13">
        <v>-3.0888030888030937E-2</v>
      </c>
      <c r="HI58">
        <f>VLOOKUP(A58,[4]Москва_продажа_районы!$C$4:$F$151,3,0)</f>
        <v>381026.82168962521</v>
      </c>
      <c r="HJ58" s="13">
        <f t="shared" si="75"/>
        <v>2.6382395904609668E-2</v>
      </c>
      <c r="HK58">
        <f>VLOOKUP(A58,[4]Москва_продажа_районы!$C$4:$F$151,2,0)</f>
        <v>242</v>
      </c>
      <c r="HL58" s="13">
        <f t="shared" si="76"/>
        <v>-3.5856573705179251E-2</v>
      </c>
      <c r="HM58" s="1">
        <f>VLOOKUP(A58,Лист3!$C$4:$F$149,3,0)</f>
        <v>378828.23346210399</v>
      </c>
      <c r="HN58" s="13">
        <f t="shared" si="77"/>
        <v>-5.7701665666783919E-3</v>
      </c>
      <c r="HO58">
        <f>VLOOKUP(A58,Лист3!$C$4:$F$149,2,0)</f>
        <v>209</v>
      </c>
      <c r="HP58" s="13">
        <f t="shared" si="78"/>
        <v>-0.13636363636363635</v>
      </c>
      <c r="HQ58" s="1">
        <v>374477.63342555892</v>
      </c>
      <c r="HR58" s="13">
        <v>-1.1484360594734566E-2</v>
      </c>
      <c r="HS58">
        <v>207</v>
      </c>
      <c r="HT58" s="13">
        <v>-9.5693779904306719E-3</v>
      </c>
      <c r="HU58" s="34">
        <v>379044.38132476952</v>
      </c>
      <c r="HV58" s="13">
        <v>1.2194981733450794E-2</v>
      </c>
      <c r="HW58">
        <v>199</v>
      </c>
      <c r="HX58" s="13">
        <v>-3.8647342995169032E-2</v>
      </c>
      <c r="HY58">
        <v>381111.04475508392</v>
      </c>
      <c r="HZ58" s="13">
        <v>5.4522993404924058E-3</v>
      </c>
      <c r="IA58">
        <v>203</v>
      </c>
      <c r="IB58" s="13">
        <v>2.0100502512562901E-2</v>
      </c>
      <c r="IC58" s="34">
        <v>373815.23447482119</v>
      </c>
      <c r="ID58" s="13">
        <v>-1.9143528849842939E-2</v>
      </c>
      <c r="IE58">
        <v>189</v>
      </c>
      <c r="IF58" s="13">
        <v>-6.8965517241379337E-2</v>
      </c>
    </row>
    <row r="59" spans="1:240" x14ac:dyDescent="0.3">
      <c r="A59" s="23" t="s">
        <v>72</v>
      </c>
      <c r="B59" s="22">
        <v>260655.52615323744</v>
      </c>
      <c r="C59">
        <v>278</v>
      </c>
      <c r="D59" s="22">
        <v>264704.66034612549</v>
      </c>
      <c r="E59">
        <v>271</v>
      </c>
      <c r="F59" s="22">
        <v>280726.23291055555</v>
      </c>
      <c r="G59">
        <v>180</v>
      </c>
      <c r="H59" s="22">
        <v>269169.57586485951</v>
      </c>
      <c r="I59">
        <v>200</v>
      </c>
      <c r="J59" s="22">
        <v>278244.31829015253</v>
      </c>
      <c r="K59">
        <v>234</v>
      </c>
      <c r="L59" s="22">
        <v>274264.25741105649</v>
      </c>
      <c r="M59">
        <v>233</v>
      </c>
      <c r="N59" s="22">
        <v>279818.44224759215</v>
      </c>
      <c r="O59" s="28">
        <v>215</v>
      </c>
      <c r="P59" s="39">
        <v>282095.34341718513</v>
      </c>
      <c r="Q59" s="28">
        <v>208</v>
      </c>
      <c r="R59" s="39">
        <v>283345.87657946319</v>
      </c>
      <c r="S59">
        <v>208</v>
      </c>
      <c r="T59" s="46">
        <v>290636.57740796159</v>
      </c>
      <c r="U59" s="47">
        <v>171</v>
      </c>
      <c r="V59" s="56">
        <v>284545.00705333881</v>
      </c>
      <c r="W59" s="47">
        <v>155</v>
      </c>
      <c r="X59" s="56">
        <v>295941.75119877252</v>
      </c>
      <c r="Y59" s="47">
        <v>148</v>
      </c>
      <c r="Z59" s="34">
        <v>301521.50691360416</v>
      </c>
      <c r="AA59" s="81">
        <v>173</v>
      </c>
      <c r="AB59" s="1">
        <v>303662.0825894117</v>
      </c>
      <c r="AC59">
        <v>184</v>
      </c>
      <c r="AD59" s="1">
        <v>307450.62319292157</v>
      </c>
      <c r="AE59">
        <v>162</v>
      </c>
      <c r="AF59" s="13">
        <f t="shared" si="19"/>
        <v>3.8888977129891256E-2</v>
      </c>
      <c r="AG59" s="85">
        <f t="shared" si="146"/>
        <v>4.4900221729490021E-2</v>
      </c>
      <c r="AH59" s="35">
        <f t="shared" si="147"/>
        <v>6.7350332594235027</v>
      </c>
      <c r="AI59" s="87">
        <f t="shared" si="148"/>
        <v>168.73503325942352</v>
      </c>
      <c r="AL59" s="1">
        <v>314253.34069754329</v>
      </c>
      <c r="AM59">
        <v>173</v>
      </c>
      <c r="AN59" s="13">
        <f t="shared" si="149"/>
        <v>4.4958419958419961E-2</v>
      </c>
      <c r="AQ59" s="35">
        <f t="shared" si="150"/>
        <v>6.4290540540540544</v>
      </c>
      <c r="AR59" s="87">
        <f t="shared" si="151"/>
        <v>179.42905405405406</v>
      </c>
      <c r="AS59">
        <v>167</v>
      </c>
      <c r="AT59" s="1">
        <v>315140.926090008</v>
      </c>
      <c r="AU59" s="13">
        <f t="shared" si="152"/>
        <v>2.8244262749745896E-3</v>
      </c>
      <c r="AV59" s="35">
        <v>171</v>
      </c>
      <c r="AW59" s="1">
        <v>327219.4234130159</v>
      </c>
      <c r="AX59" s="35">
        <v>185.52455902306647</v>
      </c>
      <c r="AY59" s="121">
        <v>337415.07652658038</v>
      </c>
      <c r="AZ59" s="122">
        <v>157</v>
      </c>
      <c r="BA59" s="119">
        <v>341932.58699120831</v>
      </c>
      <c r="BB59">
        <v>167</v>
      </c>
      <c r="BC59" s="125">
        <f t="shared" si="153"/>
        <v>1.3388585095639893E-2</v>
      </c>
      <c r="BD59">
        <v>174</v>
      </c>
      <c r="BE59" s="1">
        <v>344115.2170117037</v>
      </c>
      <c r="BF59" s="13">
        <f t="shared" si="130"/>
        <v>6.3832173461475517E-3</v>
      </c>
      <c r="BG59">
        <v>159</v>
      </c>
      <c r="BH59" s="1">
        <v>351522.5494712512</v>
      </c>
      <c r="BI59" s="13">
        <f t="shared" si="123"/>
        <v>2.1525733514119905E-2</v>
      </c>
      <c r="BJ59">
        <v>154</v>
      </c>
      <c r="BK59" s="1">
        <v>352737.52730238758</v>
      </c>
      <c r="BL59" s="13">
        <f t="shared" si="131"/>
        <v>3.4563297090439704E-3</v>
      </c>
      <c r="BM59" s="1">
        <v>357403.58266828518</v>
      </c>
      <c r="BN59" s="109">
        <f t="shared" si="132"/>
        <v>1.3228122909354045E-2</v>
      </c>
      <c r="BO59">
        <v>162</v>
      </c>
      <c r="BP59" s="13">
        <f t="shared" si="133"/>
        <v>5.1948051948051965E-2</v>
      </c>
      <c r="BQ59" s="1">
        <v>365797.79893363442</v>
      </c>
      <c r="BR59" s="13">
        <f t="shared" si="124"/>
        <v>2.3486659542358623E-2</v>
      </c>
      <c r="BS59">
        <v>166</v>
      </c>
      <c r="BT59" s="13">
        <f t="shared" si="125"/>
        <v>2.4691358024691468E-2</v>
      </c>
      <c r="BU59" s="1">
        <v>388687.03637504909</v>
      </c>
      <c r="BV59" s="13">
        <f t="shared" si="134"/>
        <v>6.2573469572919427E-2</v>
      </c>
      <c r="BW59">
        <v>159</v>
      </c>
      <c r="BX59" s="13">
        <f t="shared" si="135"/>
        <v>-4.216867469879515E-2</v>
      </c>
      <c r="BY59" s="1">
        <v>382002.64727493923</v>
      </c>
      <c r="BZ59" s="13">
        <f t="shared" si="136"/>
        <v>-1.7197355390211722E-2</v>
      </c>
      <c r="CA59">
        <v>164</v>
      </c>
      <c r="CB59" s="13">
        <f t="shared" si="137"/>
        <v>3.1446540880503138E-2</v>
      </c>
      <c r="CC59" s="1">
        <v>359316.22479092382</v>
      </c>
      <c r="CD59" s="13">
        <f t="shared" si="138"/>
        <v>-5.9388128972015397E-2</v>
      </c>
      <c r="CE59">
        <v>202</v>
      </c>
      <c r="CF59" s="13">
        <f t="shared" si="139"/>
        <v>0.23170731707317072</v>
      </c>
      <c r="CG59" s="1">
        <v>365370.15276951733</v>
      </c>
      <c r="CH59" s="13">
        <f t="shared" si="140"/>
        <v>1.6848468176231535E-2</v>
      </c>
      <c r="CI59">
        <v>230</v>
      </c>
      <c r="CJ59" s="13">
        <f t="shared" si="141"/>
        <v>0.13861386138613851</v>
      </c>
      <c r="CK59" s="1">
        <v>362811.51736927591</v>
      </c>
      <c r="CL59" s="13">
        <f t="shared" si="142"/>
        <v>-7.0028582817914797E-3</v>
      </c>
      <c r="CM59">
        <v>247</v>
      </c>
      <c r="CN59" s="13">
        <f t="shared" si="143"/>
        <v>7.3913043478260887E-2</v>
      </c>
      <c r="CO59" s="1">
        <v>363166.03134346142</v>
      </c>
      <c r="CP59" s="13">
        <v>9.7712987932707662E-4</v>
      </c>
      <c r="CQ59">
        <v>270</v>
      </c>
      <c r="CR59" s="13">
        <v>9.3117408906882693E-2</v>
      </c>
      <c r="CS59" s="1">
        <v>364080.18272301619</v>
      </c>
      <c r="CT59" s="13">
        <f t="shared" si="24"/>
        <v>2.5171720388414975E-3</v>
      </c>
      <c r="CU59">
        <v>301</v>
      </c>
      <c r="CV59" s="13">
        <f t="shared" si="25"/>
        <v>0.11481481481481493</v>
      </c>
      <c r="CW59" s="1">
        <v>353878.16473462968</v>
      </c>
      <c r="CX59" s="13">
        <f t="shared" si="26"/>
        <v>-2.8021349341466273E-2</v>
      </c>
      <c r="CY59">
        <v>326</v>
      </c>
      <c r="CZ59" s="13">
        <f t="shared" si="27"/>
        <v>8.3056478405315604E-2</v>
      </c>
      <c r="DA59" s="1">
        <v>342241.01823262282</v>
      </c>
      <c r="DB59" s="13">
        <f t="shared" si="28"/>
        <v>-3.2884613015706887E-2</v>
      </c>
      <c r="DC59">
        <v>368</v>
      </c>
      <c r="DD59" s="13">
        <f t="shared" si="29"/>
        <v>0.12883435582822078</v>
      </c>
      <c r="DE59" s="1">
        <v>337634.73344407359</v>
      </c>
      <c r="DF59" s="13">
        <f t="shared" si="30"/>
        <v>-1.3459183859189872E-2</v>
      </c>
      <c r="DG59" s="1">
        <v>362</v>
      </c>
      <c r="DH59" s="13">
        <f t="shared" si="31"/>
        <v>-1.6304347826086918E-2</v>
      </c>
      <c r="DI59" s="1">
        <v>330933.539940049</v>
      </c>
      <c r="DJ59" s="13">
        <f t="shared" si="32"/>
        <v>-1.984746484956823E-2</v>
      </c>
      <c r="DK59" s="1">
        <v>347</v>
      </c>
      <c r="DL59" s="13">
        <f t="shared" si="33"/>
        <v>-4.143646408839774E-2</v>
      </c>
      <c r="DM59" s="1">
        <v>337889.18336806458</v>
      </c>
      <c r="DN59" s="13">
        <f t="shared" si="34"/>
        <v>2.1018248646769599E-2</v>
      </c>
      <c r="DO59" s="1">
        <v>319</v>
      </c>
      <c r="DP59" s="13">
        <f t="shared" si="35"/>
        <v>-8.0691642651296802E-2</v>
      </c>
      <c r="DQ59" s="1">
        <v>336013.73124801402</v>
      </c>
      <c r="DR59" s="13">
        <f t="shared" si="36"/>
        <v>-5.5504946957938284E-3</v>
      </c>
      <c r="DS59">
        <v>343</v>
      </c>
      <c r="DT59" s="13">
        <f t="shared" si="37"/>
        <v>7.5235109717868287E-2</v>
      </c>
      <c r="DU59" s="1">
        <v>338975.29495317768</v>
      </c>
      <c r="DV59" s="13">
        <f t="shared" si="38"/>
        <v>8.8138175013381392E-3</v>
      </c>
      <c r="DW59">
        <v>303</v>
      </c>
      <c r="DX59" s="13">
        <f t="shared" si="39"/>
        <v>-0.11661807580174932</v>
      </c>
      <c r="DY59" s="1">
        <v>341233.92042183562</v>
      </c>
      <c r="DZ59" s="13">
        <f t="shared" si="40"/>
        <v>6.6630975834682804E-3</v>
      </c>
      <c r="EA59" s="1">
        <v>310</v>
      </c>
      <c r="EB59" s="13">
        <f t="shared" si="41"/>
        <v>2.3102310231023049E-2</v>
      </c>
      <c r="EC59" s="1">
        <v>340809.93331947451</v>
      </c>
      <c r="ED59" s="13">
        <f t="shared" si="42"/>
        <v>-1.2425115939147524E-3</v>
      </c>
      <c r="EE59" s="1">
        <f>IFERROR(VLOOKUP($A59,[1]Москва_продажа_районы!$C$2:$F$148,2,0),"")</f>
        <v>276</v>
      </c>
      <c r="EF59" s="13">
        <v>-0.10967741935483866</v>
      </c>
      <c r="EG59" s="1">
        <v>349852.43309866713</v>
      </c>
      <c r="EH59" s="13">
        <f t="shared" si="43"/>
        <v>2.6532383288007555E-2</v>
      </c>
      <c r="EI59" s="1">
        <f>IFERROR(VLOOKUP($A59,[2]Москва_продажа_районы!$C$2:$F$150,2,0),"")</f>
        <v>251</v>
      </c>
      <c r="EJ59" s="13">
        <v>-9.0579710144927494E-2</v>
      </c>
      <c r="EK59" s="1">
        <v>362589.45808883238</v>
      </c>
      <c r="EL59" s="13">
        <f t="shared" si="44"/>
        <v>3.6406849817657516E-2</v>
      </c>
      <c r="EM59">
        <v>244</v>
      </c>
      <c r="EN59" s="13">
        <f t="shared" si="45"/>
        <v>-2.7888446215139417E-2</v>
      </c>
      <c r="EO59" s="1">
        <v>370986.84501321788</v>
      </c>
      <c r="EP59" s="13">
        <f t="shared" si="46"/>
        <v>2.3159489988062942E-2</v>
      </c>
      <c r="EQ59">
        <v>239</v>
      </c>
      <c r="ER59" s="13">
        <f t="shared" si="47"/>
        <v>-2.0491803278688492E-2</v>
      </c>
      <c r="ES59" s="183">
        <v>375819.88285558019</v>
      </c>
      <c r="ET59" s="13">
        <f t="shared" si="48"/>
        <v>1.3027518111026648E-2</v>
      </c>
      <c r="EU59">
        <v>236</v>
      </c>
      <c r="EV59" s="13">
        <f t="shared" si="49"/>
        <v>-1.2552301255230103E-2</v>
      </c>
      <c r="EW59" s="183">
        <v>374791.09375058912</v>
      </c>
      <c r="EX59" s="13">
        <f t="shared" si="50"/>
        <v>-2.7374525721578502E-3</v>
      </c>
      <c r="EY59">
        <v>226</v>
      </c>
      <c r="EZ59" s="13">
        <f t="shared" si="51"/>
        <v>-4.2372881355932202E-2</v>
      </c>
      <c r="FA59" s="1">
        <v>376878.36534781952</v>
      </c>
      <c r="FB59" s="13">
        <f t="shared" si="52"/>
        <v>5.5691600788663198E-3</v>
      </c>
      <c r="FC59" s="1">
        <v>196</v>
      </c>
      <c r="FD59" s="13">
        <f t="shared" si="53"/>
        <v>-0.13274336283185839</v>
      </c>
      <c r="FE59" s="1">
        <v>385016.99705016718</v>
      </c>
      <c r="FF59" s="13">
        <f t="shared" si="54"/>
        <v>2.1594849825981699E-2</v>
      </c>
      <c r="FG59" s="1">
        <v>188</v>
      </c>
      <c r="FH59" s="13">
        <f t="shared" si="55"/>
        <v>-4.081632653061229E-2</v>
      </c>
      <c r="FI59" s="1">
        <v>387212.78549353889</v>
      </c>
      <c r="FJ59" s="13">
        <f t="shared" si="56"/>
        <v>5.7030948248906199E-3</v>
      </c>
      <c r="FK59" s="1">
        <v>228</v>
      </c>
      <c r="FL59" s="13">
        <f t="shared" si="57"/>
        <v>0.2127659574468086</v>
      </c>
      <c r="FM59" s="1">
        <v>395962.9008175424</v>
      </c>
      <c r="FN59" s="13">
        <f t="shared" si="58"/>
        <v>2.2597692152263704E-2</v>
      </c>
      <c r="FO59" s="1">
        <v>256</v>
      </c>
      <c r="FP59" s="13">
        <f t="shared" si="59"/>
        <v>0.12280701754385959</v>
      </c>
      <c r="FQ59" s="1">
        <v>392541.96037407982</v>
      </c>
      <c r="FR59" s="13">
        <f t="shared" si="60"/>
        <v>-8.6395478879445209E-3</v>
      </c>
      <c r="FS59">
        <v>259</v>
      </c>
      <c r="FT59" s="13">
        <f t="shared" si="61"/>
        <v>1.171875E-2</v>
      </c>
      <c r="FU59" s="1">
        <v>396229.81646180229</v>
      </c>
      <c r="FV59" s="13">
        <f t="shared" si="62"/>
        <v>9.3948073327194681E-3</v>
      </c>
      <c r="FW59" s="1">
        <v>250</v>
      </c>
      <c r="FX59" s="13">
        <f t="shared" si="63"/>
        <v>-3.4749034749034791E-2</v>
      </c>
      <c r="FY59" s="1">
        <v>403187.32501455152</v>
      </c>
      <c r="FZ59" s="13">
        <f t="shared" si="64"/>
        <v>1.7559275611505942E-2</v>
      </c>
      <c r="GA59" s="1">
        <v>271</v>
      </c>
      <c r="GB59" s="13">
        <f t="shared" si="65"/>
        <v>8.4000000000000075E-2</v>
      </c>
      <c r="GC59" s="1">
        <v>398582.09982196777</v>
      </c>
      <c r="GD59" s="13">
        <f t="shared" si="66"/>
        <v>-1.1422048528974771E-2</v>
      </c>
      <c r="GE59" s="1">
        <v>264</v>
      </c>
      <c r="GF59" s="13">
        <f t="shared" si="67"/>
        <v>-2.5830258302583009E-2</v>
      </c>
      <c r="GG59" s="1">
        <f>IFERROR(VLOOKUP(A59,[3]Москва_продажа_районы!$C$2:$F$149,3,0),"")</f>
        <v>398978.53483789013</v>
      </c>
      <c r="GH59" s="13">
        <v>9.9461319537286208E-4</v>
      </c>
      <c r="GI59" s="1">
        <v>256</v>
      </c>
      <c r="GJ59" s="13">
        <f t="shared" si="68"/>
        <v>-3.0303030303030276E-2</v>
      </c>
      <c r="GK59" s="1">
        <v>400395.21371729311</v>
      </c>
      <c r="GL59" s="13">
        <f t="shared" si="69"/>
        <v>3.550764654491001E-3</v>
      </c>
      <c r="GM59" s="1">
        <v>280</v>
      </c>
      <c r="GN59" s="13">
        <f t="shared" si="70"/>
        <v>9.375E-2</v>
      </c>
      <c r="GO59" s="1">
        <v>396416.1624587971</v>
      </c>
      <c r="GP59" s="13">
        <f t="shared" si="71"/>
        <v>-9.937809249901508E-3</v>
      </c>
      <c r="GQ59" s="1">
        <v>283.55</v>
      </c>
      <c r="GR59" s="13">
        <f t="shared" si="72"/>
        <v>1.2678571428571539E-2</v>
      </c>
      <c r="GS59" s="1">
        <v>393886.13301702047</v>
      </c>
      <c r="GT59" s="13">
        <f t="shared" si="144"/>
        <v>-6.3822560263031569E-3</v>
      </c>
      <c r="GU59">
        <v>277</v>
      </c>
      <c r="GV59" s="13">
        <f t="shared" si="145"/>
        <v>-2.3099982366425742E-2</v>
      </c>
      <c r="GW59">
        <v>392799.70572638122</v>
      </c>
      <c r="GX59" s="13">
        <f t="shared" si="73"/>
        <v>-2.7582268061016046E-3</v>
      </c>
      <c r="GY59">
        <v>252</v>
      </c>
      <c r="GZ59" s="13">
        <f t="shared" si="74"/>
        <v>-9.0252707581227387E-2</v>
      </c>
      <c r="HA59">
        <v>396421.68329750741</v>
      </c>
      <c r="HB59" s="13">
        <v>9.2209274047909684E-3</v>
      </c>
      <c r="HC59">
        <v>238</v>
      </c>
      <c r="HD59" s="13">
        <v>-5.555555555555558E-2</v>
      </c>
      <c r="HE59">
        <v>397658.24444141833</v>
      </c>
      <c r="HF59" s="13">
        <v>3.1193075354127853E-3</v>
      </c>
      <c r="HG59">
        <v>249</v>
      </c>
      <c r="HH59" s="13">
        <v>4.6218487394958041E-2</v>
      </c>
      <c r="HI59">
        <f>VLOOKUP(A59,[4]Москва_продажа_районы!$C$4:$F$151,3,0)</f>
        <v>401023.21697108808</v>
      </c>
      <c r="HJ59" s="13">
        <f t="shared" si="75"/>
        <v>8.4619709931990084E-3</v>
      </c>
      <c r="HK59">
        <f>VLOOKUP(A59,[4]Москва_продажа_районы!$C$4:$F$151,2,0)</f>
        <v>253</v>
      </c>
      <c r="HL59" s="13">
        <f t="shared" si="76"/>
        <v>1.6064257028112428E-2</v>
      </c>
      <c r="HM59" s="1">
        <f>VLOOKUP(A59,Лист3!$C$4:$F$149,3,0)</f>
        <v>400257.0080343564</v>
      </c>
      <c r="HN59" s="13">
        <f t="shared" si="77"/>
        <v>-1.9106348568016518E-3</v>
      </c>
      <c r="HO59">
        <f>VLOOKUP(A59,Лист3!$C$4:$F$149,2,0)</f>
        <v>258</v>
      </c>
      <c r="HP59" s="13">
        <f t="shared" si="78"/>
        <v>1.9762845849802479E-2</v>
      </c>
      <c r="HQ59" s="1">
        <v>401902.87136944762</v>
      </c>
      <c r="HR59" s="13">
        <v>4.1120162846717268E-3</v>
      </c>
      <c r="HS59">
        <v>270</v>
      </c>
      <c r="HT59" s="13">
        <v>4.6511627906976827E-2</v>
      </c>
      <c r="HU59" s="34">
        <v>403459.08215300849</v>
      </c>
      <c r="HV59" s="13">
        <v>3.8721066566611562E-3</v>
      </c>
      <c r="HW59">
        <v>253</v>
      </c>
      <c r="HX59" s="13">
        <v>-6.2962962962962998E-2</v>
      </c>
      <c r="HY59">
        <v>394510.76529988862</v>
      </c>
      <c r="HZ59" s="13">
        <v>-2.2178994720773892E-2</v>
      </c>
      <c r="IA59">
        <v>238</v>
      </c>
      <c r="IB59" s="13">
        <v>-5.9288537549407105E-2</v>
      </c>
      <c r="IC59" s="34">
        <v>398924.60899570078</v>
      </c>
      <c r="ID59" s="13">
        <v>1.1188145125664573E-2</v>
      </c>
      <c r="IE59">
        <v>232</v>
      </c>
      <c r="IF59" s="13">
        <v>-2.5210084033613467E-2</v>
      </c>
    </row>
    <row r="60" spans="1:240" x14ac:dyDescent="0.3">
      <c r="A60" s="23" t="s">
        <v>73</v>
      </c>
      <c r="B60" s="22">
        <v>211238.77291893473</v>
      </c>
      <c r="C60">
        <v>338</v>
      </c>
      <c r="D60" s="22">
        <v>215850.55292821332</v>
      </c>
      <c r="E60">
        <v>319</v>
      </c>
      <c r="F60" s="22">
        <v>220247.85102177778</v>
      </c>
      <c r="G60">
        <v>225</v>
      </c>
      <c r="H60" s="22">
        <v>219028.66709523613</v>
      </c>
      <c r="I60">
        <v>248</v>
      </c>
      <c r="J60" s="22">
        <v>224692.67573197131</v>
      </c>
      <c r="K60">
        <v>329</v>
      </c>
      <c r="L60" s="22">
        <v>221734.97315426022</v>
      </c>
      <c r="M60">
        <v>289</v>
      </c>
      <c r="N60" s="22">
        <v>224749.64347906713</v>
      </c>
      <c r="O60" s="28">
        <v>297</v>
      </c>
      <c r="P60" s="39">
        <v>228180.6914080292</v>
      </c>
      <c r="Q60" s="28">
        <v>270</v>
      </c>
      <c r="R60" s="39">
        <v>236589.94343648673</v>
      </c>
      <c r="S60">
        <v>271</v>
      </c>
      <c r="T60" s="46">
        <v>243153.75256334231</v>
      </c>
      <c r="U60" s="47">
        <v>260</v>
      </c>
      <c r="V60" s="56">
        <v>244590.1070323436</v>
      </c>
      <c r="W60" s="47">
        <v>226</v>
      </c>
      <c r="X60" s="56">
        <v>251225.38837376129</v>
      </c>
      <c r="Y60" s="47">
        <v>200</v>
      </c>
      <c r="Z60" s="34">
        <v>241573.93565728681</v>
      </c>
      <c r="AA60" s="81">
        <v>207</v>
      </c>
      <c r="AB60" s="1">
        <v>252929.672677639</v>
      </c>
      <c r="AC60">
        <f>220-15</f>
        <v>205</v>
      </c>
      <c r="AD60" s="1">
        <v>266285.38299681881</v>
      </c>
      <c r="AE60">
        <v>200</v>
      </c>
      <c r="AF60" s="13">
        <f t="shared" si="19"/>
        <v>5.9946149234933133E-2</v>
      </c>
      <c r="AG60" s="85">
        <f t="shared" si="146"/>
        <v>5.543237250554324E-2</v>
      </c>
      <c r="AH60" s="35">
        <f t="shared" si="147"/>
        <v>8.3148558758314852</v>
      </c>
      <c r="AI60" s="87">
        <f t="shared" si="148"/>
        <v>208.31485587583148</v>
      </c>
      <c r="AL60" s="1">
        <v>268186.24409554439</v>
      </c>
      <c r="AM60">
        <v>229</v>
      </c>
      <c r="AN60" s="13">
        <f t="shared" si="149"/>
        <v>5.9511434511434515E-2</v>
      </c>
      <c r="AQ60" s="35">
        <f t="shared" si="150"/>
        <v>8.5101351351351351</v>
      </c>
      <c r="AR60" s="87">
        <f t="shared" si="151"/>
        <v>237.51013513513513</v>
      </c>
      <c r="AS60">
        <v>212</v>
      </c>
      <c r="AT60" s="1">
        <v>274834.88554273889</v>
      </c>
      <c r="AU60" s="13">
        <f t="shared" si="152"/>
        <v>2.4791135241171602E-2</v>
      </c>
      <c r="AV60" s="35">
        <v>228</v>
      </c>
      <c r="AW60" s="1">
        <v>277622.5142715142</v>
      </c>
      <c r="AX60" s="35">
        <v>247.36607869742198</v>
      </c>
      <c r="AY60" s="121">
        <v>280085.98158273631</v>
      </c>
      <c r="AZ60" s="122">
        <v>240</v>
      </c>
      <c r="BA60" s="119">
        <v>283621.62958797527</v>
      </c>
      <c r="BB60">
        <v>271</v>
      </c>
      <c r="BC60" s="125">
        <f t="shared" si="153"/>
        <v>1.2623437935948889E-2</v>
      </c>
      <c r="BD60">
        <v>268</v>
      </c>
      <c r="BE60" s="1">
        <v>281108.1260855695</v>
      </c>
      <c r="BF60" s="13">
        <f t="shared" si="130"/>
        <v>-8.8621714290874065E-3</v>
      </c>
      <c r="BG60">
        <v>248</v>
      </c>
      <c r="BH60" s="1">
        <v>281601.46394986601</v>
      </c>
      <c r="BI60" s="13">
        <f t="shared" si="123"/>
        <v>1.7549754650150184E-3</v>
      </c>
      <c r="BJ60">
        <v>221</v>
      </c>
      <c r="BK60" s="1">
        <v>291473.78107358463</v>
      </c>
      <c r="BL60" s="13">
        <f t="shared" si="131"/>
        <v>3.5057762077104204E-2</v>
      </c>
      <c r="BM60" s="1">
        <v>311571.2098476704</v>
      </c>
      <c r="BN60" s="109">
        <f t="shared" si="132"/>
        <v>6.8951068943700289E-2</v>
      </c>
      <c r="BO60">
        <v>233</v>
      </c>
      <c r="BP60" s="13">
        <f t="shared" si="133"/>
        <v>5.4298642533936681E-2</v>
      </c>
      <c r="BQ60" s="1">
        <v>329193.65661445732</v>
      </c>
      <c r="BR60" s="13">
        <f t="shared" si="124"/>
        <v>5.6559933041960608E-2</v>
      </c>
      <c r="BS60">
        <v>279</v>
      </c>
      <c r="BT60" s="13">
        <f t="shared" si="125"/>
        <v>0.19742489270386265</v>
      </c>
      <c r="BU60" s="1">
        <v>342779.5756115783</v>
      </c>
      <c r="BV60" s="13">
        <f t="shared" si="134"/>
        <v>4.1270294017337283E-2</v>
      </c>
      <c r="BW60">
        <v>283</v>
      </c>
      <c r="BX60" s="13">
        <f t="shared" si="135"/>
        <v>1.4336917562723928E-2</v>
      </c>
      <c r="BY60" s="1">
        <v>355281.41122286941</v>
      </c>
      <c r="BZ60" s="13">
        <f t="shared" si="136"/>
        <v>3.6471938530718173E-2</v>
      </c>
      <c r="CA60">
        <v>253</v>
      </c>
      <c r="CB60" s="13">
        <f t="shared" si="137"/>
        <v>-0.10600706713780916</v>
      </c>
      <c r="CC60" s="1">
        <v>347792.5538127952</v>
      </c>
      <c r="CD60" s="13">
        <f t="shared" si="138"/>
        <v>-2.1078663767681416E-2</v>
      </c>
      <c r="CE60">
        <v>271</v>
      </c>
      <c r="CF60" s="13">
        <f t="shared" si="139"/>
        <v>7.1146245059288571E-2</v>
      </c>
      <c r="CG60" s="1">
        <v>337599.8024590814</v>
      </c>
      <c r="CH60" s="13">
        <f t="shared" si="140"/>
        <v>-2.9306985563584576E-2</v>
      </c>
      <c r="CI60">
        <v>287</v>
      </c>
      <c r="CJ60" s="13">
        <f t="shared" si="141"/>
        <v>5.9040590405904148E-2</v>
      </c>
      <c r="CK60" s="1">
        <v>312007.30836956558</v>
      </c>
      <c r="CL60" s="13">
        <f t="shared" si="142"/>
        <v>-7.5807195096382674E-2</v>
      </c>
      <c r="CM60">
        <v>271</v>
      </c>
      <c r="CN60" s="13">
        <f t="shared" si="143"/>
        <v>-5.5749128919860613E-2</v>
      </c>
      <c r="CO60" s="1">
        <v>312098.2753261028</v>
      </c>
      <c r="CP60" s="13">
        <v>2.9155392869673058E-4</v>
      </c>
      <c r="CQ60">
        <v>282</v>
      </c>
      <c r="CR60" s="13">
        <v>4.0590405904058935E-2</v>
      </c>
      <c r="CS60" s="1">
        <v>309877.16504802869</v>
      </c>
      <c r="CT60" s="13">
        <f t="shared" si="24"/>
        <v>-7.1167015445802173E-3</v>
      </c>
      <c r="CU60">
        <v>302</v>
      </c>
      <c r="CV60" s="13">
        <f t="shared" si="25"/>
        <v>7.0921985815602939E-2</v>
      </c>
      <c r="CW60" s="1">
        <v>301476.03014070343</v>
      </c>
      <c r="CX60" s="13">
        <f t="shared" si="26"/>
        <v>-2.7111177766271144E-2</v>
      </c>
      <c r="CY60">
        <v>330</v>
      </c>
      <c r="CZ60" s="13">
        <f t="shared" si="27"/>
        <v>9.27152317880795E-2</v>
      </c>
      <c r="DA60" s="1">
        <v>298092.28879076662</v>
      </c>
      <c r="DB60" s="13">
        <f t="shared" si="28"/>
        <v>-1.1223915043453214E-2</v>
      </c>
      <c r="DC60">
        <v>335</v>
      </c>
      <c r="DD60" s="13">
        <f t="shared" si="29"/>
        <v>1.5151515151515138E-2</v>
      </c>
      <c r="DE60" s="1">
        <v>292153.99673684879</v>
      </c>
      <c r="DF60" s="13">
        <f t="shared" si="30"/>
        <v>-1.9920985135197355E-2</v>
      </c>
      <c r="DG60" s="1">
        <v>308</v>
      </c>
      <c r="DH60" s="13">
        <f t="shared" si="31"/>
        <v>-8.0597014925373189E-2</v>
      </c>
      <c r="DI60" s="1">
        <v>293793.07165545458</v>
      </c>
      <c r="DJ60" s="13">
        <f t="shared" si="32"/>
        <v>5.6103114689960432E-3</v>
      </c>
      <c r="DK60" s="1">
        <v>284</v>
      </c>
      <c r="DL60" s="13">
        <f t="shared" si="33"/>
        <v>-7.7922077922077948E-2</v>
      </c>
      <c r="DM60" s="1">
        <v>289149.87058931298</v>
      </c>
      <c r="DN60" s="13">
        <f t="shared" si="34"/>
        <v>-1.5804324587976981E-2</v>
      </c>
      <c r="DO60" s="1">
        <v>308</v>
      </c>
      <c r="DP60" s="13">
        <f t="shared" si="35"/>
        <v>8.4507042253521236E-2</v>
      </c>
      <c r="DQ60" s="1">
        <v>290024.06089683098</v>
      </c>
      <c r="DR60" s="13">
        <f t="shared" si="36"/>
        <v>3.0233121174716437E-3</v>
      </c>
      <c r="DS60">
        <v>325</v>
      </c>
      <c r="DT60" s="13">
        <f t="shared" si="37"/>
        <v>5.5194805194805241E-2</v>
      </c>
      <c r="DU60" s="1">
        <v>289383.04686687811</v>
      </c>
      <c r="DV60" s="13">
        <f t="shared" si="38"/>
        <v>-2.2102098286972405E-3</v>
      </c>
      <c r="DW60">
        <v>258</v>
      </c>
      <c r="DX60" s="13">
        <f t="shared" si="39"/>
        <v>-0.20615384615384613</v>
      </c>
      <c r="DY60" s="1">
        <v>291831.39689353411</v>
      </c>
      <c r="DZ60" s="13">
        <f t="shared" si="40"/>
        <v>8.4605855566317612E-3</v>
      </c>
      <c r="EA60" s="1">
        <v>247</v>
      </c>
      <c r="EB60" s="13">
        <f t="shared" si="41"/>
        <v>-4.2635658914728647E-2</v>
      </c>
      <c r="EC60" s="1">
        <v>294089.29241684591</v>
      </c>
      <c r="ED60" s="13">
        <f t="shared" si="42"/>
        <v>7.7369863124614469E-3</v>
      </c>
      <c r="EE60" s="1">
        <f>IFERROR(VLOOKUP($A60,[1]Москва_продажа_районы!$C$2:$F$148,2,0),"")</f>
        <v>227</v>
      </c>
      <c r="EF60" s="13">
        <v>-8.0971659919028327E-2</v>
      </c>
      <c r="EG60" s="1">
        <v>300149.08868066798</v>
      </c>
      <c r="EH60" s="13">
        <f t="shared" si="43"/>
        <v>2.0605293766468913E-2</v>
      </c>
      <c r="EI60" s="1">
        <f>IFERROR(VLOOKUP($A60,[2]Москва_продажа_районы!$C$2:$F$150,2,0),"")</f>
        <v>235</v>
      </c>
      <c r="EJ60" s="13">
        <v>3.524229074889873E-2</v>
      </c>
      <c r="EK60" s="1">
        <v>308651.50923628767</v>
      </c>
      <c r="EL60" s="13">
        <f t="shared" si="44"/>
        <v>2.832732424073936E-2</v>
      </c>
      <c r="EM60">
        <v>213</v>
      </c>
      <c r="EN60" s="13">
        <f t="shared" si="45"/>
        <v>-9.3617021276595769E-2</v>
      </c>
      <c r="EO60" s="1">
        <v>314309.79633730941</v>
      </c>
      <c r="EP60" s="13">
        <f t="shared" si="46"/>
        <v>1.8332283924424431E-2</v>
      </c>
      <c r="EQ60">
        <v>208</v>
      </c>
      <c r="ER60" s="13">
        <f t="shared" si="47"/>
        <v>-2.3474178403755874E-2</v>
      </c>
      <c r="ES60" s="183">
        <v>315350.68069834058</v>
      </c>
      <c r="ET60" s="13">
        <f t="shared" si="48"/>
        <v>3.3116510308006664E-3</v>
      </c>
      <c r="EU60">
        <v>207</v>
      </c>
      <c r="EV60" s="13">
        <f t="shared" si="49"/>
        <v>-4.8076923076922906E-3</v>
      </c>
      <c r="EW60" s="183">
        <v>332857.58307270991</v>
      </c>
      <c r="EX60" s="13">
        <f t="shared" si="50"/>
        <v>5.5515663817818472E-2</v>
      </c>
      <c r="EY60">
        <v>219</v>
      </c>
      <c r="EZ60" s="13">
        <f t="shared" si="51"/>
        <v>5.7971014492753659E-2</v>
      </c>
      <c r="FA60" s="1">
        <v>329830.61358643958</v>
      </c>
      <c r="FB60" s="13">
        <f t="shared" si="52"/>
        <v>-9.0938877171655719E-3</v>
      </c>
      <c r="FC60" s="1">
        <v>198</v>
      </c>
      <c r="FD60" s="13">
        <f t="shared" si="53"/>
        <v>-9.589041095890416E-2</v>
      </c>
      <c r="FE60" s="1">
        <v>328000.41876424762</v>
      </c>
      <c r="FF60" s="13">
        <f t="shared" si="54"/>
        <v>-5.5488931190806889E-3</v>
      </c>
      <c r="FG60" s="1">
        <v>197</v>
      </c>
      <c r="FH60" s="13">
        <f t="shared" si="55"/>
        <v>-5.050505050505083E-3</v>
      </c>
      <c r="FI60" s="1">
        <v>330984.80937841051</v>
      </c>
      <c r="FJ60" s="13">
        <f t="shared" si="56"/>
        <v>9.0987402559017383E-3</v>
      </c>
      <c r="FK60" s="1">
        <v>229</v>
      </c>
      <c r="FL60" s="13">
        <f t="shared" si="57"/>
        <v>0.1624365482233503</v>
      </c>
      <c r="FM60" s="1">
        <v>327366.70092552982</v>
      </c>
      <c r="FN60" s="13">
        <f t="shared" si="58"/>
        <v>-1.0931342920768805E-2</v>
      </c>
      <c r="FO60" s="1">
        <v>228</v>
      </c>
      <c r="FP60" s="13">
        <f t="shared" si="59"/>
        <v>-4.366812227074246E-3</v>
      </c>
      <c r="FQ60" s="1">
        <v>328214.12947301718</v>
      </c>
      <c r="FR60" s="13">
        <f t="shared" si="60"/>
        <v>2.5886217049306826E-3</v>
      </c>
      <c r="FS60">
        <v>244</v>
      </c>
      <c r="FT60" s="13">
        <f t="shared" si="61"/>
        <v>7.0175438596491224E-2</v>
      </c>
      <c r="FU60" s="1">
        <v>327767.00134174112</v>
      </c>
      <c r="FV60" s="13">
        <f t="shared" si="62"/>
        <v>-1.3623061627296984E-3</v>
      </c>
      <c r="FW60" s="1">
        <v>245</v>
      </c>
      <c r="FX60" s="13">
        <f t="shared" si="63"/>
        <v>4.098360655737654E-3</v>
      </c>
      <c r="FY60" s="1">
        <v>327960.76800729887</v>
      </c>
      <c r="FZ60" s="13">
        <f t="shared" si="64"/>
        <v>5.9117197510594188E-4</v>
      </c>
      <c r="GA60" s="1">
        <v>230</v>
      </c>
      <c r="GB60" s="13">
        <f t="shared" si="65"/>
        <v>-6.1224489795918324E-2</v>
      </c>
      <c r="GC60" s="1">
        <v>331081.1785999643</v>
      </c>
      <c r="GD60" s="13">
        <f t="shared" si="66"/>
        <v>9.5145849658333503E-3</v>
      </c>
      <c r="GE60" s="1">
        <v>227</v>
      </c>
      <c r="GF60" s="13">
        <f t="shared" si="67"/>
        <v>-1.3043478260869601E-2</v>
      </c>
      <c r="GG60" s="1">
        <f>IFERROR(VLOOKUP(A60,[3]Москва_продажа_районы!$C$2:$F$149,3,0),"")</f>
        <v>324370.25611179689</v>
      </c>
      <c r="GH60" s="13">
        <v>-2.0269719095920014E-2</v>
      </c>
      <c r="GI60" s="1">
        <v>255</v>
      </c>
      <c r="GJ60" s="13">
        <f t="shared" si="68"/>
        <v>0.12334801762114544</v>
      </c>
      <c r="GK60" s="1">
        <v>324875.93959464069</v>
      </c>
      <c r="GL60" s="13">
        <f t="shared" si="69"/>
        <v>1.5589699527489564E-3</v>
      </c>
      <c r="GM60" s="1">
        <v>252</v>
      </c>
      <c r="GN60" s="13">
        <f t="shared" si="70"/>
        <v>-1.1764705882352899E-2</v>
      </c>
      <c r="GO60" s="1">
        <v>324277.61172767199</v>
      </c>
      <c r="GP60" s="13">
        <f t="shared" si="71"/>
        <v>-1.8417118476525829E-3</v>
      </c>
      <c r="GQ60" s="1">
        <v>262.14999999999998</v>
      </c>
      <c r="GR60" s="13">
        <f t="shared" si="72"/>
        <v>4.0277777777777635E-2</v>
      </c>
      <c r="GS60" s="1">
        <v>331374.23626243329</v>
      </c>
      <c r="GT60" s="13">
        <f t="shared" si="144"/>
        <v>2.1884411004978732E-2</v>
      </c>
      <c r="GU60">
        <v>254</v>
      </c>
      <c r="GV60" s="13">
        <f t="shared" si="145"/>
        <v>-3.1089071142475611E-2</v>
      </c>
      <c r="GW60">
        <v>330317.73839374387</v>
      </c>
      <c r="GX60" s="13">
        <f t="shared" si="73"/>
        <v>-3.1882317726497078E-3</v>
      </c>
      <c r="GY60">
        <v>221</v>
      </c>
      <c r="GZ60" s="13">
        <f t="shared" si="74"/>
        <v>-0.12992125984251968</v>
      </c>
      <c r="HA60">
        <v>328525.40392654511</v>
      </c>
      <c r="HB60" s="13">
        <v>-5.4260920891334719E-3</v>
      </c>
      <c r="HC60">
        <v>182</v>
      </c>
      <c r="HD60" s="13">
        <v>-0.17647058823529416</v>
      </c>
      <c r="HE60">
        <v>335807.29674735118</v>
      </c>
      <c r="HF60" s="13">
        <v>2.2165387314870166E-2</v>
      </c>
      <c r="HG60">
        <v>179</v>
      </c>
      <c r="HH60" s="13">
        <v>-1.6483516483516536E-2</v>
      </c>
      <c r="HI60">
        <f>VLOOKUP(A60,[4]Москва_продажа_районы!$C$4:$F$151,3,0)</f>
        <v>343467.51802995458</v>
      </c>
      <c r="HJ60" s="13">
        <f t="shared" si="75"/>
        <v>2.2811360434394246E-2</v>
      </c>
      <c r="HK60">
        <f>VLOOKUP(A60,[4]Москва_продажа_районы!$C$4:$F$151,2,0)</f>
        <v>204</v>
      </c>
      <c r="HL60" s="13">
        <f t="shared" si="76"/>
        <v>0.13966480446927365</v>
      </c>
      <c r="HM60" s="1">
        <f>VLOOKUP(A60,Лист3!$C$4:$F$149,3,0)</f>
        <v>341785.10185767768</v>
      </c>
      <c r="HN60" s="13">
        <f t="shared" si="77"/>
        <v>-4.898326869238856E-3</v>
      </c>
      <c r="HO60">
        <f>VLOOKUP(A60,Лист3!$C$4:$F$149,2,0)</f>
        <v>214</v>
      </c>
      <c r="HP60" s="13">
        <f t="shared" si="78"/>
        <v>4.9019607843137303E-2</v>
      </c>
      <c r="HQ60" s="1">
        <v>339758.91706666228</v>
      </c>
      <c r="HR60" s="13">
        <v>-5.9282419859807423E-3</v>
      </c>
      <c r="HS60">
        <v>203</v>
      </c>
      <c r="HT60" s="13">
        <v>-5.1401869158878455E-2</v>
      </c>
      <c r="HU60" s="34">
        <v>344530.01020394388</v>
      </c>
      <c r="HV60" s="13">
        <v>1.4042584013609583E-2</v>
      </c>
      <c r="HW60">
        <v>206</v>
      </c>
      <c r="HX60" s="13">
        <v>1.4778325123152802E-2</v>
      </c>
      <c r="HY60">
        <v>344661.08222313243</v>
      </c>
      <c r="HZ60" s="13">
        <v>3.8043716165958585E-4</v>
      </c>
      <c r="IA60">
        <v>231</v>
      </c>
      <c r="IB60" s="13">
        <v>0.12135922330097082</v>
      </c>
      <c r="IC60" s="34">
        <v>345831.16525545978</v>
      </c>
      <c r="ID60" s="13">
        <v>3.3948800508025734E-3</v>
      </c>
      <c r="IE60">
        <v>224</v>
      </c>
      <c r="IF60" s="13">
        <v>-3.0303030303030276E-2</v>
      </c>
    </row>
    <row r="61" spans="1:240" x14ac:dyDescent="0.3">
      <c r="A61" s="23" t="s">
        <v>74</v>
      </c>
      <c r="B61" s="22">
        <v>196193.21137243009</v>
      </c>
      <c r="C61">
        <v>428</v>
      </c>
      <c r="D61" s="22">
        <v>195998.89290373557</v>
      </c>
      <c r="E61">
        <v>431</v>
      </c>
      <c r="F61" s="22">
        <v>198501.96423437909</v>
      </c>
      <c r="G61">
        <v>306</v>
      </c>
      <c r="H61" s="22">
        <v>195740.20087844698</v>
      </c>
      <c r="I61">
        <v>351</v>
      </c>
      <c r="J61" s="22">
        <v>198362.0712926237</v>
      </c>
      <c r="K61">
        <v>413</v>
      </c>
      <c r="L61" s="22">
        <v>198721.13577832776</v>
      </c>
      <c r="M61">
        <v>380</v>
      </c>
      <c r="N61" s="22">
        <v>200327.63050777299</v>
      </c>
      <c r="O61" s="28">
        <v>325</v>
      </c>
      <c r="P61" s="39">
        <v>205371.57351887625</v>
      </c>
      <c r="Q61" s="28">
        <v>313</v>
      </c>
      <c r="R61" s="39">
        <v>212928.30777771503</v>
      </c>
      <c r="S61">
        <v>316</v>
      </c>
      <c r="T61" s="46">
        <v>218605.98499316248</v>
      </c>
      <c r="U61" s="47">
        <v>308</v>
      </c>
      <c r="V61" s="56">
        <v>222420.72407833539</v>
      </c>
      <c r="W61" s="47">
        <v>327</v>
      </c>
      <c r="X61" s="56">
        <v>228304.59768594979</v>
      </c>
      <c r="Y61" s="47">
        <v>356</v>
      </c>
      <c r="Z61" s="34">
        <v>229049.28499796989</v>
      </c>
      <c r="AA61" s="81">
        <v>396</v>
      </c>
      <c r="AB61" s="1">
        <v>236066.17620125579</v>
      </c>
      <c r="AC61">
        <v>422</v>
      </c>
      <c r="AD61" s="1">
        <v>242560.98682661419</v>
      </c>
      <c r="AE61">
        <v>405</v>
      </c>
      <c r="AF61" s="13">
        <f t="shared" si="19"/>
        <v>6.2444599386803024E-2</v>
      </c>
      <c r="AG61" s="85">
        <f t="shared" si="146"/>
        <v>0.11225055432372505</v>
      </c>
      <c r="AH61" s="35">
        <f t="shared" si="147"/>
        <v>16.837583148558757</v>
      </c>
      <c r="AI61" s="87">
        <f t="shared" si="148"/>
        <v>421.83758314855874</v>
      </c>
      <c r="AL61" s="1">
        <v>243395.0682751167</v>
      </c>
      <c r="AM61">
        <v>409</v>
      </c>
      <c r="AN61" s="13">
        <f t="shared" si="149"/>
        <v>0.10628898128898129</v>
      </c>
      <c r="AQ61" s="35">
        <f t="shared" si="150"/>
        <v>15.199324324324325</v>
      </c>
      <c r="AR61" s="87">
        <f t="shared" si="151"/>
        <v>424.19932432432432</v>
      </c>
      <c r="AS61">
        <v>389</v>
      </c>
      <c r="AT61" s="1">
        <v>248408.54210735709</v>
      </c>
      <c r="AU61" s="13">
        <f t="shared" si="152"/>
        <v>2.0598091275101371E-2</v>
      </c>
      <c r="AV61" s="35">
        <v>327</v>
      </c>
      <c r="AW61" s="1">
        <v>249959.24119891931</v>
      </c>
      <c r="AX61" s="35">
        <v>354.77503392130257</v>
      </c>
      <c r="AY61" s="121">
        <v>254829.24959477861</v>
      </c>
      <c r="AZ61" s="122">
        <v>303</v>
      </c>
      <c r="BA61" s="119">
        <v>258060.10432290591</v>
      </c>
      <c r="BB61">
        <v>334</v>
      </c>
      <c r="BC61" s="125">
        <f t="shared" si="153"/>
        <v>1.267850819034666E-2</v>
      </c>
      <c r="BD61">
        <v>343</v>
      </c>
      <c r="BE61" s="1">
        <v>260283.3880505657</v>
      </c>
      <c r="BF61" s="13">
        <f t="shared" si="130"/>
        <v>8.6153717309120914E-3</v>
      </c>
      <c r="BG61">
        <v>352</v>
      </c>
      <c r="BH61" s="1">
        <v>263460.95826672099</v>
      </c>
      <c r="BI61" s="13">
        <f t="shared" si="123"/>
        <v>1.220811762115992E-2</v>
      </c>
      <c r="BJ61">
        <v>329</v>
      </c>
      <c r="BK61" s="1">
        <v>270864.78408213961</v>
      </c>
      <c r="BL61" s="13">
        <f t="shared" si="131"/>
        <v>2.8102174470659769E-2</v>
      </c>
      <c r="BM61" s="1">
        <v>274775.79896095273</v>
      </c>
      <c r="BN61" s="109">
        <f t="shared" si="132"/>
        <v>1.4438993581487924E-2</v>
      </c>
      <c r="BO61">
        <v>305</v>
      </c>
      <c r="BP61" s="13">
        <f t="shared" si="133"/>
        <v>-7.2948328267477214E-2</v>
      </c>
      <c r="BQ61" s="1">
        <v>280743.91586491978</v>
      </c>
      <c r="BR61" s="13">
        <f t="shared" si="124"/>
        <v>2.1719951052949771E-2</v>
      </c>
      <c r="BS61">
        <v>305</v>
      </c>
      <c r="BT61" s="13">
        <f t="shared" si="125"/>
        <v>0</v>
      </c>
      <c r="BU61" s="1">
        <v>290956.1281383012</v>
      </c>
      <c r="BV61" s="13">
        <f t="shared" si="134"/>
        <v>3.637554260764464E-2</v>
      </c>
      <c r="BW61">
        <v>306</v>
      </c>
      <c r="BX61" s="13">
        <f t="shared" si="135"/>
        <v>3.2786885245901232E-3</v>
      </c>
      <c r="BY61" s="1">
        <v>294352.43032038113</v>
      </c>
      <c r="BZ61" s="13">
        <f t="shared" si="136"/>
        <v>1.1672901353930509E-2</v>
      </c>
      <c r="CA61">
        <v>261</v>
      </c>
      <c r="CB61" s="13">
        <f t="shared" si="137"/>
        <v>-0.1470588235294118</v>
      </c>
      <c r="CC61" s="1">
        <v>288951.60311990709</v>
      </c>
      <c r="CD61" s="13">
        <f t="shared" si="138"/>
        <v>-1.8348165818082851E-2</v>
      </c>
      <c r="CE61">
        <v>304</v>
      </c>
      <c r="CF61" s="13">
        <f t="shared" si="139"/>
        <v>0.16475095785440619</v>
      </c>
      <c r="CG61" s="1">
        <v>285485.21152994951</v>
      </c>
      <c r="CH61" s="13">
        <f t="shared" si="140"/>
        <v>-1.1996443530784329E-2</v>
      </c>
      <c r="CI61">
        <v>332</v>
      </c>
      <c r="CJ61" s="13">
        <f t="shared" si="141"/>
        <v>9.210526315789469E-2</v>
      </c>
      <c r="CK61" s="1">
        <v>283706.24622888712</v>
      </c>
      <c r="CL61" s="13">
        <f t="shared" si="142"/>
        <v>-6.2313746184213814E-3</v>
      </c>
      <c r="CM61">
        <v>374</v>
      </c>
      <c r="CN61" s="13">
        <f t="shared" si="143"/>
        <v>0.12650602409638556</v>
      </c>
      <c r="CO61" s="1">
        <v>281800.56070074078</v>
      </c>
      <c r="CP61" s="13">
        <v>-6.7171081126246035E-3</v>
      </c>
      <c r="CQ61">
        <v>383</v>
      </c>
      <c r="CR61" s="13">
        <v>2.4064171122994749E-2</v>
      </c>
      <c r="CS61" s="1">
        <v>276786.3404919171</v>
      </c>
      <c r="CT61" s="13">
        <f t="shared" si="24"/>
        <v>-1.779350685589498E-2</v>
      </c>
      <c r="CU61">
        <v>410</v>
      </c>
      <c r="CV61" s="13">
        <f t="shared" si="25"/>
        <v>7.0496083550913857E-2</v>
      </c>
      <c r="CW61" s="1">
        <v>270979.99155372632</v>
      </c>
      <c r="CX61" s="13">
        <f t="shared" si="26"/>
        <v>-2.0977729348462315E-2</v>
      </c>
      <c r="CY61">
        <v>426</v>
      </c>
      <c r="CZ61" s="13">
        <f t="shared" si="27"/>
        <v>3.9024390243902474E-2</v>
      </c>
      <c r="DA61" s="1">
        <v>268153.11762446287</v>
      </c>
      <c r="DB61" s="13">
        <f t="shared" si="28"/>
        <v>-1.0432039329010601E-2</v>
      </c>
      <c r="DC61">
        <v>436</v>
      </c>
      <c r="DD61" s="13">
        <f t="shared" si="29"/>
        <v>2.3474178403755763E-2</v>
      </c>
      <c r="DE61" s="1">
        <v>269831.6129765787</v>
      </c>
      <c r="DF61" s="13">
        <f t="shared" si="30"/>
        <v>6.2594661102037819E-3</v>
      </c>
      <c r="DG61" s="1">
        <v>438</v>
      </c>
      <c r="DH61" s="13">
        <f t="shared" si="31"/>
        <v>4.5871559633028358E-3</v>
      </c>
      <c r="DI61" s="1">
        <v>272676.40807391063</v>
      </c>
      <c r="DJ61" s="13">
        <f t="shared" si="32"/>
        <v>1.0542853248180606E-2</v>
      </c>
      <c r="DK61" s="1">
        <v>416</v>
      </c>
      <c r="DL61" s="13">
        <f t="shared" si="33"/>
        <v>-5.0228310502283158E-2</v>
      </c>
      <c r="DM61" s="1">
        <v>270554.91091972671</v>
      </c>
      <c r="DN61" s="13">
        <f t="shared" si="34"/>
        <v>-7.7802739487784489E-3</v>
      </c>
      <c r="DO61" s="1">
        <v>444</v>
      </c>
      <c r="DP61" s="13">
        <f t="shared" si="35"/>
        <v>6.7307692307692291E-2</v>
      </c>
      <c r="DQ61" s="1">
        <v>266233.5868605561</v>
      </c>
      <c r="DR61" s="13">
        <f t="shared" si="36"/>
        <v>-1.5972077699423992E-2</v>
      </c>
      <c r="DS61">
        <v>460</v>
      </c>
      <c r="DT61" s="13">
        <f t="shared" si="37"/>
        <v>3.6036036036036112E-2</v>
      </c>
      <c r="DU61" s="1">
        <v>264280.65633192559</v>
      </c>
      <c r="DV61" s="13">
        <f t="shared" si="38"/>
        <v>-7.3354025375219623E-3</v>
      </c>
      <c r="DW61">
        <v>431</v>
      </c>
      <c r="DX61" s="13">
        <f t="shared" si="39"/>
        <v>-6.3043478260869534E-2</v>
      </c>
      <c r="DY61" s="1">
        <v>265515.60531457001</v>
      </c>
      <c r="DZ61" s="13">
        <f t="shared" si="40"/>
        <v>4.6728693646551633E-3</v>
      </c>
      <c r="EA61" s="1">
        <v>411</v>
      </c>
      <c r="EB61" s="13">
        <f t="shared" si="41"/>
        <v>-4.6403712296983812E-2</v>
      </c>
      <c r="EC61" s="1">
        <v>268760.58167120389</v>
      </c>
      <c r="ED61" s="13">
        <f t="shared" si="42"/>
        <v>1.2221414830926314E-2</v>
      </c>
      <c r="EE61" s="1">
        <f>IFERROR(VLOOKUP($A61,[1]Москва_продажа_районы!$C$2:$F$148,2,0),"")</f>
        <v>396</v>
      </c>
      <c r="EF61" s="13">
        <v>-3.6496350364963459E-2</v>
      </c>
      <c r="EG61" s="1">
        <v>270105.65705640061</v>
      </c>
      <c r="EH61" s="13">
        <f t="shared" si="43"/>
        <v>5.0047346111277147E-3</v>
      </c>
      <c r="EI61" s="1">
        <f>IFERROR(VLOOKUP($A61,[2]Москва_продажа_районы!$C$2:$F$150,2,0),"")</f>
        <v>364</v>
      </c>
      <c r="EJ61" s="13">
        <v>-8.0808080808080773E-2</v>
      </c>
      <c r="EK61" s="1">
        <v>274504.41639965662</v>
      </c>
      <c r="EL61" s="13">
        <f t="shared" si="44"/>
        <v>1.6285328456995263E-2</v>
      </c>
      <c r="EM61">
        <v>344</v>
      </c>
      <c r="EN61" s="13">
        <f t="shared" si="45"/>
        <v>-5.4945054945054972E-2</v>
      </c>
      <c r="EO61" s="1">
        <v>278745.41943063179</v>
      </c>
      <c r="EP61" s="13">
        <f t="shared" si="46"/>
        <v>1.5449671399095477E-2</v>
      </c>
      <c r="EQ61">
        <v>322</v>
      </c>
      <c r="ER61" s="13">
        <f t="shared" si="47"/>
        <v>-6.3953488372093026E-2</v>
      </c>
      <c r="ES61" s="183">
        <v>283410.71310241672</v>
      </c>
      <c r="ET61" s="13">
        <f t="shared" si="48"/>
        <v>1.6736754567355128E-2</v>
      </c>
      <c r="EU61">
        <v>308</v>
      </c>
      <c r="EV61" s="13">
        <f t="shared" si="49"/>
        <v>-4.3478260869565188E-2</v>
      </c>
      <c r="EW61" s="183">
        <v>284609.60288702662</v>
      </c>
      <c r="EX61" s="13">
        <f t="shared" si="50"/>
        <v>4.2302204157562695E-3</v>
      </c>
      <c r="EY61">
        <v>306</v>
      </c>
      <c r="EZ61" s="13">
        <f t="shared" si="51"/>
        <v>-6.4935064935064402E-3</v>
      </c>
      <c r="FA61" s="1">
        <v>288538.86213168508</v>
      </c>
      <c r="FB61" s="13">
        <f t="shared" si="52"/>
        <v>1.3805785907435197E-2</v>
      </c>
      <c r="FC61" s="1">
        <v>267</v>
      </c>
      <c r="FD61" s="13">
        <f t="shared" si="53"/>
        <v>-0.12745098039215685</v>
      </c>
      <c r="FE61" s="1">
        <v>292496.63642595412</v>
      </c>
      <c r="FF61" s="13">
        <f t="shared" si="54"/>
        <v>1.3716607409586246E-2</v>
      </c>
      <c r="FG61" s="1">
        <v>275</v>
      </c>
      <c r="FH61" s="13">
        <f t="shared" si="55"/>
        <v>2.9962546816479474E-2</v>
      </c>
      <c r="FI61" s="1">
        <v>294072.43073307641</v>
      </c>
      <c r="FJ61" s="13">
        <f t="shared" si="56"/>
        <v>5.3873929162984169E-3</v>
      </c>
      <c r="FK61" s="1">
        <v>293</v>
      </c>
      <c r="FL61" s="13">
        <f t="shared" si="57"/>
        <v>6.5454545454545432E-2</v>
      </c>
      <c r="FM61" s="1">
        <v>293223.32021824853</v>
      </c>
      <c r="FN61" s="13">
        <f t="shared" si="58"/>
        <v>-2.8874196493401394E-3</v>
      </c>
      <c r="FO61" s="1">
        <v>325</v>
      </c>
      <c r="FP61" s="13">
        <f t="shared" si="59"/>
        <v>0.10921501706484649</v>
      </c>
      <c r="FQ61" s="1">
        <v>292418.86863075028</v>
      </c>
      <c r="FR61" s="13">
        <f t="shared" si="60"/>
        <v>-2.7434775204765449E-3</v>
      </c>
      <c r="FS61">
        <v>343</v>
      </c>
      <c r="FT61" s="13">
        <f t="shared" si="61"/>
        <v>5.5384615384615365E-2</v>
      </c>
      <c r="FU61" s="1">
        <v>293796.09820940759</v>
      </c>
      <c r="FV61" s="13">
        <f t="shared" si="62"/>
        <v>4.7097835550291567E-3</v>
      </c>
      <c r="FW61" s="1">
        <v>340</v>
      </c>
      <c r="FX61" s="13">
        <f t="shared" si="63"/>
        <v>-8.7463556851311575E-3</v>
      </c>
      <c r="FY61" s="1">
        <v>299013.89246172667</v>
      </c>
      <c r="FZ61" s="13">
        <f t="shared" si="64"/>
        <v>1.7759916772618345E-2</v>
      </c>
      <c r="GA61" s="1">
        <v>355</v>
      </c>
      <c r="GB61" s="13">
        <f t="shared" si="65"/>
        <v>4.4117647058823595E-2</v>
      </c>
      <c r="GC61" s="1">
        <v>297266.26939296979</v>
      </c>
      <c r="GD61" s="13">
        <f t="shared" si="66"/>
        <v>-5.8446216474058454E-3</v>
      </c>
      <c r="GE61" s="1">
        <v>364</v>
      </c>
      <c r="GF61" s="13">
        <f t="shared" si="67"/>
        <v>2.5352112676056304E-2</v>
      </c>
      <c r="GG61" s="1">
        <f>IFERROR(VLOOKUP(A61,[3]Москва_продажа_районы!$C$2:$F$149,3,0),"")</f>
        <v>294573.94247989479</v>
      </c>
      <c r="GH61" s="13">
        <v>-9.0569539509909314E-3</v>
      </c>
      <c r="GI61" s="1">
        <v>365</v>
      </c>
      <c r="GJ61" s="13">
        <f t="shared" si="68"/>
        <v>2.7472527472527375E-3</v>
      </c>
      <c r="GK61" s="1">
        <v>294147.0312320292</v>
      </c>
      <c r="GL61" s="13">
        <f t="shared" si="69"/>
        <v>-1.4492498700720002E-3</v>
      </c>
      <c r="GM61" s="1">
        <v>348</v>
      </c>
      <c r="GN61" s="13">
        <f t="shared" si="70"/>
        <v>-4.6575342465753455E-2</v>
      </c>
      <c r="GO61" s="1">
        <v>297191.411349223</v>
      </c>
      <c r="GP61" s="13">
        <f t="shared" si="71"/>
        <v>1.034985838355218E-2</v>
      </c>
      <c r="GQ61" s="1">
        <v>367.01000000000005</v>
      </c>
      <c r="GR61" s="13">
        <f t="shared" si="72"/>
        <v>5.4626436781609389E-2</v>
      </c>
      <c r="GS61" s="1">
        <v>297916.34336213191</v>
      </c>
      <c r="GT61" s="13">
        <f t="shared" si="144"/>
        <v>2.4392764569398651E-3</v>
      </c>
      <c r="GU61">
        <v>356</v>
      </c>
      <c r="GV61" s="13">
        <f t="shared" si="145"/>
        <v>-2.9999182583580919E-2</v>
      </c>
      <c r="GW61">
        <v>298446.90393747058</v>
      </c>
      <c r="GX61" s="13">
        <f t="shared" si="73"/>
        <v>1.7809045631771436E-3</v>
      </c>
      <c r="GY61">
        <v>319</v>
      </c>
      <c r="GZ61" s="13">
        <f t="shared" si="74"/>
        <v>-0.1039325842696629</v>
      </c>
      <c r="HA61">
        <v>300579.28375521873</v>
      </c>
      <c r="HB61" s="13">
        <v>7.1449218926891156E-3</v>
      </c>
      <c r="HC61">
        <v>302</v>
      </c>
      <c r="HD61" s="13">
        <v>-5.3291536050156685E-2</v>
      </c>
      <c r="HE61">
        <v>306119.71719683829</v>
      </c>
      <c r="HF61" s="13">
        <v>1.8432519275451753E-2</v>
      </c>
      <c r="HG61">
        <v>311</v>
      </c>
      <c r="HH61" s="13">
        <v>2.9801324503311299E-2</v>
      </c>
      <c r="HI61">
        <f>VLOOKUP(A61,[4]Москва_продажа_районы!$C$4:$F$151,3,0)</f>
        <v>309499.84044679941</v>
      </c>
      <c r="HJ61" s="13">
        <f t="shared" si="75"/>
        <v>1.1041834485256752E-2</v>
      </c>
      <c r="HK61">
        <f>VLOOKUP(A61,[4]Москва_продажа_районы!$C$4:$F$151,2,0)</f>
        <v>337</v>
      </c>
      <c r="HL61" s="13">
        <f t="shared" si="76"/>
        <v>8.3601286173633493E-2</v>
      </c>
      <c r="HM61" s="1">
        <f>VLOOKUP(A61,Лист3!$C$4:$F$149,3,0)</f>
        <v>312861.4821143194</v>
      </c>
      <c r="HN61" s="13">
        <f t="shared" si="77"/>
        <v>1.0861529565466155E-2</v>
      </c>
      <c r="HO61">
        <f>VLOOKUP(A61,Лист3!$C$4:$F$149,2,0)</f>
        <v>328</v>
      </c>
      <c r="HP61" s="13">
        <f t="shared" si="78"/>
        <v>-2.6706231454005969E-2</v>
      </c>
      <c r="HQ61" s="1">
        <v>310559.8154415614</v>
      </c>
      <c r="HR61" s="13">
        <v>-7.3568234005775279E-3</v>
      </c>
      <c r="HS61">
        <v>315</v>
      </c>
      <c r="HT61" s="13">
        <v>-3.963414634146345E-2</v>
      </c>
      <c r="HU61" s="34">
        <v>305477.89775334892</v>
      </c>
      <c r="HV61" s="13">
        <v>-1.6363732316709734E-2</v>
      </c>
      <c r="HW61">
        <v>283</v>
      </c>
      <c r="HX61" s="13">
        <v>-0.10158730158730156</v>
      </c>
      <c r="HY61">
        <v>308347.24619300727</v>
      </c>
      <c r="HZ61" s="13">
        <v>9.3929821462079843E-3</v>
      </c>
      <c r="IA61">
        <v>289</v>
      </c>
      <c r="IB61" s="13">
        <v>2.1201413427561766E-2</v>
      </c>
      <c r="IC61" s="34">
        <v>310307.02416042791</v>
      </c>
      <c r="ID61" s="13">
        <v>6.3557498619395414E-3</v>
      </c>
      <c r="IE61">
        <v>304</v>
      </c>
      <c r="IF61" s="13">
        <v>5.1903114186851118E-2</v>
      </c>
    </row>
    <row r="62" spans="1:240" ht="15" thickBot="1" x14ac:dyDescent="0.35">
      <c r="A62" s="29" t="s">
        <v>75</v>
      </c>
      <c r="B62" s="30">
        <v>283826.12338105147</v>
      </c>
      <c r="C62" s="31">
        <v>523</v>
      </c>
      <c r="D62" s="30">
        <v>293103.92564054584</v>
      </c>
      <c r="E62" s="31">
        <v>513</v>
      </c>
      <c r="F62" s="30">
        <v>311387.29439818591</v>
      </c>
      <c r="G62" s="31">
        <v>441</v>
      </c>
      <c r="H62" s="30">
        <v>302269.87932780239</v>
      </c>
      <c r="I62" s="31">
        <v>406</v>
      </c>
      <c r="J62" s="30">
        <v>299132.12224106165</v>
      </c>
      <c r="K62" s="31">
        <v>470</v>
      </c>
      <c r="L62" s="30">
        <v>306173.2564727373</v>
      </c>
      <c r="M62" s="31">
        <v>459</v>
      </c>
      <c r="N62" s="30">
        <v>306993.92735273921</v>
      </c>
      <c r="O62" s="32">
        <v>440</v>
      </c>
      <c r="P62" s="37">
        <v>315684.97804378544</v>
      </c>
      <c r="Q62" s="32">
        <v>450</v>
      </c>
      <c r="R62" s="37">
        <v>328800.80193107779</v>
      </c>
      <c r="S62" s="31">
        <v>409</v>
      </c>
      <c r="T62" s="48">
        <v>335212.93008863943</v>
      </c>
      <c r="U62" s="49">
        <v>382</v>
      </c>
      <c r="V62" s="57">
        <v>326596.93175474531</v>
      </c>
      <c r="W62" s="49">
        <v>361</v>
      </c>
      <c r="X62" s="57">
        <v>331021.74814429699</v>
      </c>
      <c r="Y62" s="49">
        <v>329</v>
      </c>
      <c r="Z62" s="34">
        <v>340788</v>
      </c>
      <c r="AA62" s="81">
        <v>379</v>
      </c>
      <c r="AB62" s="1">
        <v>344011.80089080043</v>
      </c>
      <c r="AC62">
        <v>403</v>
      </c>
      <c r="AD62" s="1">
        <v>350150.17266229622</v>
      </c>
      <c r="AE62">
        <v>358</v>
      </c>
      <c r="AF62" s="13">
        <f t="shared" si="19"/>
        <v>5.7786005376483152E-2</v>
      </c>
      <c r="AG62" s="85">
        <f t="shared" si="146"/>
        <v>9.9223946784922398E-2</v>
      </c>
      <c r="AH62" s="35">
        <f t="shared" si="147"/>
        <v>14.88359201773836</v>
      </c>
      <c r="AI62" s="88">
        <f t="shared" si="148"/>
        <v>372.88359201773835</v>
      </c>
      <c r="AL62" s="1">
        <v>352485.55099156342</v>
      </c>
      <c r="AM62">
        <v>390</v>
      </c>
      <c r="AN62" s="13">
        <f t="shared" si="149"/>
        <v>0.10135135135135136</v>
      </c>
      <c r="AQ62" s="35">
        <f t="shared" si="150"/>
        <v>14.493243243243244</v>
      </c>
      <c r="AR62" s="88">
        <f t="shared" si="151"/>
        <v>404.49324324324323</v>
      </c>
      <c r="AS62">
        <v>420</v>
      </c>
      <c r="AT62" s="1">
        <v>360341.35250200558</v>
      </c>
      <c r="AU62" s="13">
        <f t="shared" si="152"/>
        <v>2.2286875272882201E-2</v>
      </c>
      <c r="AV62" s="35">
        <v>396</v>
      </c>
      <c r="AW62" s="1">
        <v>365777.51089882752</v>
      </c>
      <c r="AX62" s="35">
        <v>429.63582089552239</v>
      </c>
      <c r="AY62" s="123">
        <v>369799.54395736702</v>
      </c>
      <c r="AZ62" s="124">
        <v>349</v>
      </c>
      <c r="BA62" s="119">
        <v>380456.62938761368</v>
      </c>
      <c r="BB62">
        <v>340</v>
      </c>
      <c r="BC62" s="125">
        <f t="shared" si="153"/>
        <v>2.8818546708308856E-2</v>
      </c>
      <c r="BD62">
        <v>353</v>
      </c>
      <c r="BE62" s="1">
        <v>379848.29346173198</v>
      </c>
      <c r="BF62" s="13">
        <f t="shared" si="130"/>
        <v>-1.5989626120088696E-3</v>
      </c>
      <c r="BG62">
        <v>339</v>
      </c>
      <c r="BH62" s="1">
        <v>384577.16280573321</v>
      </c>
      <c r="BI62" s="13">
        <f t="shared" si="123"/>
        <v>1.2449363141544989E-2</v>
      </c>
      <c r="BJ62">
        <v>327</v>
      </c>
      <c r="BK62" s="1">
        <v>393638.65679025679</v>
      </c>
      <c r="BL62" s="13">
        <f t="shared" si="131"/>
        <v>2.3562225896135436E-2</v>
      </c>
      <c r="BM62" s="1">
        <v>367775.0803897531</v>
      </c>
      <c r="BN62" s="109">
        <f t="shared" si="132"/>
        <v>-6.5703852897467385E-2</v>
      </c>
      <c r="BO62">
        <v>250</v>
      </c>
      <c r="BP62" s="13">
        <f t="shared" si="133"/>
        <v>-0.23547400611620795</v>
      </c>
      <c r="BQ62" s="1">
        <v>361854.0625133061</v>
      </c>
      <c r="BR62" s="13">
        <f t="shared" si="124"/>
        <v>-1.6099562455868854E-2</v>
      </c>
      <c r="BS62">
        <v>268</v>
      </c>
      <c r="BT62" s="13">
        <f t="shared" si="125"/>
        <v>7.2000000000000064E-2</v>
      </c>
      <c r="BU62" s="1">
        <v>381656.94937646942</v>
      </c>
      <c r="BV62" s="13">
        <f t="shared" si="134"/>
        <v>5.4726169786846413E-2</v>
      </c>
      <c r="BW62">
        <v>309</v>
      </c>
      <c r="BX62" s="13">
        <f t="shared" si="135"/>
        <v>0.15298507462686572</v>
      </c>
      <c r="BY62" s="1">
        <v>386813.7940803208</v>
      </c>
      <c r="BZ62" s="13">
        <f t="shared" si="136"/>
        <v>1.3511727514136318E-2</v>
      </c>
      <c r="CA62">
        <v>321</v>
      </c>
      <c r="CB62" s="13">
        <f t="shared" si="137"/>
        <v>3.8834951456310662E-2</v>
      </c>
      <c r="CC62" s="1">
        <v>385517.06702816952</v>
      </c>
      <c r="CD62" s="13">
        <f t="shared" si="138"/>
        <v>-3.3523288776046156E-3</v>
      </c>
      <c r="CE62">
        <v>384</v>
      </c>
      <c r="CF62" s="13">
        <f t="shared" si="139"/>
        <v>0.19626168224299056</v>
      </c>
      <c r="CG62" s="1">
        <v>378974.82365778828</v>
      </c>
      <c r="CH62" s="13">
        <f t="shared" si="140"/>
        <v>-1.6970048617596545E-2</v>
      </c>
      <c r="CI62">
        <v>418</v>
      </c>
      <c r="CJ62" s="13">
        <f t="shared" si="141"/>
        <v>8.8541666666666741E-2</v>
      </c>
      <c r="CK62" s="1">
        <v>373186.23704372701</v>
      </c>
      <c r="CL62" s="13">
        <f t="shared" si="142"/>
        <v>-1.5274330252841084E-2</v>
      </c>
      <c r="CM62">
        <v>441</v>
      </c>
      <c r="CN62" s="13">
        <f t="shared" si="143"/>
        <v>5.5023923444976086E-2</v>
      </c>
      <c r="CO62" s="1">
        <v>372492.11332129611</v>
      </c>
      <c r="CP62" s="13">
        <v>-1.8599928226976647E-3</v>
      </c>
      <c r="CQ62">
        <v>475</v>
      </c>
      <c r="CR62" s="13">
        <v>7.7097505668934252E-2</v>
      </c>
      <c r="CS62" s="1">
        <v>372017.65373188828</v>
      </c>
      <c r="CT62" s="13">
        <f t="shared" si="24"/>
        <v>-1.2737439866239431E-3</v>
      </c>
      <c r="CU62">
        <v>461</v>
      </c>
      <c r="CV62" s="13">
        <f t="shared" si="25"/>
        <v>-2.9473684210526319E-2</v>
      </c>
      <c r="CW62" s="1">
        <v>365847.20817556413</v>
      </c>
      <c r="CX62" s="13">
        <f t="shared" si="26"/>
        <v>-1.6586432107254745E-2</v>
      </c>
      <c r="CY62">
        <v>439</v>
      </c>
      <c r="CZ62" s="13">
        <f t="shared" si="27"/>
        <v>-4.7722342733188761E-2</v>
      </c>
      <c r="DA62" s="1">
        <v>362516.81193416187</v>
      </c>
      <c r="DB62" s="13">
        <f t="shared" si="28"/>
        <v>-9.1032435589997185E-3</v>
      </c>
      <c r="DC62">
        <v>470</v>
      </c>
      <c r="DD62" s="13">
        <f t="shared" si="29"/>
        <v>7.0615034168564961E-2</v>
      </c>
      <c r="DE62" s="1">
        <v>361980.07670750929</v>
      </c>
      <c r="DF62" s="13">
        <f t="shared" si="30"/>
        <v>-1.4805802351314234E-3</v>
      </c>
      <c r="DG62" s="1">
        <v>476</v>
      </c>
      <c r="DH62" s="13">
        <f t="shared" si="31"/>
        <v>1.2765957446808418E-2</v>
      </c>
      <c r="DI62" s="1">
        <v>362440.26488405193</v>
      </c>
      <c r="DJ62" s="13">
        <f t="shared" si="32"/>
        <v>1.2713080253710096E-3</v>
      </c>
      <c r="DK62" s="1">
        <v>467</v>
      </c>
      <c r="DL62" s="13">
        <f t="shared" si="33"/>
        <v>-1.8907563025210128E-2</v>
      </c>
      <c r="DM62" s="1">
        <v>370366.01229736372</v>
      </c>
      <c r="DN62" s="13">
        <f t="shared" si="34"/>
        <v>2.1867734303326669E-2</v>
      </c>
      <c r="DO62" s="1">
        <v>516</v>
      </c>
      <c r="DP62" s="13">
        <f t="shared" si="35"/>
        <v>0.10492505353319048</v>
      </c>
      <c r="DQ62" s="1">
        <v>370066.03418851929</v>
      </c>
      <c r="DR62" s="13">
        <f t="shared" si="36"/>
        <v>-8.099504244022393E-4</v>
      </c>
      <c r="DS62">
        <v>535</v>
      </c>
      <c r="DT62" s="13">
        <f t="shared" si="37"/>
        <v>3.6821705426356655E-2</v>
      </c>
      <c r="DU62" s="1">
        <v>371452.54421115428</v>
      </c>
      <c r="DV62" s="13">
        <f t="shared" si="38"/>
        <v>3.7466557169325565E-3</v>
      </c>
      <c r="DW62">
        <v>502</v>
      </c>
      <c r="DX62" s="13">
        <f t="shared" si="39"/>
        <v>-6.1682242990654168E-2</v>
      </c>
      <c r="DY62" s="1">
        <v>367726.24361070991</v>
      </c>
      <c r="DZ62" s="13">
        <f t="shared" si="40"/>
        <v>-1.0031700303353208E-2</v>
      </c>
      <c r="EA62" s="1">
        <v>485</v>
      </c>
      <c r="EB62" s="13">
        <f t="shared" si="41"/>
        <v>-3.3864541832669293E-2</v>
      </c>
      <c r="EC62" s="1">
        <v>371520.21095942572</v>
      </c>
      <c r="ED62" s="13">
        <f t="shared" si="42"/>
        <v>1.0317369006527244E-2</v>
      </c>
      <c r="EE62" s="1">
        <f>IFERROR(VLOOKUP($A62,[1]Москва_продажа_районы!$C$2:$F$148,2,0),"")</f>
        <v>484</v>
      </c>
      <c r="EF62" s="13">
        <v>-2.0618556701030855E-3</v>
      </c>
      <c r="EG62" s="1">
        <v>375646.92776188551</v>
      </c>
      <c r="EH62" s="13">
        <f t="shared" si="43"/>
        <v>1.1107650891462484E-2</v>
      </c>
      <c r="EI62" s="1">
        <f>IFERROR(VLOOKUP($A62,[2]Москва_продажа_районы!$C$2:$F$150,2,0),"")</f>
        <v>451</v>
      </c>
      <c r="EJ62" s="13">
        <v>-6.8181818181818232E-2</v>
      </c>
      <c r="EK62" s="1">
        <v>381349.61196610727</v>
      </c>
      <c r="EL62" s="13">
        <f t="shared" si="44"/>
        <v>1.518096857120188E-2</v>
      </c>
      <c r="EM62">
        <v>407</v>
      </c>
      <c r="EN62" s="13">
        <f t="shared" si="45"/>
        <v>-9.7560975609756073E-2</v>
      </c>
      <c r="EO62" s="1">
        <v>386507.9813090571</v>
      </c>
      <c r="EP62" s="13">
        <f t="shared" si="46"/>
        <v>1.3526614899003198E-2</v>
      </c>
      <c r="EQ62">
        <v>377</v>
      </c>
      <c r="ER62" s="13">
        <f t="shared" si="47"/>
        <v>-7.3710073710073765E-2</v>
      </c>
      <c r="ES62" s="183">
        <v>387282.70671460289</v>
      </c>
      <c r="ET62" s="13">
        <f t="shared" si="48"/>
        <v>2.0044227881708121E-3</v>
      </c>
      <c r="EU62">
        <v>325</v>
      </c>
      <c r="EV62" s="13">
        <f t="shared" si="49"/>
        <v>-0.13793103448275867</v>
      </c>
      <c r="EW62" s="183">
        <v>392198.90240973228</v>
      </c>
      <c r="EX62" s="13">
        <f t="shared" si="50"/>
        <v>1.2694074922256382E-2</v>
      </c>
      <c r="EY62">
        <v>298</v>
      </c>
      <c r="EZ62" s="13">
        <f t="shared" si="51"/>
        <v>-8.3076923076923048E-2</v>
      </c>
      <c r="FA62" s="1">
        <v>402405.65128405171</v>
      </c>
      <c r="FB62" s="13">
        <f t="shared" si="52"/>
        <v>2.6024419781920605E-2</v>
      </c>
      <c r="FC62" s="1">
        <v>271</v>
      </c>
      <c r="FD62" s="13">
        <f t="shared" si="53"/>
        <v>-9.060402684563762E-2</v>
      </c>
      <c r="FE62" s="1">
        <v>399014.52188964683</v>
      </c>
      <c r="FF62" s="13">
        <f t="shared" si="54"/>
        <v>-8.4271415761284496E-3</v>
      </c>
      <c r="FG62" s="1">
        <v>267</v>
      </c>
      <c r="FH62" s="13">
        <f t="shared" si="55"/>
        <v>-1.4760147601476037E-2</v>
      </c>
      <c r="FI62" s="1">
        <v>394192.20994092309</v>
      </c>
      <c r="FJ62" s="13">
        <f t="shared" si="56"/>
        <v>-1.2085554996560832E-2</v>
      </c>
      <c r="FK62" s="1">
        <v>307</v>
      </c>
      <c r="FL62" s="13">
        <f t="shared" si="57"/>
        <v>0.14981273408239693</v>
      </c>
      <c r="FM62" s="1">
        <v>403585.79189540481</v>
      </c>
      <c r="FN62" s="13">
        <f t="shared" si="58"/>
        <v>2.3829953300927853E-2</v>
      </c>
      <c r="FO62" s="1">
        <v>322</v>
      </c>
      <c r="FP62" s="13">
        <f t="shared" si="59"/>
        <v>4.8859934853420217E-2</v>
      </c>
      <c r="FQ62" s="1">
        <v>401483.61508949538</v>
      </c>
      <c r="FR62" s="13">
        <f t="shared" si="60"/>
        <v>-5.2087482962092091E-3</v>
      </c>
      <c r="FS62">
        <v>326</v>
      </c>
      <c r="FT62" s="13">
        <f t="shared" si="61"/>
        <v>1.2422360248447228E-2</v>
      </c>
      <c r="FU62" s="1">
        <v>399273.70184273092</v>
      </c>
      <c r="FV62" s="13">
        <f t="shared" si="62"/>
        <v>-5.5043672112792263E-3</v>
      </c>
      <c r="FW62" s="1">
        <v>321</v>
      </c>
      <c r="FX62" s="13">
        <f t="shared" si="63"/>
        <v>-1.5337423312883458E-2</v>
      </c>
      <c r="FY62" s="1">
        <v>405345.79632938962</v>
      </c>
      <c r="FZ62" s="13">
        <f t="shared" si="64"/>
        <v>1.5207849799860895E-2</v>
      </c>
      <c r="GA62" s="1">
        <v>323</v>
      </c>
      <c r="GB62" s="13">
        <f t="shared" si="65"/>
        <v>6.230529595015577E-3</v>
      </c>
      <c r="GC62" s="1">
        <v>401262.75994462188</v>
      </c>
      <c r="GD62" s="13">
        <f t="shared" si="66"/>
        <v>-1.0072970835621531E-2</v>
      </c>
      <c r="GE62" s="1">
        <v>322</v>
      </c>
      <c r="GF62" s="13">
        <f t="shared" si="67"/>
        <v>-3.0959752321981782E-3</v>
      </c>
      <c r="GG62" s="1">
        <f>IFERROR(VLOOKUP(A62,[3]Москва_продажа_районы!$C$2:$F$149,3,0),"")</f>
        <v>400984.01297391538</v>
      </c>
      <c r="GH62" s="13">
        <v>-6.9467440921999746E-4</v>
      </c>
      <c r="GI62" s="1">
        <v>316</v>
      </c>
      <c r="GJ62" s="13">
        <f t="shared" si="68"/>
        <v>-1.8633540372670843E-2</v>
      </c>
      <c r="GK62" s="1">
        <v>404163.01964585332</v>
      </c>
      <c r="GL62" s="13">
        <f t="shared" si="69"/>
        <v>7.9280135094681459E-3</v>
      </c>
      <c r="GM62" s="1">
        <v>302</v>
      </c>
      <c r="GN62" s="13">
        <f t="shared" si="70"/>
        <v>-4.4303797468354444E-2</v>
      </c>
      <c r="GO62" s="1">
        <v>402294.66943519429</v>
      </c>
      <c r="GP62" s="13">
        <f t="shared" si="71"/>
        <v>-4.6227638844745789E-3</v>
      </c>
      <c r="GQ62" s="1">
        <v>298.53000000000003</v>
      </c>
      <c r="GR62" s="13">
        <f t="shared" si="72"/>
        <v>-1.1490066225165463E-2</v>
      </c>
      <c r="GS62" s="1">
        <v>390968.10680771322</v>
      </c>
      <c r="GT62" s="13">
        <f t="shared" si="144"/>
        <v>-2.8154891148279737E-2</v>
      </c>
      <c r="GU62">
        <v>304</v>
      </c>
      <c r="GV62" s="13">
        <f t="shared" si="145"/>
        <v>1.832311660469621E-2</v>
      </c>
      <c r="GW62">
        <v>398365.24522921332</v>
      </c>
      <c r="GX62" s="13">
        <f t="shared" si="73"/>
        <v>1.8920055863119734E-2</v>
      </c>
      <c r="GY62">
        <v>285</v>
      </c>
      <c r="GZ62" s="13">
        <f t="shared" si="74"/>
        <v>-6.25E-2</v>
      </c>
      <c r="HA62">
        <v>401745.63929121528</v>
      </c>
      <c r="HB62" s="13">
        <v>8.4856651088047741E-3</v>
      </c>
      <c r="HC62">
        <v>245</v>
      </c>
      <c r="HD62" s="13">
        <v>-0.14035087719298245</v>
      </c>
      <c r="HE62">
        <v>404851.31698085362</v>
      </c>
      <c r="HF62" s="13">
        <v>7.7304577471395408E-3</v>
      </c>
      <c r="HG62">
        <v>220</v>
      </c>
      <c r="HH62" s="13">
        <v>-0.10204081632653061</v>
      </c>
      <c r="HI62">
        <f>VLOOKUP(A62,[4]Москва_продажа_районы!$C$4:$F$151,3,0)</f>
        <v>414716.26685078337</v>
      </c>
      <c r="HJ62" s="13">
        <f t="shared" si="75"/>
        <v>2.4366846435122991E-2</v>
      </c>
      <c r="HK62">
        <f>VLOOKUP(A62,[4]Москва_продажа_районы!$C$4:$F$151,2,0)</f>
        <v>228</v>
      </c>
      <c r="HL62" s="13">
        <f t="shared" si="76"/>
        <v>3.6363636363636376E-2</v>
      </c>
      <c r="HM62" s="1">
        <f>VLOOKUP(A62,Лист3!$C$4:$F$149,3,0)</f>
        <v>416582.53816609387</v>
      </c>
      <c r="HN62" s="13">
        <f t="shared" si="77"/>
        <v>4.5001160178315125E-3</v>
      </c>
      <c r="HO62">
        <f>VLOOKUP(A62,Лист3!$C$4:$F$149,2,0)</f>
        <v>227</v>
      </c>
      <c r="HP62" s="13">
        <f t="shared" si="78"/>
        <v>-4.3859649122807154E-3</v>
      </c>
      <c r="HQ62" s="1">
        <v>419414.12623166072</v>
      </c>
      <c r="HR62" s="13">
        <v>6.7971837658684642E-3</v>
      </c>
      <c r="HS62">
        <v>234</v>
      </c>
      <c r="HT62" s="13">
        <v>3.0837004405286361E-2</v>
      </c>
      <c r="HU62" s="34">
        <v>414385.08268901199</v>
      </c>
      <c r="HV62" s="13">
        <v>-1.199063938984013E-2</v>
      </c>
      <c r="HW62">
        <v>227</v>
      </c>
      <c r="HX62" s="13">
        <v>-2.9914529914529919E-2</v>
      </c>
      <c r="HY62">
        <v>419426.19277318253</v>
      </c>
      <c r="HZ62" s="13">
        <v>1.2165278854774364E-2</v>
      </c>
      <c r="IA62">
        <v>246</v>
      </c>
      <c r="IB62" s="13">
        <v>8.3700440528634346E-2</v>
      </c>
      <c r="IC62" s="34">
        <v>428989.98564859782</v>
      </c>
      <c r="ID62" s="13">
        <v>2.2802087805201099E-2</v>
      </c>
      <c r="IE62">
        <v>249</v>
      </c>
      <c r="IF62" s="13">
        <v>1.2195121951219523E-2</v>
      </c>
    </row>
    <row r="63" spans="1:240" ht="15.6" thickTop="1" thickBot="1" x14ac:dyDescent="0.35">
      <c r="A63" s="229" t="s">
        <v>162</v>
      </c>
      <c r="B63" s="228"/>
      <c r="C63" s="228"/>
      <c r="D63" s="228"/>
      <c r="E63" s="228"/>
      <c r="F63" s="228"/>
      <c r="G63" s="228"/>
      <c r="H63" s="228"/>
      <c r="I63" s="228"/>
      <c r="J63" s="228"/>
      <c r="K63" s="228"/>
      <c r="L63" s="228"/>
      <c r="M63" s="228"/>
      <c r="N63" s="228"/>
      <c r="O63" s="228"/>
      <c r="P63" s="228"/>
      <c r="Q63" s="228"/>
      <c r="U63" s="13"/>
      <c r="V63" s="1"/>
      <c r="AA63" s="81"/>
      <c r="AF63" s="13" t="e">
        <f t="shared" si="19"/>
        <v>#DIV/0!</v>
      </c>
      <c r="AK63" s="35">
        <f>AK64-AJ64</f>
        <v>400</v>
      </c>
      <c r="AL63" s="35"/>
      <c r="BA63" s="119"/>
      <c r="BI63" s="13"/>
      <c r="BL63" s="13"/>
      <c r="BM63" s="34"/>
      <c r="BN63" s="109"/>
      <c r="BP63" s="13"/>
      <c r="BR63" s="13" t="str">
        <f t="shared" si="124"/>
        <v/>
      </c>
      <c r="BT63" s="13" t="str">
        <f t="shared" si="125"/>
        <v/>
      </c>
      <c r="BV63" s="13"/>
      <c r="BX63" s="13"/>
      <c r="BZ63" s="13"/>
      <c r="CB63" s="13"/>
      <c r="CC63" s="1"/>
      <c r="CD63" s="13"/>
      <c r="CF63" s="13"/>
      <c r="CG63" s="1"/>
      <c r="CH63" s="13"/>
      <c r="CJ63" s="13"/>
      <c r="CK63" s="1"/>
      <c r="CL63" s="13"/>
      <c r="CN63" s="13"/>
      <c r="CO63" s="1" t="s">
        <v>184</v>
      </c>
      <c r="CP63" s="13" t="s">
        <v>184</v>
      </c>
      <c r="CQ63" t="s">
        <v>184</v>
      </c>
      <c r="CR63" s="13" t="s">
        <v>184</v>
      </c>
      <c r="CS63" s="1" t="s">
        <v>184</v>
      </c>
      <c r="CT63" s="13" t="str">
        <f t="shared" si="24"/>
        <v/>
      </c>
      <c r="CU63" t="s">
        <v>184</v>
      </c>
      <c r="CV63" s="13" t="str">
        <f t="shared" si="25"/>
        <v/>
      </c>
      <c r="CW63" s="1" t="s">
        <v>184</v>
      </c>
      <c r="CX63" s="13" t="str">
        <f t="shared" si="26"/>
        <v/>
      </c>
      <c r="CY63" t="s">
        <v>184</v>
      </c>
      <c r="CZ63" s="13" t="str">
        <f t="shared" si="27"/>
        <v/>
      </c>
      <c r="DA63" s="1" t="s">
        <v>184</v>
      </c>
      <c r="DB63" s="13" t="str">
        <f t="shared" si="28"/>
        <v/>
      </c>
      <c r="DC63" t="s">
        <v>184</v>
      </c>
      <c r="DD63" s="13" t="str">
        <f t="shared" si="29"/>
        <v/>
      </c>
      <c r="DE63" s="1" t="s">
        <v>184</v>
      </c>
      <c r="DF63" s="13" t="str">
        <f t="shared" si="30"/>
        <v/>
      </c>
      <c r="DG63" s="1" t="s">
        <v>184</v>
      </c>
      <c r="DH63" s="13" t="str">
        <f t="shared" si="31"/>
        <v/>
      </c>
      <c r="DI63" s="1" t="s">
        <v>184</v>
      </c>
      <c r="DJ63" s="13" t="str">
        <f t="shared" si="32"/>
        <v/>
      </c>
      <c r="DK63" s="1" t="s">
        <v>184</v>
      </c>
      <c r="DL63" s="13" t="str">
        <f t="shared" si="33"/>
        <v/>
      </c>
      <c r="DM63" s="1" t="s">
        <v>184</v>
      </c>
      <c r="DN63" s="13" t="str">
        <f t="shared" si="34"/>
        <v/>
      </c>
      <c r="DO63" s="1" t="s">
        <v>184</v>
      </c>
      <c r="DP63" s="13" t="str">
        <f t="shared" si="35"/>
        <v/>
      </c>
      <c r="DQ63" s="1" t="s">
        <v>184</v>
      </c>
      <c r="DR63" s="13" t="str">
        <f t="shared" si="36"/>
        <v/>
      </c>
      <c r="DS63" t="s">
        <v>184</v>
      </c>
      <c r="DT63" s="13" t="str">
        <f t="shared" si="37"/>
        <v/>
      </c>
      <c r="DU63" s="1" t="s">
        <v>184</v>
      </c>
      <c r="DV63" s="13" t="str">
        <f t="shared" si="38"/>
        <v/>
      </c>
      <c r="DW63" t="s">
        <v>184</v>
      </c>
      <c r="DX63" s="13" t="str">
        <f t="shared" si="39"/>
        <v/>
      </c>
      <c r="DY63" s="1" t="s">
        <v>184</v>
      </c>
      <c r="DZ63" s="13" t="str">
        <f t="shared" si="40"/>
        <v/>
      </c>
      <c r="EA63" s="1" t="s">
        <v>184</v>
      </c>
      <c r="EB63" s="13" t="str">
        <f t="shared" si="41"/>
        <v/>
      </c>
      <c r="EC63" s="1" t="s">
        <v>184</v>
      </c>
      <c r="ED63" s="13" t="str">
        <f t="shared" si="42"/>
        <v/>
      </c>
      <c r="EE63" s="1" t="str">
        <f>IFERROR(VLOOKUP($A63,[1]Москва_продажа_районы!$C$2:$F$148,2,0),"")</f>
        <v/>
      </c>
      <c r="EF63" s="13" t="s">
        <v>184</v>
      </c>
      <c r="EG63" s="1" t="s">
        <v>184</v>
      </c>
      <c r="EH63" s="13" t="str">
        <f t="shared" si="43"/>
        <v/>
      </c>
      <c r="EI63" s="1" t="str">
        <f>IFERROR(VLOOKUP($A63,[2]Москва_продажа_районы!$C$2:$F$150,2,0),"")</f>
        <v/>
      </c>
      <c r="EJ63" s="13" t="s">
        <v>184</v>
      </c>
      <c r="EK63" s="1" t="s">
        <v>184</v>
      </c>
      <c r="EL63" s="13" t="str">
        <f t="shared" si="44"/>
        <v/>
      </c>
      <c r="EM63" t="s">
        <v>184</v>
      </c>
      <c r="EN63" s="13" t="str">
        <f t="shared" si="45"/>
        <v/>
      </c>
      <c r="EO63" s="1" t="s">
        <v>184</v>
      </c>
      <c r="EP63" s="13" t="str">
        <f t="shared" si="46"/>
        <v/>
      </c>
      <c r="EQ63" t="s">
        <v>184</v>
      </c>
      <c r="ER63" s="13" t="str">
        <f t="shared" si="47"/>
        <v/>
      </c>
      <c r="ES63" s="183" t="s">
        <v>184</v>
      </c>
      <c r="ET63" s="13" t="str">
        <f t="shared" si="48"/>
        <v/>
      </c>
      <c r="EU63" t="s">
        <v>184</v>
      </c>
      <c r="EV63" s="13" t="str">
        <f t="shared" si="49"/>
        <v/>
      </c>
      <c r="EW63" s="183" t="s">
        <v>184</v>
      </c>
      <c r="EX63" s="13" t="str">
        <f t="shared" si="50"/>
        <v/>
      </c>
      <c r="EY63" t="s">
        <v>184</v>
      </c>
      <c r="EZ63" s="13" t="str">
        <f t="shared" si="51"/>
        <v/>
      </c>
      <c r="FA63" s="1" t="s">
        <v>184</v>
      </c>
      <c r="FB63" s="13" t="str">
        <f t="shared" si="52"/>
        <v/>
      </c>
      <c r="FC63" s="1" t="s">
        <v>184</v>
      </c>
      <c r="FD63" s="13" t="str">
        <f t="shared" si="53"/>
        <v/>
      </c>
      <c r="FE63" s="1" t="s">
        <v>184</v>
      </c>
      <c r="FF63" s="13" t="str">
        <f t="shared" si="54"/>
        <v/>
      </c>
      <c r="FG63" s="1" t="s">
        <v>184</v>
      </c>
      <c r="FH63" s="13" t="str">
        <f t="shared" si="55"/>
        <v/>
      </c>
      <c r="FI63" s="1" t="s">
        <v>184</v>
      </c>
      <c r="FJ63" s="13" t="str">
        <f t="shared" si="56"/>
        <v/>
      </c>
      <c r="FK63" s="1" t="s">
        <v>184</v>
      </c>
      <c r="FL63" s="13" t="str">
        <f t="shared" si="57"/>
        <v/>
      </c>
      <c r="FM63" s="1" t="s">
        <v>184</v>
      </c>
      <c r="FN63" s="13" t="str">
        <f t="shared" si="58"/>
        <v/>
      </c>
      <c r="FO63" s="1" t="s">
        <v>184</v>
      </c>
      <c r="FP63" s="13" t="str">
        <f t="shared" si="59"/>
        <v/>
      </c>
      <c r="FQ63" s="1" t="s">
        <v>184</v>
      </c>
      <c r="FR63" s="13" t="str">
        <f t="shared" si="60"/>
        <v/>
      </c>
      <c r="FS63" t="s">
        <v>184</v>
      </c>
      <c r="FT63" s="13" t="str">
        <f t="shared" si="61"/>
        <v/>
      </c>
      <c r="FU63" s="1" t="s">
        <v>184</v>
      </c>
      <c r="FV63" s="13" t="str">
        <f t="shared" si="62"/>
        <v/>
      </c>
      <c r="FW63" s="1" t="s">
        <v>184</v>
      </c>
      <c r="FX63" s="13" t="str">
        <f t="shared" si="63"/>
        <v/>
      </c>
      <c r="FY63" s="1" t="s">
        <v>184</v>
      </c>
      <c r="FZ63" s="13" t="str">
        <f t="shared" si="64"/>
        <v/>
      </c>
      <c r="GA63" s="1" t="s">
        <v>184</v>
      </c>
      <c r="GB63" s="13" t="str">
        <f t="shared" si="65"/>
        <v/>
      </c>
      <c r="GC63" s="1" t="s">
        <v>184</v>
      </c>
      <c r="GD63" s="13" t="str">
        <f t="shared" si="66"/>
        <v/>
      </c>
      <c r="GE63" s="1" t="s">
        <v>184</v>
      </c>
      <c r="GF63" s="13" t="str">
        <f t="shared" si="67"/>
        <v/>
      </c>
      <c r="GG63" s="1" t="str">
        <f>IFERROR(VLOOKUP(A63,[3]Москва_продажа_районы!$C$2:$F$149,3,0),"")</f>
        <v/>
      </c>
      <c r="GH63" s="13" t="s">
        <v>184</v>
      </c>
      <c r="GI63" s="1" t="s">
        <v>184</v>
      </c>
      <c r="GJ63" s="13" t="str">
        <f t="shared" si="68"/>
        <v/>
      </c>
      <c r="GK63" s="1" t="s">
        <v>184</v>
      </c>
      <c r="GL63" s="13" t="str">
        <f t="shared" si="69"/>
        <v/>
      </c>
      <c r="GM63" s="1" t="s">
        <v>184</v>
      </c>
      <c r="GN63" s="13" t="str">
        <f t="shared" si="70"/>
        <v/>
      </c>
      <c r="GO63" s="1" t="s">
        <v>184</v>
      </c>
      <c r="GP63" s="13" t="str">
        <f t="shared" si="71"/>
        <v/>
      </c>
      <c r="GQ63" s="1" t="s">
        <v>184</v>
      </c>
      <c r="GR63" s="13" t="str">
        <f t="shared" si="72"/>
        <v/>
      </c>
      <c r="GT63" s="13"/>
      <c r="GV63" s="13"/>
      <c r="GX63" s="13"/>
      <c r="GZ63" s="13"/>
      <c r="HB63" s="13"/>
      <c r="HD63" s="13"/>
      <c r="HE63" t="e">
        <v>#N/A</v>
      </c>
      <c r="HF63" s="13" t="e">
        <v>#N/A</v>
      </c>
      <c r="HG63" t="e">
        <v>#N/A</v>
      </c>
      <c r="HH63" s="13" t="e">
        <v>#N/A</v>
      </c>
      <c r="HI63" t="e">
        <f>VLOOKUP(A63,[4]Москва_продажа_районы!$C$4:$F$151,3,0)</f>
        <v>#N/A</v>
      </c>
      <c r="HJ63" s="13" t="e">
        <f t="shared" si="75"/>
        <v>#N/A</v>
      </c>
      <c r="HK63" t="e">
        <f>VLOOKUP(A63,[4]Москва_продажа_районы!$C$4:$F$151,2,0)</f>
        <v>#N/A</v>
      </c>
      <c r="HL63" s="13" t="e">
        <f t="shared" si="76"/>
        <v>#N/A</v>
      </c>
      <c r="HM63" s="1" t="e">
        <f>VLOOKUP(A63,Лист3!$C$4:$F$149,3,0)</f>
        <v>#N/A</v>
      </c>
      <c r="HN63" s="13" t="e">
        <f t="shared" si="77"/>
        <v>#N/A</v>
      </c>
      <c r="HO63" t="e">
        <f>VLOOKUP(A63,Лист3!$C$4:$F$149,2,0)</f>
        <v>#N/A</v>
      </c>
      <c r="HP63" s="13" t="e">
        <f t="shared" si="78"/>
        <v>#N/A</v>
      </c>
      <c r="HQ63" s="1" t="e">
        <v>#N/A</v>
      </c>
      <c r="HR63" s="13" t="e">
        <v>#N/A</v>
      </c>
      <c r="HS63" t="e">
        <v>#N/A</v>
      </c>
      <c r="HT63" s="13" t="e">
        <v>#N/A</v>
      </c>
      <c r="HU63" s="34" t="e">
        <v>#N/A</v>
      </c>
      <c r="HV63" s="13" t="e">
        <v>#N/A</v>
      </c>
      <c r="HW63" t="e">
        <v>#N/A</v>
      </c>
      <c r="HX63" s="13" t="e">
        <v>#N/A</v>
      </c>
      <c r="HY63" t="e">
        <v>#N/A</v>
      </c>
      <c r="HZ63" s="13" t="e">
        <v>#N/A</v>
      </c>
      <c r="IA63" t="e">
        <v>#N/A</v>
      </c>
      <c r="IB63" s="13" t="e">
        <v>#N/A</v>
      </c>
      <c r="IC63" s="34" t="e">
        <v>#N/A</v>
      </c>
      <c r="ID63" s="13" t="e">
        <v>#N/A</v>
      </c>
      <c r="IE63" t="e">
        <v>#N/A</v>
      </c>
      <c r="IF63" s="13" t="e">
        <v>#N/A</v>
      </c>
    </row>
    <row r="64" spans="1:240" ht="15" thickTop="1" x14ac:dyDescent="0.3">
      <c r="A64" s="24" t="s">
        <v>76</v>
      </c>
      <c r="B64" s="25">
        <v>241669.10641858971</v>
      </c>
      <c r="C64" s="26">
        <v>312</v>
      </c>
      <c r="D64" s="25">
        <v>242259.24550666686</v>
      </c>
      <c r="E64" s="26">
        <v>330</v>
      </c>
      <c r="F64" s="25">
        <v>249270.57703144694</v>
      </c>
      <c r="G64" s="26">
        <v>235</v>
      </c>
      <c r="H64" s="25">
        <v>252301.54112732291</v>
      </c>
      <c r="I64" s="26">
        <v>245</v>
      </c>
      <c r="J64" s="25">
        <v>247736.56699686404</v>
      </c>
      <c r="K64" s="26">
        <v>324</v>
      </c>
      <c r="L64" s="25">
        <v>254221.40016310359</v>
      </c>
      <c r="M64" s="26">
        <v>313</v>
      </c>
      <c r="N64" s="25">
        <v>250513.23106845477</v>
      </c>
      <c r="O64" s="27">
        <v>316</v>
      </c>
      <c r="P64" s="40">
        <v>249974.82753906274</v>
      </c>
      <c r="Q64" s="27">
        <v>296</v>
      </c>
      <c r="R64" s="40">
        <v>254512.12935017029</v>
      </c>
      <c r="S64" s="26">
        <v>256</v>
      </c>
      <c r="T64" s="50">
        <v>265020.47369724233</v>
      </c>
      <c r="U64" s="45">
        <v>245</v>
      </c>
      <c r="V64" s="55">
        <v>265974.26090367662</v>
      </c>
      <c r="W64" s="45">
        <v>241</v>
      </c>
      <c r="X64" s="55">
        <v>271758.20560026233</v>
      </c>
      <c r="Y64" s="45">
        <v>233</v>
      </c>
      <c r="Z64" s="34">
        <v>275951.29969507013</v>
      </c>
      <c r="AA64" s="81">
        <v>239</v>
      </c>
      <c r="AB64" s="1">
        <v>276564.06860831502</v>
      </c>
      <c r="AC64" s="1">
        <v>257</v>
      </c>
      <c r="AD64" s="1">
        <v>298195.95031015511</v>
      </c>
      <c r="AE64">
        <v>225</v>
      </c>
      <c r="AF64" s="13">
        <f t="shared" si="19"/>
        <v>9.7284071520478355E-2</v>
      </c>
      <c r="AG64" s="85">
        <f>AE64/$AJ$64</f>
        <v>6.6627183891027536E-2</v>
      </c>
      <c r="AH64" s="35">
        <f>AG64*$AK$63</f>
        <v>26.650873556411014</v>
      </c>
      <c r="AI64" s="86">
        <f>AH64+AE64</f>
        <v>251.650873556411</v>
      </c>
      <c r="AJ64">
        <f>SUM(AE64:AE80)</f>
        <v>3377</v>
      </c>
      <c r="AK64" s="1">
        <v>3777</v>
      </c>
      <c r="AL64" s="1">
        <v>302144.43289793952</v>
      </c>
      <c r="AM64">
        <v>264</v>
      </c>
      <c r="AN64" s="13">
        <f>AM64/SUM($AM$64:$AM$80)</f>
        <v>7.5818495117748422E-2</v>
      </c>
      <c r="AO64">
        <v>3734</v>
      </c>
      <c r="AP64">
        <f>AO64-SUM(AM64:AM80)</f>
        <v>252</v>
      </c>
      <c r="AQ64" s="35">
        <f>$AP$64*AN64</f>
        <v>19.106260769672602</v>
      </c>
      <c r="AR64" s="86">
        <f>AQ64+AM64</f>
        <v>283.10626076967259</v>
      </c>
      <c r="AS64">
        <v>290</v>
      </c>
      <c r="AT64" s="1">
        <v>302975.4389880838</v>
      </c>
      <c r="AU64" s="13">
        <f>AT64/AL64-1</f>
        <v>2.7503604225764811E-3</v>
      </c>
      <c r="AV64">
        <v>303</v>
      </c>
      <c r="AW64" s="1">
        <v>301550.17547609902</v>
      </c>
      <c r="AX64" s="35">
        <v>322.51436031331593</v>
      </c>
      <c r="AY64" s="119">
        <v>306901.9646545602</v>
      </c>
      <c r="AZ64" s="120">
        <v>300</v>
      </c>
      <c r="BA64" s="119">
        <v>312824.03030023101</v>
      </c>
      <c r="BB64">
        <v>311</v>
      </c>
      <c r="BC64" s="125">
        <f>BA64/AY64-1</f>
        <v>1.9296278055230154E-2</v>
      </c>
      <c r="BD64">
        <v>296</v>
      </c>
      <c r="BE64" s="1">
        <v>317586.51699207298</v>
      </c>
      <c r="BF64" s="13">
        <f t="shared" ref="BF64:BF80" si="154">BE64/BA64-1</f>
        <v>1.5224171516718954E-2</v>
      </c>
      <c r="BG64">
        <v>271</v>
      </c>
      <c r="BH64" s="1">
        <v>320739.555892509</v>
      </c>
      <c r="BI64" s="13">
        <f t="shared" si="123"/>
        <v>9.9281258231587177E-3</v>
      </c>
      <c r="BJ64">
        <v>263</v>
      </c>
      <c r="BK64" s="1">
        <v>329681.28773228778</v>
      </c>
      <c r="BL64" s="13">
        <f t="shared" ref="BL64:BL80" si="155">BK64/BH64-1</f>
        <v>2.7878481701132829E-2</v>
      </c>
      <c r="BM64" s="1">
        <v>335436.31657178019</v>
      </c>
      <c r="BN64" s="109">
        <f t="shared" ref="BN64:BN80" si="156">BM64/BK64-1</f>
        <v>1.7456340573886786E-2</v>
      </c>
      <c r="BO64">
        <v>238</v>
      </c>
      <c r="BP64" s="13">
        <f t="shared" ref="BP64:BP80" si="157">BO64/BJ64-1</f>
        <v>-9.5057034220532355E-2</v>
      </c>
      <c r="BQ64" s="1">
        <v>339936.21990009688</v>
      </c>
      <c r="BR64" s="13">
        <f t="shared" si="124"/>
        <v>1.3415074951652617E-2</v>
      </c>
      <c r="BS64">
        <v>252</v>
      </c>
      <c r="BT64" s="13">
        <f t="shared" si="125"/>
        <v>5.8823529411764719E-2</v>
      </c>
      <c r="BU64" s="1">
        <v>355124.35821817297</v>
      </c>
      <c r="BV64" s="13">
        <f t="shared" ref="BV64:BV80" si="158">BU64/BQ64-1</f>
        <v>4.4679376391664638E-2</v>
      </c>
      <c r="BW64">
        <v>238</v>
      </c>
      <c r="BX64" s="13">
        <f t="shared" ref="BX64:BX80" si="159">BW64/BS64-1</f>
        <v>-5.555555555555558E-2</v>
      </c>
      <c r="BY64" s="1">
        <v>353772.76914734283</v>
      </c>
      <c r="BZ64" s="13">
        <f t="shared" ref="BZ64:BZ80" si="160">BY64/BU64-1</f>
        <v>-3.8059599110905618E-3</v>
      </c>
      <c r="CA64">
        <v>199</v>
      </c>
      <c r="CB64" s="13">
        <f t="shared" ref="CB64:CB80" si="161">CA64/BW64-1</f>
        <v>-0.16386554621848737</v>
      </c>
      <c r="CC64" s="1">
        <v>347049.29384057189</v>
      </c>
      <c r="CD64" s="13">
        <f t="shared" ref="CD64:CD80" si="162">CC64/BY64-1</f>
        <v>-1.9005067357150573E-2</v>
      </c>
      <c r="CE64">
        <v>211</v>
      </c>
      <c r="CF64" s="13">
        <f t="shared" ref="CF64:CF80" si="163">CE64/CA64-1</f>
        <v>6.0301507537688481E-2</v>
      </c>
      <c r="CG64" s="1">
        <v>344942.12032132468</v>
      </c>
      <c r="CH64" s="13">
        <f t="shared" ref="CH64:CH80" si="164">CG64/CC64-1</f>
        <v>-6.0716836387375572E-3</v>
      </c>
      <c r="CI64">
        <v>245</v>
      </c>
      <c r="CJ64" s="13">
        <f t="shared" ref="CJ64:CJ80" si="165">CI64/CE64-1</f>
        <v>0.16113744075829395</v>
      </c>
      <c r="CK64" s="1">
        <v>345358.24458902318</v>
      </c>
      <c r="CL64" s="13">
        <f t="shared" ref="CL64:CL80" si="166">CK64/CG64-1</f>
        <v>1.20635968524474E-3</v>
      </c>
      <c r="CM64">
        <v>250</v>
      </c>
      <c r="CN64" s="13">
        <f t="shared" ref="CN64:CN80" si="167">CM64/CI64-1</f>
        <v>2.0408163265306145E-2</v>
      </c>
      <c r="CO64" s="1">
        <v>345567.28901145532</v>
      </c>
      <c r="CP64" s="13">
        <v>6.0529732736203101E-4</v>
      </c>
      <c r="CQ64">
        <v>271</v>
      </c>
      <c r="CR64" s="13">
        <v>8.4000000000000075E-2</v>
      </c>
      <c r="CS64" s="1">
        <v>345554.60534795298</v>
      </c>
      <c r="CT64" s="13">
        <f t="shared" si="24"/>
        <v>-3.6703889244371624E-5</v>
      </c>
      <c r="CU64">
        <v>310</v>
      </c>
      <c r="CV64" s="13">
        <f t="shared" si="25"/>
        <v>0.14391143911439119</v>
      </c>
      <c r="CW64" s="1">
        <v>340674.31688894978</v>
      </c>
      <c r="CX64" s="13">
        <f t="shared" si="26"/>
        <v>-1.4123060099543561E-2</v>
      </c>
      <c r="CY64">
        <v>345</v>
      </c>
      <c r="CZ64" s="13">
        <f t="shared" si="27"/>
        <v>0.11290322580645151</v>
      </c>
      <c r="DA64" s="1">
        <v>334788.76511647581</v>
      </c>
      <c r="DB64" s="13">
        <f t="shared" si="28"/>
        <v>-1.7276182795994188E-2</v>
      </c>
      <c r="DC64">
        <v>340</v>
      </c>
      <c r="DD64" s="13">
        <f t="shared" si="29"/>
        <v>-1.4492753623188359E-2</v>
      </c>
      <c r="DE64" s="1">
        <v>330333.39449637552</v>
      </c>
      <c r="DF64" s="13">
        <f t="shared" si="30"/>
        <v>-1.3308005179176852E-2</v>
      </c>
      <c r="DG64" s="1">
        <v>333</v>
      </c>
      <c r="DH64" s="13">
        <f t="shared" si="31"/>
        <v>-2.0588235294117685E-2</v>
      </c>
      <c r="DI64" s="1">
        <v>329136.55605612491</v>
      </c>
      <c r="DJ64" s="13">
        <f t="shared" si="32"/>
        <v>-3.6231227607953498E-3</v>
      </c>
      <c r="DK64" s="1">
        <v>340</v>
      </c>
      <c r="DL64" s="13">
        <f t="shared" si="33"/>
        <v>2.1021021021021102E-2</v>
      </c>
      <c r="DM64" s="1">
        <v>331892.85448306118</v>
      </c>
      <c r="DN64" s="13">
        <f t="shared" si="34"/>
        <v>8.3743308855253051E-3</v>
      </c>
      <c r="DO64" s="1">
        <v>360</v>
      </c>
      <c r="DP64" s="13">
        <f t="shared" si="35"/>
        <v>5.8823529411764719E-2</v>
      </c>
      <c r="DQ64" s="1">
        <v>333551.24020885723</v>
      </c>
      <c r="DR64" s="13">
        <f t="shared" si="36"/>
        <v>4.9967503168426575E-3</v>
      </c>
      <c r="DS64">
        <v>363</v>
      </c>
      <c r="DT64" s="13">
        <f t="shared" si="37"/>
        <v>8.3333333333333037E-3</v>
      </c>
      <c r="DU64" s="1">
        <v>332328.53574982978</v>
      </c>
      <c r="DV64" s="13">
        <f t="shared" si="38"/>
        <v>-3.6657170222537117E-3</v>
      </c>
      <c r="DW64">
        <v>328</v>
      </c>
      <c r="DX64" s="13">
        <f t="shared" si="39"/>
        <v>-9.6418732782369121E-2</v>
      </c>
      <c r="DY64" s="1">
        <v>328050.40147735458</v>
      </c>
      <c r="DZ64" s="13">
        <f t="shared" si="40"/>
        <v>-1.2873207721456947E-2</v>
      </c>
      <c r="EA64" s="1">
        <v>303</v>
      </c>
      <c r="EB64" s="13">
        <f t="shared" si="41"/>
        <v>-7.6219512195121908E-2</v>
      </c>
      <c r="EC64" s="1">
        <v>326581.20758129947</v>
      </c>
      <c r="ED64" s="13">
        <f t="shared" si="42"/>
        <v>-4.4785614937177254E-3</v>
      </c>
      <c r="EE64" s="1">
        <f>IFERROR(VLOOKUP($A64,[1]Москва_продажа_районы!$C$2:$F$148,2,0),"")</f>
        <v>299</v>
      </c>
      <c r="EF64" s="13">
        <v>-1.320132013201325E-2</v>
      </c>
      <c r="EG64" s="1">
        <v>333960.5714574692</v>
      </c>
      <c r="EH64" s="13">
        <f t="shared" si="43"/>
        <v>2.2595800691724399E-2</v>
      </c>
      <c r="EI64" s="1">
        <f>IFERROR(VLOOKUP($A64,[2]Москва_продажа_районы!$C$2:$F$150,2,0),"")</f>
        <v>287</v>
      </c>
      <c r="EJ64" s="13">
        <v>-4.013377926421402E-2</v>
      </c>
      <c r="EK64" s="1">
        <v>346589.18226309499</v>
      </c>
      <c r="EL64" s="13">
        <f t="shared" si="44"/>
        <v>3.7814675997564828E-2</v>
      </c>
      <c r="EM64">
        <v>273</v>
      </c>
      <c r="EN64" s="13">
        <f t="shared" si="45"/>
        <v>-4.8780487804878092E-2</v>
      </c>
      <c r="EO64" s="1">
        <v>344567.47185185179</v>
      </c>
      <c r="EP64" s="13">
        <f t="shared" si="46"/>
        <v>-5.8331607410312403E-3</v>
      </c>
      <c r="EQ64">
        <v>254</v>
      </c>
      <c r="ER64" s="13">
        <f t="shared" si="47"/>
        <v>-6.9597069597069572E-2</v>
      </c>
      <c r="ES64" s="183">
        <v>345824.46925445559</v>
      </c>
      <c r="ET64" s="13">
        <f t="shared" si="48"/>
        <v>3.6480443027548937E-3</v>
      </c>
      <c r="EU64">
        <v>246</v>
      </c>
      <c r="EV64" s="13">
        <f t="shared" si="49"/>
        <v>-3.1496062992126039E-2</v>
      </c>
      <c r="EW64" s="183">
        <v>348602.93649879447</v>
      </c>
      <c r="EX64" s="13">
        <f t="shared" si="50"/>
        <v>8.0343280807422257E-3</v>
      </c>
      <c r="EY64">
        <v>250</v>
      </c>
      <c r="EZ64" s="13">
        <f t="shared" si="51"/>
        <v>1.6260162601626105E-2</v>
      </c>
      <c r="FA64" s="1">
        <v>350632.13810904848</v>
      </c>
      <c r="FB64" s="13">
        <f t="shared" si="52"/>
        <v>5.8209538641136316E-3</v>
      </c>
      <c r="FC64" s="1">
        <v>232</v>
      </c>
      <c r="FD64" s="13">
        <f t="shared" si="53"/>
        <v>-7.1999999999999953E-2</v>
      </c>
      <c r="FE64" s="1">
        <v>352439.59732840018</v>
      </c>
      <c r="FF64" s="13">
        <f t="shared" si="54"/>
        <v>5.154858961586628E-3</v>
      </c>
      <c r="FG64" s="1">
        <v>232</v>
      </c>
      <c r="FH64" s="13">
        <f t="shared" si="55"/>
        <v>0</v>
      </c>
      <c r="FI64" s="1">
        <v>351735.85738046252</v>
      </c>
      <c r="FJ64" s="13">
        <f t="shared" si="56"/>
        <v>-1.9967675405153651E-3</v>
      </c>
      <c r="FK64" s="1">
        <v>255</v>
      </c>
      <c r="FL64" s="13">
        <f t="shared" si="57"/>
        <v>9.9137931034482651E-2</v>
      </c>
      <c r="FM64" s="1">
        <v>353485.77785210469</v>
      </c>
      <c r="FN64" s="13">
        <f t="shared" si="58"/>
        <v>4.9750983157492712E-3</v>
      </c>
      <c r="FO64" s="1">
        <v>272</v>
      </c>
      <c r="FP64" s="13">
        <f t="shared" si="59"/>
        <v>6.6666666666666652E-2</v>
      </c>
      <c r="FQ64" s="1">
        <v>358883.28124852473</v>
      </c>
      <c r="FR64" s="13">
        <f t="shared" si="60"/>
        <v>1.5269365090774034E-2</v>
      </c>
      <c r="FS64">
        <v>269</v>
      </c>
      <c r="FT64" s="13">
        <f t="shared" si="61"/>
        <v>-1.1029411764705843E-2</v>
      </c>
      <c r="FU64" s="1">
        <v>353089.24695613858</v>
      </c>
      <c r="FV64" s="13">
        <f t="shared" si="62"/>
        <v>-1.6144620257118714E-2</v>
      </c>
      <c r="FW64" s="1">
        <v>262</v>
      </c>
      <c r="FX64" s="13">
        <f t="shared" si="63"/>
        <v>-2.6022304832713727E-2</v>
      </c>
      <c r="FY64" s="1">
        <v>352134.81442194269</v>
      </c>
      <c r="FZ64" s="13">
        <f t="shared" si="64"/>
        <v>-2.7030914773636949E-3</v>
      </c>
      <c r="GA64" s="1">
        <v>256</v>
      </c>
      <c r="GB64" s="13">
        <f t="shared" si="65"/>
        <v>-2.2900763358778664E-2</v>
      </c>
      <c r="GC64" s="1">
        <v>360294.32642447879</v>
      </c>
      <c r="GD64" s="13">
        <f t="shared" si="66"/>
        <v>2.3171557222851025E-2</v>
      </c>
      <c r="GE64" s="1">
        <v>251</v>
      </c>
      <c r="GF64" s="13">
        <f t="shared" si="67"/>
        <v>-1.953125E-2</v>
      </c>
      <c r="GG64" s="1">
        <f>IFERROR(VLOOKUP(A64,[3]Москва_продажа_районы!$C$2:$F$149,3,0),"")</f>
        <v>361362.03351000982</v>
      </c>
      <c r="GH64" s="13">
        <v>2.9634301936609653E-3</v>
      </c>
      <c r="GI64" s="1">
        <v>240</v>
      </c>
      <c r="GJ64" s="13">
        <f t="shared" si="68"/>
        <v>-4.3824701195219085E-2</v>
      </c>
      <c r="GK64" s="1">
        <v>357088.80716276151</v>
      </c>
      <c r="GL64" s="13">
        <f t="shared" si="69"/>
        <v>-1.1825332909883413E-2</v>
      </c>
      <c r="GM64" s="1">
        <v>221</v>
      </c>
      <c r="GN64" s="13">
        <f t="shared" si="70"/>
        <v>-7.9166666666666718E-2</v>
      </c>
      <c r="GO64" s="1">
        <v>358339.54641708138</v>
      </c>
      <c r="GP64" s="13">
        <f t="shared" si="71"/>
        <v>3.502599995383715E-3</v>
      </c>
      <c r="GQ64" s="1">
        <v>236.47000000000003</v>
      </c>
      <c r="GR64" s="13">
        <f t="shared" si="72"/>
        <v>7.0000000000000062E-2</v>
      </c>
      <c r="GS64" s="1">
        <v>357910.73510531941</v>
      </c>
      <c r="GT64" s="13">
        <f t="shared" ref="GT64:GT80" si="168">GS64/GO64-1</f>
        <v>-1.1966619817698199E-3</v>
      </c>
      <c r="GU64">
        <v>238</v>
      </c>
      <c r="GV64" s="13">
        <f t="shared" ref="GV64:GV80" si="169">GU64/GQ64-1</f>
        <v>6.4701653486698429E-3</v>
      </c>
      <c r="GW64">
        <v>357217.6865719959</v>
      </c>
      <c r="GX64" s="13">
        <f t="shared" si="73"/>
        <v>-1.9363725793795084E-3</v>
      </c>
      <c r="GY64">
        <v>223</v>
      </c>
      <c r="GZ64" s="13">
        <f t="shared" si="74"/>
        <v>-6.3025210084033612E-2</v>
      </c>
      <c r="HA64">
        <v>367656.47613877791</v>
      </c>
      <c r="HB64" s="13">
        <v>2.9222488021119153E-2</v>
      </c>
      <c r="HC64">
        <v>225</v>
      </c>
      <c r="HD64" s="13">
        <v>8.9686098654708779E-3</v>
      </c>
      <c r="HE64">
        <v>375161.21174652362</v>
      </c>
      <c r="HF64" s="13">
        <v>2.0412357988528695E-2</v>
      </c>
      <c r="HG64">
        <v>237</v>
      </c>
      <c r="HH64" s="13">
        <v>5.3333333333333233E-2</v>
      </c>
      <c r="HI64">
        <f>VLOOKUP(A64,[4]Москва_продажа_районы!$C$4:$F$151,3,0)</f>
        <v>378400.49279878632</v>
      </c>
      <c r="HJ64" s="13">
        <f t="shared" si="75"/>
        <v>8.6343709073295472E-3</v>
      </c>
      <c r="HK64">
        <f>VLOOKUP(A64,[4]Москва_продажа_районы!$C$4:$F$151,2,0)</f>
        <v>245</v>
      </c>
      <c r="HL64" s="13">
        <f t="shared" si="76"/>
        <v>3.3755274261603407E-2</v>
      </c>
      <c r="HM64" s="1">
        <f>VLOOKUP(A64,Лист3!$C$4:$F$149,3,0)</f>
        <v>381284.79024882981</v>
      </c>
      <c r="HN64" s="13">
        <f t="shared" si="77"/>
        <v>7.6223406283384421E-3</v>
      </c>
      <c r="HO64">
        <f>VLOOKUP(A64,Лист3!$C$4:$F$149,2,0)</f>
        <v>232</v>
      </c>
      <c r="HP64" s="13">
        <f t="shared" si="78"/>
        <v>-5.3061224489795888E-2</v>
      </c>
      <c r="HQ64" s="1">
        <v>386174.41088220739</v>
      </c>
      <c r="HR64" s="13">
        <v>1.2824064212439756E-2</v>
      </c>
      <c r="HS64">
        <v>223</v>
      </c>
      <c r="HT64" s="13">
        <v>-3.8793103448275912E-2</v>
      </c>
      <c r="HU64" s="34">
        <v>387501.10128471412</v>
      </c>
      <c r="HV64" s="13">
        <v>3.4354694799065832E-3</v>
      </c>
      <c r="HW64">
        <v>209</v>
      </c>
      <c r="HX64" s="13">
        <v>-6.2780269058295923E-2</v>
      </c>
      <c r="HY64">
        <v>388165.70272201177</v>
      </c>
      <c r="HZ64" s="13">
        <v>1.7150956090039582E-3</v>
      </c>
      <c r="IA64">
        <v>221</v>
      </c>
      <c r="IB64" s="13">
        <v>5.741626794258381E-2</v>
      </c>
      <c r="IC64" s="34">
        <v>392726.07031090133</v>
      </c>
      <c r="ID64" s="13">
        <v>1.1748507291885923E-2</v>
      </c>
      <c r="IE64">
        <v>242</v>
      </c>
      <c r="IF64" s="13">
        <v>9.5022624434389247E-2</v>
      </c>
    </row>
    <row r="65" spans="1:240" x14ac:dyDescent="0.3">
      <c r="A65" s="23" t="s">
        <v>77</v>
      </c>
      <c r="B65" s="22">
        <v>168845.93916199997</v>
      </c>
      <c r="C65">
        <v>150</v>
      </c>
      <c r="D65" s="22">
        <v>169833.91176000005</v>
      </c>
      <c r="E65">
        <v>140</v>
      </c>
      <c r="F65" s="22">
        <v>170675.09738617021</v>
      </c>
      <c r="G65">
        <v>94</v>
      </c>
      <c r="H65" s="22">
        <v>170743.29861122827</v>
      </c>
      <c r="I65">
        <v>101</v>
      </c>
      <c r="J65" s="22">
        <v>171251.47819481126</v>
      </c>
      <c r="K65">
        <v>116</v>
      </c>
      <c r="L65" s="22">
        <v>169424.2642547185</v>
      </c>
      <c r="M65">
        <v>113</v>
      </c>
      <c r="N65" s="22">
        <v>208573.55320744452</v>
      </c>
      <c r="O65" s="28">
        <v>181</v>
      </c>
      <c r="P65" s="35">
        <v>190416.77480347047</v>
      </c>
      <c r="Q65" s="28">
        <v>141</v>
      </c>
      <c r="R65" s="35">
        <v>187474.49572618594</v>
      </c>
      <c r="S65">
        <v>105</v>
      </c>
      <c r="T65" s="46">
        <v>194688.33522215745</v>
      </c>
      <c r="U65" s="47">
        <v>95</v>
      </c>
      <c r="V65" s="56">
        <v>199822.8992251415</v>
      </c>
      <c r="W65" s="47">
        <v>95</v>
      </c>
      <c r="X65" s="56">
        <v>202382.78348894251</v>
      </c>
      <c r="Y65" s="47">
        <v>89</v>
      </c>
      <c r="Z65" s="34">
        <v>208487.81500473051</v>
      </c>
      <c r="AA65" s="81">
        <v>114</v>
      </c>
      <c r="AB65" s="1">
        <v>210253.54440326901</v>
      </c>
      <c r="AC65" s="1">
        <v>149</v>
      </c>
      <c r="AD65" s="1">
        <v>216718.92436590229</v>
      </c>
      <c r="AE65">
        <v>122</v>
      </c>
      <c r="AF65" s="13">
        <f t="shared" si="19"/>
        <v>7.083676106146175E-2</v>
      </c>
      <c r="AG65" s="85">
        <f t="shared" ref="AG65:AG79" si="170">AE65/$AJ$64</f>
        <v>3.6126739709801597E-2</v>
      </c>
      <c r="AH65" s="35">
        <f t="shared" ref="AH65:AH80" si="171">AG65*$AK$63</f>
        <v>14.450695883920639</v>
      </c>
      <c r="AI65" s="87">
        <f t="shared" ref="AI65:AI80" si="172">AH65+AE65</f>
        <v>136.45069588392064</v>
      </c>
      <c r="AL65" s="1">
        <v>217935.52300004929</v>
      </c>
      <c r="AM65">
        <v>131</v>
      </c>
      <c r="AN65" s="13">
        <f t="shared" ref="AN65:AN80" si="173">AM65/SUM($AM$64:$AM$80)</f>
        <v>3.7622056289488802E-2</v>
      </c>
      <c r="AQ65" s="35">
        <f t="shared" ref="AQ65:AQ80" si="174">$AP$64*AN65</f>
        <v>9.4807581849511777</v>
      </c>
      <c r="AR65" s="87">
        <f t="shared" ref="AR65:AR80" si="175">AQ65+AM65</f>
        <v>140.48075818495118</v>
      </c>
      <c r="AS65">
        <v>112</v>
      </c>
      <c r="AT65" s="1">
        <v>217481.79991054631</v>
      </c>
      <c r="AU65" s="13">
        <f t="shared" ref="AU65:AU80" si="176">AT65/AL65-1</f>
        <v>-2.0819143352911462E-3</v>
      </c>
      <c r="AV65">
        <v>113</v>
      </c>
      <c r="AW65" s="1">
        <v>220804.80226637749</v>
      </c>
      <c r="AX65" s="35">
        <v>120.27763272410792</v>
      </c>
      <c r="AY65" s="121">
        <v>224842.35124512651</v>
      </c>
      <c r="AZ65" s="122">
        <v>122</v>
      </c>
      <c r="BA65" s="119">
        <v>230584.89481996911</v>
      </c>
      <c r="BB65">
        <v>134</v>
      </c>
      <c r="BC65" s="125">
        <f t="shared" ref="BC65:BC80" si="177">BA65/AY65-1</f>
        <v>2.5540310991419846E-2</v>
      </c>
      <c r="BD65">
        <v>134</v>
      </c>
      <c r="BE65" s="1">
        <v>237055.0104688397</v>
      </c>
      <c r="BF65" s="13">
        <f t="shared" si="154"/>
        <v>2.8059581500003095E-2</v>
      </c>
      <c r="BG65">
        <v>119</v>
      </c>
      <c r="BH65" s="1">
        <v>240353.79514591879</v>
      </c>
      <c r="BI65" s="13">
        <f t="shared" si="123"/>
        <v>1.3915692693248216E-2</v>
      </c>
      <c r="BJ65">
        <v>142</v>
      </c>
      <c r="BK65" s="1">
        <v>241535.95326685451</v>
      </c>
      <c r="BL65" s="13">
        <f t="shared" si="155"/>
        <v>4.9184083830173808E-3</v>
      </c>
      <c r="BM65" s="1">
        <v>243664.4044820251</v>
      </c>
      <c r="BN65" s="109">
        <f t="shared" si="156"/>
        <v>8.8121506814309303E-3</v>
      </c>
      <c r="BO65">
        <v>136</v>
      </c>
      <c r="BP65" s="13">
        <f t="shared" si="157"/>
        <v>-4.2253521126760618E-2</v>
      </c>
      <c r="BQ65" s="1">
        <v>252241.344539382</v>
      </c>
      <c r="BR65" s="13">
        <f t="shared" si="124"/>
        <v>3.5199807192148214E-2</v>
      </c>
      <c r="BS65">
        <v>124</v>
      </c>
      <c r="BT65" s="13">
        <f t="shared" si="125"/>
        <v>-8.8235294117647078E-2</v>
      </c>
      <c r="BU65" s="1">
        <v>256381.66666235661</v>
      </c>
      <c r="BV65" s="13">
        <f t="shared" si="158"/>
        <v>1.6414129612793094E-2</v>
      </c>
      <c r="BW65">
        <v>127</v>
      </c>
      <c r="BX65" s="13">
        <f t="shared" si="159"/>
        <v>2.4193548387096753E-2</v>
      </c>
      <c r="BY65" s="1">
        <v>258460.82845219999</v>
      </c>
      <c r="BZ65" s="13">
        <f t="shared" si="160"/>
        <v>8.1096352048508624E-3</v>
      </c>
      <c r="CA65">
        <v>97</v>
      </c>
      <c r="CB65" s="13">
        <f t="shared" si="161"/>
        <v>-0.23622047244094491</v>
      </c>
      <c r="CC65" s="1">
        <v>256702.22815710111</v>
      </c>
      <c r="CD65" s="13">
        <f t="shared" si="162"/>
        <v>-6.8041269759534506E-3</v>
      </c>
      <c r="CE65">
        <v>120</v>
      </c>
      <c r="CF65" s="13">
        <f t="shared" si="163"/>
        <v>0.23711340206185572</v>
      </c>
      <c r="CG65" s="1">
        <v>255249.75123556089</v>
      </c>
      <c r="CH65" s="13">
        <f t="shared" si="164"/>
        <v>-5.6582170399055443E-3</v>
      </c>
      <c r="CI65">
        <v>137</v>
      </c>
      <c r="CJ65" s="13">
        <f t="shared" si="165"/>
        <v>0.14166666666666661</v>
      </c>
      <c r="CK65" s="1">
        <v>255113.28467467261</v>
      </c>
      <c r="CL65" s="13">
        <f t="shared" si="166"/>
        <v>-5.346393492166035E-4</v>
      </c>
      <c r="CM65">
        <v>143</v>
      </c>
      <c r="CN65" s="13">
        <f t="shared" si="167"/>
        <v>4.3795620437956151E-2</v>
      </c>
      <c r="CO65" s="1">
        <v>252256.39483793921</v>
      </c>
      <c r="CP65" s="13">
        <v>-1.1198514575109564E-2</v>
      </c>
      <c r="CQ65">
        <v>148</v>
      </c>
      <c r="CR65" s="13">
        <v>3.4965034965035002E-2</v>
      </c>
      <c r="CS65" s="1">
        <v>252764.7905124744</v>
      </c>
      <c r="CT65" s="13">
        <f t="shared" si="24"/>
        <v>2.015392612194411E-3</v>
      </c>
      <c r="CU65">
        <v>159</v>
      </c>
      <c r="CV65" s="13">
        <f t="shared" si="25"/>
        <v>7.4324324324324342E-2</v>
      </c>
      <c r="CW65" s="1">
        <v>262800.29077904852</v>
      </c>
      <c r="CX65" s="13">
        <f t="shared" si="26"/>
        <v>3.9702920039722978E-2</v>
      </c>
      <c r="CY65">
        <v>191</v>
      </c>
      <c r="CZ65" s="13">
        <f t="shared" si="27"/>
        <v>0.20125786163522008</v>
      </c>
      <c r="DA65" s="1">
        <v>262215.94154522341</v>
      </c>
      <c r="DB65" s="13">
        <f t="shared" si="28"/>
        <v>-2.2235486577768526E-3</v>
      </c>
      <c r="DC65">
        <v>167</v>
      </c>
      <c r="DD65" s="13">
        <f t="shared" si="29"/>
        <v>-0.12565445026178013</v>
      </c>
      <c r="DE65" s="1">
        <v>244801.8726199611</v>
      </c>
      <c r="DF65" s="13">
        <f t="shared" si="30"/>
        <v>-6.6411175547307355E-2</v>
      </c>
      <c r="DG65" s="1">
        <v>136</v>
      </c>
      <c r="DH65" s="13">
        <f t="shared" si="31"/>
        <v>-0.18562874251497008</v>
      </c>
      <c r="DI65" s="1">
        <v>245174.61744601629</v>
      </c>
      <c r="DJ65" s="13">
        <f t="shared" si="32"/>
        <v>1.5226387856674961E-3</v>
      </c>
      <c r="DK65" s="1">
        <v>127</v>
      </c>
      <c r="DL65" s="13">
        <f t="shared" si="33"/>
        <v>-6.6176470588235281E-2</v>
      </c>
      <c r="DM65" s="1">
        <v>247896.0749628265</v>
      </c>
      <c r="DN65" s="13">
        <f t="shared" si="34"/>
        <v>1.1100078569142413E-2</v>
      </c>
      <c r="DO65" s="1">
        <v>132</v>
      </c>
      <c r="DP65" s="13">
        <f t="shared" si="35"/>
        <v>3.937007874015741E-2</v>
      </c>
      <c r="DQ65" s="1">
        <v>248558.60656889359</v>
      </c>
      <c r="DR65" s="13">
        <f t="shared" si="36"/>
        <v>2.6726183791592195E-3</v>
      </c>
      <c r="DS65">
        <v>140</v>
      </c>
      <c r="DT65" s="13">
        <f t="shared" si="37"/>
        <v>6.0606060606060552E-2</v>
      </c>
      <c r="DU65" s="1">
        <v>240461.92682510789</v>
      </c>
      <c r="DV65" s="13">
        <f t="shared" si="38"/>
        <v>-3.2574529828407028E-2</v>
      </c>
      <c r="DW65">
        <v>137</v>
      </c>
      <c r="DX65" s="13">
        <f t="shared" si="39"/>
        <v>-2.1428571428571463E-2</v>
      </c>
      <c r="DY65" s="1">
        <v>241690.8779286702</v>
      </c>
      <c r="DZ65" s="13">
        <f t="shared" si="40"/>
        <v>5.1107928801392699E-3</v>
      </c>
      <c r="EA65" s="1">
        <v>134</v>
      </c>
      <c r="EB65" s="13">
        <f t="shared" si="41"/>
        <v>-2.1897810218978075E-2</v>
      </c>
      <c r="EC65" s="1">
        <v>242860.40510960881</v>
      </c>
      <c r="ED65" s="13">
        <f t="shared" si="42"/>
        <v>4.8389380309328267E-3</v>
      </c>
      <c r="EE65" s="1">
        <f>IFERROR(VLOOKUP($A65,[1]Москва_продажа_районы!$C$2:$F$148,2,0),"")</f>
        <v>134</v>
      </c>
      <c r="EF65" s="13">
        <v>0</v>
      </c>
      <c r="EG65" s="1">
        <v>269789.1247290601</v>
      </c>
      <c r="EH65" s="13">
        <f t="shared" si="43"/>
        <v>0.11088147368978363</v>
      </c>
      <c r="EI65" s="1">
        <f>IFERROR(VLOOKUP($A65,[2]Москва_продажа_районы!$C$2:$F$150,2,0),"")</f>
        <v>137</v>
      </c>
      <c r="EJ65" s="13">
        <v>2.2388059701492491E-2</v>
      </c>
      <c r="EK65" s="1">
        <v>277949.48524405347</v>
      </c>
      <c r="EL65" s="13">
        <f t="shared" si="44"/>
        <v>3.0247181101864529E-2</v>
      </c>
      <c r="EM65">
        <v>118</v>
      </c>
      <c r="EN65" s="13">
        <f t="shared" si="45"/>
        <v>-0.13868613138686137</v>
      </c>
      <c r="EO65" s="1">
        <v>258721.90326724571</v>
      </c>
      <c r="EP65" s="13">
        <f t="shared" si="46"/>
        <v>-6.9176533858031797E-2</v>
      </c>
      <c r="EQ65">
        <v>100</v>
      </c>
      <c r="ER65" s="13">
        <f t="shared" si="47"/>
        <v>-0.15254237288135597</v>
      </c>
      <c r="ES65" s="183">
        <v>256791.5263176692</v>
      </c>
      <c r="ET65" s="13">
        <f t="shared" si="48"/>
        <v>-7.461204193378812E-3</v>
      </c>
      <c r="EU65">
        <v>99</v>
      </c>
      <c r="EV65" s="13">
        <f t="shared" si="49"/>
        <v>-1.0000000000000009E-2</v>
      </c>
      <c r="EW65" s="183">
        <v>259368.0123457805</v>
      </c>
      <c r="EX65" s="13">
        <f t="shared" si="50"/>
        <v>1.0033376354187107E-2</v>
      </c>
      <c r="EY65">
        <v>109</v>
      </c>
      <c r="EZ65" s="13">
        <f t="shared" si="51"/>
        <v>0.10101010101010099</v>
      </c>
      <c r="FA65" s="1">
        <v>258595.06904221841</v>
      </c>
      <c r="FB65" s="13">
        <f t="shared" si="52"/>
        <v>-2.980102660198658E-3</v>
      </c>
      <c r="FC65" s="1">
        <v>96</v>
      </c>
      <c r="FD65" s="13">
        <f t="shared" si="53"/>
        <v>-0.11926605504587151</v>
      </c>
      <c r="FE65" s="1">
        <v>264053.54780503048</v>
      </c>
      <c r="FF65" s="13">
        <f t="shared" si="54"/>
        <v>2.1108208996517774E-2</v>
      </c>
      <c r="FG65" s="1">
        <v>92</v>
      </c>
      <c r="FH65" s="13">
        <f t="shared" si="55"/>
        <v>-4.166666666666663E-2</v>
      </c>
      <c r="FI65" s="1">
        <v>267374.04434228298</v>
      </c>
      <c r="FJ65" s="13">
        <f t="shared" si="56"/>
        <v>1.2575087761003134E-2</v>
      </c>
      <c r="FK65" s="1">
        <v>100</v>
      </c>
      <c r="FL65" s="13">
        <f t="shared" si="57"/>
        <v>8.6956521739130377E-2</v>
      </c>
      <c r="FM65" s="1">
        <v>265820.53834853362</v>
      </c>
      <c r="FN65" s="13">
        <f t="shared" si="58"/>
        <v>-5.8102348624409217E-3</v>
      </c>
      <c r="FO65" s="1">
        <v>107</v>
      </c>
      <c r="FP65" s="13">
        <f t="shared" si="59"/>
        <v>7.0000000000000062E-2</v>
      </c>
      <c r="FQ65" s="1">
        <v>262347.15365986532</v>
      </c>
      <c r="FR65" s="13">
        <f t="shared" si="60"/>
        <v>-1.3066652826179026E-2</v>
      </c>
      <c r="FS65">
        <v>99</v>
      </c>
      <c r="FT65" s="13">
        <f t="shared" si="61"/>
        <v>-7.4766355140186924E-2</v>
      </c>
      <c r="FU65" s="1">
        <v>259417.33270009211</v>
      </c>
      <c r="FV65" s="13">
        <f t="shared" si="62"/>
        <v>-1.1167725355128999E-2</v>
      </c>
      <c r="FW65" s="1">
        <v>106</v>
      </c>
      <c r="FX65" s="13">
        <f t="shared" si="63"/>
        <v>7.0707070707070718E-2</v>
      </c>
      <c r="FY65" s="1">
        <v>263395.52414389438</v>
      </c>
      <c r="FZ65" s="13">
        <f t="shared" si="64"/>
        <v>1.5335102718064597E-2</v>
      </c>
      <c r="GA65" s="1">
        <v>107</v>
      </c>
      <c r="GB65" s="13">
        <f t="shared" si="65"/>
        <v>9.4339622641510523E-3</v>
      </c>
      <c r="GC65" s="1">
        <v>269243.43618478708</v>
      </c>
      <c r="GD65" s="13">
        <f t="shared" si="66"/>
        <v>2.2202017516812278E-2</v>
      </c>
      <c r="GE65" s="1">
        <v>98</v>
      </c>
      <c r="GF65" s="13">
        <f t="shared" si="67"/>
        <v>-8.411214953271029E-2</v>
      </c>
      <c r="GG65" s="1">
        <f>IFERROR(VLOOKUP(A65,[3]Москва_продажа_районы!$C$2:$F$149,3,0),"")</f>
        <v>268438.64862840518</v>
      </c>
      <c r="GH65" s="13">
        <v>-2.9890702918735634E-3</v>
      </c>
      <c r="GI65" s="1">
        <v>102</v>
      </c>
      <c r="GJ65" s="13">
        <f t="shared" si="68"/>
        <v>4.081632653061229E-2</v>
      </c>
      <c r="GK65" s="1">
        <v>266754.95689519332</v>
      </c>
      <c r="GL65" s="13">
        <f t="shared" si="69"/>
        <v>-6.2721658815327874E-3</v>
      </c>
      <c r="GM65" s="1">
        <v>95</v>
      </c>
      <c r="GN65" s="13">
        <f t="shared" si="70"/>
        <v>-6.8627450980392135E-2</v>
      </c>
      <c r="GO65" s="1">
        <v>268802.98604309442</v>
      </c>
      <c r="GP65" s="13">
        <f t="shared" si="71"/>
        <v>7.6775673514692944E-3</v>
      </c>
      <c r="GQ65" s="1">
        <v>104.86</v>
      </c>
      <c r="GR65" s="13">
        <f t="shared" si="72"/>
        <v>0.10378947368421043</v>
      </c>
      <c r="GS65" s="1">
        <v>264870.34551388811</v>
      </c>
      <c r="GT65" s="13">
        <f t="shared" si="168"/>
        <v>-1.4630196587830491E-2</v>
      </c>
      <c r="GU65">
        <v>105</v>
      </c>
      <c r="GV65" s="13">
        <f t="shared" si="169"/>
        <v>1.3351134846462109E-3</v>
      </c>
      <c r="GW65">
        <v>265493.15516083338</v>
      </c>
      <c r="GX65" s="13">
        <f t="shared" si="73"/>
        <v>2.3513755220008203E-3</v>
      </c>
      <c r="GY65">
        <v>90</v>
      </c>
      <c r="GZ65" s="13">
        <f t="shared" si="74"/>
        <v>-0.1428571428571429</v>
      </c>
      <c r="HA65">
        <v>269669.12318317319</v>
      </c>
      <c r="HB65" s="13">
        <v>1.5729098627081495E-2</v>
      </c>
      <c r="HC65">
        <v>81</v>
      </c>
      <c r="HD65" s="13">
        <v>-9.9999999999999978E-2</v>
      </c>
      <c r="HE65">
        <v>275127.40319225728</v>
      </c>
      <c r="HF65" s="13">
        <v>2.0240656196210294E-2</v>
      </c>
      <c r="HG65">
        <v>82</v>
      </c>
      <c r="HH65" s="13">
        <v>1.2345679012345734E-2</v>
      </c>
      <c r="HI65">
        <f>VLOOKUP(A65,[4]Москва_продажа_районы!$C$4:$F$151,3,0)</f>
        <v>275242.68520785542</v>
      </c>
      <c r="HJ65" s="13">
        <f t="shared" si="75"/>
        <v>4.1901320719262003E-4</v>
      </c>
      <c r="HK65">
        <f>VLOOKUP(A65,[4]Москва_продажа_районы!$C$4:$F$151,2,0)</f>
        <v>104</v>
      </c>
      <c r="HL65" s="13">
        <f t="shared" si="76"/>
        <v>0.26829268292682928</v>
      </c>
      <c r="HM65" s="1">
        <f>VLOOKUP(A65,Лист3!$C$4:$F$149,3,0)</f>
        <v>275135.45387867407</v>
      </c>
      <c r="HN65" s="13">
        <f t="shared" si="77"/>
        <v>-3.8958829768853676E-4</v>
      </c>
      <c r="HO65">
        <f>VLOOKUP(A65,Лист3!$C$4:$F$149,2,0)</f>
        <v>94</v>
      </c>
      <c r="HP65" s="13">
        <f t="shared" si="78"/>
        <v>-9.6153846153846145E-2</v>
      </c>
      <c r="HQ65" s="1">
        <v>279100.97246794932</v>
      </c>
      <c r="HR65" s="13">
        <v>1.4412968352031763E-2</v>
      </c>
      <c r="HS65">
        <v>104</v>
      </c>
      <c r="HT65" s="13">
        <v>0.1063829787234043</v>
      </c>
      <c r="HU65" s="34">
        <v>279444.58004961623</v>
      </c>
      <c r="HV65" s="13">
        <v>1.2311228392669626E-3</v>
      </c>
      <c r="HW65">
        <v>85</v>
      </c>
      <c r="HX65" s="13">
        <v>-0.18269230769230771</v>
      </c>
      <c r="HY65">
        <v>272309.02291387517</v>
      </c>
      <c r="HZ65" s="13">
        <v>-2.5534784516035747E-2</v>
      </c>
      <c r="IA65">
        <v>67</v>
      </c>
      <c r="IB65" s="13">
        <v>-0.21176470588235297</v>
      </c>
      <c r="IC65" s="34">
        <v>269577.3707212382</v>
      </c>
      <c r="ID65" s="13">
        <v>-1.0031442085196463E-2</v>
      </c>
      <c r="IE65">
        <v>78</v>
      </c>
      <c r="IF65" s="13">
        <v>0.16417910447761197</v>
      </c>
    </row>
    <row r="66" spans="1:240" x14ac:dyDescent="0.3">
      <c r="A66" s="23" t="s">
        <v>78</v>
      </c>
      <c r="B66" s="22">
        <v>188776.13456369229</v>
      </c>
      <c r="C66">
        <v>325</v>
      </c>
      <c r="D66" s="22">
        <v>191817.54239432589</v>
      </c>
      <c r="E66">
        <v>319</v>
      </c>
      <c r="F66" s="22">
        <v>194419.93895747658</v>
      </c>
      <c r="G66">
        <v>214</v>
      </c>
      <c r="H66" s="22">
        <v>196545.28633242191</v>
      </c>
      <c r="I66">
        <v>230</v>
      </c>
      <c r="J66" s="22">
        <v>198949.3177258214</v>
      </c>
      <c r="K66">
        <v>268</v>
      </c>
      <c r="L66" s="22">
        <v>200673.92572447442</v>
      </c>
      <c r="M66">
        <v>254</v>
      </c>
      <c r="N66" s="22">
        <v>202334.98171979756</v>
      </c>
      <c r="O66" s="28">
        <v>267</v>
      </c>
      <c r="P66" s="35">
        <v>206656.91877899243</v>
      </c>
      <c r="Q66" s="28">
        <v>255</v>
      </c>
      <c r="R66" s="35">
        <v>211248.04613503415</v>
      </c>
      <c r="S66">
        <v>252</v>
      </c>
      <c r="T66" s="46">
        <v>216173.85904765394</v>
      </c>
      <c r="U66" s="47">
        <v>254</v>
      </c>
      <c r="V66" s="56">
        <v>217024.1116351769</v>
      </c>
      <c r="W66" s="47">
        <v>228</v>
      </c>
      <c r="X66" s="56">
        <v>219491.14481763239</v>
      </c>
      <c r="Y66" s="47">
        <v>203</v>
      </c>
      <c r="Z66" s="34">
        <v>221539.02280002591</v>
      </c>
      <c r="AA66" s="81">
        <v>251</v>
      </c>
      <c r="AB66" s="1">
        <v>228465.64496276999</v>
      </c>
      <c r="AC66" s="1">
        <v>284</v>
      </c>
      <c r="AD66" s="1">
        <v>245322.5460374222</v>
      </c>
      <c r="AE66">
        <v>227</v>
      </c>
      <c r="AF66" s="13">
        <f t="shared" si="19"/>
        <v>0.11768766909139883</v>
      </c>
      <c r="AG66" s="85">
        <f t="shared" si="170"/>
        <v>6.7219425525614454E-2</v>
      </c>
      <c r="AH66" s="35">
        <f t="shared" si="171"/>
        <v>26.887770210245783</v>
      </c>
      <c r="AI66" s="87">
        <f t="shared" si="172"/>
        <v>253.88777021024578</v>
      </c>
      <c r="AL66" s="1">
        <v>247585.8134175842</v>
      </c>
      <c r="AM66">
        <v>217</v>
      </c>
      <c r="AN66" s="13">
        <f t="shared" si="173"/>
        <v>6.2320505456634118E-2</v>
      </c>
      <c r="AQ66" s="35">
        <f t="shared" si="174"/>
        <v>15.704767375071798</v>
      </c>
      <c r="AR66" s="87">
        <f t="shared" si="175"/>
        <v>232.70476737507181</v>
      </c>
      <c r="AS66">
        <v>220</v>
      </c>
      <c r="AT66" s="1">
        <v>250247.8688846791</v>
      </c>
      <c r="AU66" s="13">
        <f t="shared" si="176"/>
        <v>1.0752051704210563E-2</v>
      </c>
      <c r="AV66">
        <v>188</v>
      </c>
      <c r="AW66" s="1">
        <v>253523.79596933731</v>
      </c>
      <c r="AX66" s="35">
        <v>200.10791993037424</v>
      </c>
      <c r="AY66" s="121">
        <v>260478.3961205332</v>
      </c>
      <c r="AZ66" s="122">
        <v>202</v>
      </c>
      <c r="BA66" s="119">
        <v>262745.90198868758</v>
      </c>
      <c r="BB66">
        <v>216</v>
      </c>
      <c r="BC66" s="125">
        <f t="shared" si="177"/>
        <v>8.7051590532103429E-3</v>
      </c>
      <c r="BD66">
        <v>255</v>
      </c>
      <c r="BE66" s="1">
        <v>267992.50519694813</v>
      </c>
      <c r="BF66" s="13">
        <f t="shared" si="154"/>
        <v>1.996835409629516E-2</v>
      </c>
      <c r="BG66">
        <v>231</v>
      </c>
      <c r="BH66" s="1">
        <v>274217.5062600238</v>
      </c>
      <c r="BI66" s="13">
        <f t="shared" si="123"/>
        <v>2.3228265501309187E-2</v>
      </c>
      <c r="BJ66">
        <v>224</v>
      </c>
      <c r="BK66" s="1">
        <v>275611.91345012002</v>
      </c>
      <c r="BL66" s="13">
        <f t="shared" si="155"/>
        <v>5.0850407368738804E-3</v>
      </c>
      <c r="BM66" s="1">
        <v>281901.46969847212</v>
      </c>
      <c r="BN66" s="109">
        <f t="shared" si="156"/>
        <v>2.2820335193857177E-2</v>
      </c>
      <c r="BO66">
        <v>206</v>
      </c>
      <c r="BP66" s="13">
        <f t="shared" si="157"/>
        <v>-8.0357142857142905E-2</v>
      </c>
      <c r="BQ66" s="1">
        <v>282563.01490293158</v>
      </c>
      <c r="BR66" s="13">
        <f t="shared" si="124"/>
        <v>2.3467249218922515E-3</v>
      </c>
      <c r="BS66">
        <v>268</v>
      </c>
      <c r="BT66" s="13">
        <f t="shared" si="125"/>
        <v>0.30097087378640786</v>
      </c>
      <c r="BU66" s="1">
        <v>283210.70388900902</v>
      </c>
      <c r="BV66" s="13">
        <f t="shared" si="158"/>
        <v>2.2921930752328734E-3</v>
      </c>
      <c r="BW66">
        <v>246</v>
      </c>
      <c r="BX66" s="13">
        <f t="shared" si="159"/>
        <v>-8.2089552238805985E-2</v>
      </c>
      <c r="BY66" s="1">
        <v>279062.87311606418</v>
      </c>
      <c r="BZ66" s="13">
        <f t="shared" si="160"/>
        <v>-1.4645741548562352E-2</v>
      </c>
      <c r="CA66">
        <v>207</v>
      </c>
      <c r="CB66" s="13">
        <f t="shared" si="161"/>
        <v>-0.15853658536585369</v>
      </c>
      <c r="CC66" s="1">
        <v>284864.01760039799</v>
      </c>
      <c r="CD66" s="13">
        <f t="shared" si="162"/>
        <v>2.0787947961537157E-2</v>
      </c>
      <c r="CE66">
        <v>220</v>
      </c>
      <c r="CF66" s="13">
        <f t="shared" si="163"/>
        <v>6.2801932367149815E-2</v>
      </c>
      <c r="CG66" s="1">
        <v>273762.72239651409</v>
      </c>
      <c r="CH66" s="13">
        <f t="shared" si="164"/>
        <v>-3.897050704191285E-2</v>
      </c>
      <c r="CI66">
        <v>243</v>
      </c>
      <c r="CJ66" s="13">
        <f t="shared" si="165"/>
        <v>0.1045454545454545</v>
      </c>
      <c r="CK66" s="1">
        <v>272708.25995590992</v>
      </c>
      <c r="CL66" s="13">
        <f t="shared" si="166"/>
        <v>-3.8517385835932227E-3</v>
      </c>
      <c r="CM66">
        <v>274</v>
      </c>
      <c r="CN66" s="13">
        <f t="shared" si="167"/>
        <v>0.12757201646090532</v>
      </c>
      <c r="CO66" s="1">
        <v>275450.70637389639</v>
      </c>
      <c r="CP66" s="13">
        <v>1.0056337928414205E-2</v>
      </c>
      <c r="CQ66">
        <v>269</v>
      </c>
      <c r="CR66" s="13">
        <v>-1.8248175182481785E-2</v>
      </c>
      <c r="CS66" s="1">
        <v>277491.04861471651</v>
      </c>
      <c r="CT66" s="13">
        <f t="shared" si="24"/>
        <v>7.4072862897311964E-3</v>
      </c>
      <c r="CU66">
        <v>320</v>
      </c>
      <c r="CV66" s="13">
        <f t="shared" si="25"/>
        <v>0.18959107806691455</v>
      </c>
      <c r="CW66" s="1">
        <v>272226.31802304432</v>
      </c>
      <c r="CX66" s="13">
        <f t="shared" si="26"/>
        <v>-1.8972614136400501E-2</v>
      </c>
      <c r="CY66">
        <v>342</v>
      </c>
      <c r="CZ66" s="13">
        <f t="shared" si="27"/>
        <v>6.8750000000000089E-2</v>
      </c>
      <c r="DA66" s="1">
        <v>271203.14031338709</v>
      </c>
      <c r="DB66" s="13">
        <f t="shared" si="28"/>
        <v>-3.7585554441896818E-3</v>
      </c>
      <c r="DC66">
        <v>330</v>
      </c>
      <c r="DD66" s="13">
        <f t="shared" si="29"/>
        <v>-3.5087719298245612E-2</v>
      </c>
      <c r="DE66" s="1">
        <v>267399.26715733449</v>
      </c>
      <c r="DF66" s="13">
        <f t="shared" si="30"/>
        <v>-1.4025918548203675E-2</v>
      </c>
      <c r="DG66" s="1">
        <v>318</v>
      </c>
      <c r="DH66" s="13">
        <f t="shared" si="31"/>
        <v>-3.6363636363636376E-2</v>
      </c>
      <c r="DI66" s="1">
        <v>269491.8489772969</v>
      </c>
      <c r="DJ66" s="13">
        <f t="shared" si="32"/>
        <v>7.8256827036522481E-3</v>
      </c>
      <c r="DK66" s="1">
        <v>291</v>
      </c>
      <c r="DL66" s="13">
        <f t="shared" si="33"/>
        <v>-8.4905660377358472E-2</v>
      </c>
      <c r="DM66" s="1">
        <v>270576.56875849562</v>
      </c>
      <c r="DN66" s="13">
        <f t="shared" si="34"/>
        <v>4.0250559908032724E-3</v>
      </c>
      <c r="DO66" s="1">
        <v>286</v>
      </c>
      <c r="DP66" s="13">
        <f t="shared" si="35"/>
        <v>-1.718213058419249E-2</v>
      </c>
      <c r="DQ66" s="1">
        <v>275860.73806105182</v>
      </c>
      <c r="DR66" s="13">
        <f t="shared" si="36"/>
        <v>1.9529293784757096E-2</v>
      </c>
      <c r="DS66">
        <v>317</v>
      </c>
      <c r="DT66" s="13">
        <f t="shared" si="37"/>
        <v>0.10839160839160833</v>
      </c>
      <c r="DU66" s="1">
        <v>281106.07096289552</v>
      </c>
      <c r="DV66" s="13">
        <f t="shared" si="38"/>
        <v>1.9014423504815081E-2</v>
      </c>
      <c r="DW66">
        <v>324</v>
      </c>
      <c r="DX66" s="13">
        <f t="shared" si="39"/>
        <v>2.208201892744488E-2</v>
      </c>
      <c r="DY66" s="1">
        <v>281528.61492326512</v>
      </c>
      <c r="DZ66" s="13">
        <f t="shared" si="40"/>
        <v>1.5031477581477493E-3</v>
      </c>
      <c r="EA66" s="1">
        <v>298</v>
      </c>
      <c r="EB66" s="13">
        <f t="shared" si="41"/>
        <v>-8.0246913580246937E-2</v>
      </c>
      <c r="EC66" s="1">
        <v>283736.29630291648</v>
      </c>
      <c r="ED66" s="13">
        <f t="shared" si="42"/>
        <v>7.8417654995854846E-3</v>
      </c>
      <c r="EE66" s="1">
        <f>IFERROR(VLOOKUP($A66,[1]Москва_продажа_районы!$C$2:$F$148,2,0),"")</f>
        <v>292</v>
      </c>
      <c r="EF66" s="13">
        <v>-2.0134228187919434E-2</v>
      </c>
      <c r="EG66" s="1">
        <v>286810.16609970911</v>
      </c>
      <c r="EH66" s="13">
        <f t="shared" si="43"/>
        <v>1.0833544515964855E-2</v>
      </c>
      <c r="EI66" s="1">
        <f>IFERROR(VLOOKUP($A66,[2]Москва_продажа_районы!$C$2:$F$150,2,0),"")</f>
        <v>293</v>
      </c>
      <c r="EJ66" s="13">
        <v>3.424657534246478E-3</v>
      </c>
      <c r="EK66" s="1">
        <v>296303.80384537001</v>
      </c>
      <c r="EL66" s="13">
        <f t="shared" si="44"/>
        <v>3.3100771408362428E-2</v>
      </c>
      <c r="EM66">
        <v>283</v>
      </c>
      <c r="EN66" s="13">
        <f t="shared" si="45"/>
        <v>-3.4129692832764458E-2</v>
      </c>
      <c r="EO66" s="1">
        <v>301661.96962158801</v>
      </c>
      <c r="EP66" s="13">
        <f t="shared" si="46"/>
        <v>1.8083351299176043E-2</v>
      </c>
      <c r="EQ66">
        <v>286</v>
      </c>
      <c r="ER66" s="13">
        <f t="shared" si="47"/>
        <v>1.0600706713780994E-2</v>
      </c>
      <c r="ES66" s="183">
        <v>304582.61990095332</v>
      </c>
      <c r="ET66" s="13">
        <f t="shared" si="48"/>
        <v>9.681864382935057E-3</v>
      </c>
      <c r="EU66">
        <v>275</v>
      </c>
      <c r="EV66" s="13">
        <f t="shared" si="49"/>
        <v>-3.8461538461538436E-2</v>
      </c>
      <c r="EW66" s="183">
        <v>306544.87538065051</v>
      </c>
      <c r="EX66" s="13">
        <f t="shared" si="50"/>
        <v>6.4424407418102181E-3</v>
      </c>
      <c r="EY66">
        <v>283</v>
      </c>
      <c r="EZ66" s="13">
        <f t="shared" si="51"/>
        <v>2.9090909090909056E-2</v>
      </c>
      <c r="FA66" s="1">
        <v>307569.93885852193</v>
      </c>
      <c r="FB66" s="13">
        <f t="shared" si="52"/>
        <v>3.3439263226910931E-3</v>
      </c>
      <c r="FC66" s="1">
        <v>244</v>
      </c>
      <c r="FD66" s="13">
        <f t="shared" si="53"/>
        <v>-0.13780918727915192</v>
      </c>
      <c r="FE66" s="1">
        <v>304542.62040422292</v>
      </c>
      <c r="FF66" s="13">
        <f t="shared" si="54"/>
        <v>-9.8426994053262273E-3</v>
      </c>
      <c r="FG66" s="1">
        <v>245</v>
      </c>
      <c r="FH66" s="13">
        <f t="shared" si="55"/>
        <v>4.098360655737654E-3</v>
      </c>
      <c r="FI66" s="1">
        <v>305331.663298106</v>
      </c>
      <c r="FJ66" s="13">
        <f t="shared" si="56"/>
        <v>2.5909112256135014E-3</v>
      </c>
      <c r="FK66" s="1">
        <v>259</v>
      </c>
      <c r="FL66" s="13">
        <f t="shared" si="57"/>
        <v>5.7142857142857162E-2</v>
      </c>
      <c r="FM66" s="1">
        <v>305005.6101188552</v>
      </c>
      <c r="FN66" s="13">
        <f t="shared" si="58"/>
        <v>-1.0678655981134488E-3</v>
      </c>
      <c r="FO66" s="1">
        <v>252</v>
      </c>
      <c r="FP66" s="13">
        <f t="shared" si="59"/>
        <v>-2.7027027027026973E-2</v>
      </c>
      <c r="FQ66" s="1">
        <v>300394.71347716241</v>
      </c>
      <c r="FR66" s="13">
        <f t="shared" si="60"/>
        <v>-1.5117415839977499E-2</v>
      </c>
      <c r="FS66">
        <v>255</v>
      </c>
      <c r="FT66" s="13">
        <f t="shared" si="61"/>
        <v>1.1904761904761862E-2</v>
      </c>
      <c r="FU66" s="1">
        <v>301186.04424490128</v>
      </c>
      <c r="FV66" s="13">
        <f t="shared" si="62"/>
        <v>2.634303242487146E-3</v>
      </c>
      <c r="FW66" s="1">
        <v>250</v>
      </c>
      <c r="FX66" s="13">
        <f t="shared" si="63"/>
        <v>-1.9607843137254943E-2</v>
      </c>
      <c r="FY66" s="1">
        <v>303361.44602893438</v>
      </c>
      <c r="FZ66" s="13">
        <f t="shared" si="64"/>
        <v>7.2227841415661853E-3</v>
      </c>
      <c r="GA66" s="1">
        <v>257</v>
      </c>
      <c r="GB66" s="13">
        <f t="shared" si="65"/>
        <v>2.8000000000000025E-2</v>
      </c>
      <c r="GC66" s="1">
        <v>302395.9292367766</v>
      </c>
      <c r="GD66" s="13">
        <f t="shared" si="66"/>
        <v>-3.1827274190461274E-3</v>
      </c>
      <c r="GE66" s="1">
        <v>230</v>
      </c>
      <c r="GF66" s="13">
        <f t="shared" si="67"/>
        <v>-0.10505836575875482</v>
      </c>
      <c r="GG66" s="1">
        <f>IFERROR(VLOOKUP(A66,[3]Москва_продажа_районы!$C$2:$F$149,3,0),"")</f>
        <v>303958.25314345281</v>
      </c>
      <c r="GH66" s="13">
        <v>5.1664845840331264E-3</v>
      </c>
      <c r="GI66" s="1">
        <v>232</v>
      </c>
      <c r="GJ66" s="13">
        <f t="shared" si="68"/>
        <v>8.6956521739129933E-3</v>
      </c>
      <c r="GK66" s="1">
        <v>302679.08858476632</v>
      </c>
      <c r="GL66" s="13">
        <f t="shared" si="69"/>
        <v>-4.2083560668536579E-3</v>
      </c>
      <c r="GM66" s="1">
        <v>253</v>
      </c>
      <c r="GN66" s="13">
        <f t="shared" si="70"/>
        <v>9.0517241379310276E-2</v>
      </c>
      <c r="GO66" s="1">
        <v>303197.68909804162</v>
      </c>
      <c r="GP66" s="13">
        <f t="shared" si="71"/>
        <v>1.713367499882823E-3</v>
      </c>
      <c r="GQ66" s="1">
        <v>262.14999999999998</v>
      </c>
      <c r="GR66" s="13">
        <f t="shared" si="72"/>
        <v>3.6166007905138242E-2</v>
      </c>
      <c r="GS66" s="1">
        <v>299682.77341277408</v>
      </c>
      <c r="GT66" s="13">
        <f t="shared" si="168"/>
        <v>-1.1592818189755216E-2</v>
      </c>
      <c r="GU66">
        <v>267</v>
      </c>
      <c r="GV66" s="13">
        <f t="shared" si="169"/>
        <v>1.8500858287240129E-2</v>
      </c>
      <c r="GW66">
        <v>294585.34487065481</v>
      </c>
      <c r="GX66" s="13">
        <f t="shared" si="73"/>
        <v>-1.7009414602214168E-2</v>
      </c>
      <c r="GY66">
        <v>245</v>
      </c>
      <c r="GZ66" s="13">
        <f t="shared" si="74"/>
        <v>-8.2397003745318331E-2</v>
      </c>
      <c r="HA66">
        <v>300155.7374280201</v>
      </c>
      <c r="HB66" s="13">
        <v>1.8909265699592392E-2</v>
      </c>
      <c r="HC66">
        <v>229</v>
      </c>
      <c r="HD66" s="13">
        <v>-6.5306122448979598E-2</v>
      </c>
      <c r="HE66">
        <v>305217.5062910837</v>
      </c>
      <c r="HF66" s="13">
        <v>1.686380845635993E-2</v>
      </c>
      <c r="HG66">
        <v>253</v>
      </c>
      <c r="HH66" s="13">
        <v>0.10480349344978168</v>
      </c>
      <c r="HI66">
        <f>VLOOKUP(A66,[4]Москва_продажа_районы!$C$4:$F$151,3,0)</f>
        <v>305488.98642763088</v>
      </c>
      <c r="HJ66" s="13">
        <f t="shared" si="75"/>
        <v>8.8946449974680597E-4</v>
      </c>
      <c r="HK66">
        <f>VLOOKUP(A66,[4]Москва_продажа_районы!$C$4:$F$151,2,0)</f>
        <v>233</v>
      </c>
      <c r="HL66" s="13">
        <f t="shared" si="76"/>
        <v>-7.9051383399209474E-2</v>
      </c>
      <c r="HM66" s="1">
        <f>VLOOKUP(A66,Лист3!$C$4:$F$149,3,0)</f>
        <v>305608.05487249658</v>
      </c>
      <c r="HN66" s="13">
        <f t="shared" si="77"/>
        <v>3.8976346171448739E-4</v>
      </c>
      <c r="HO66">
        <f>VLOOKUP(A66,Лист3!$C$4:$F$149,2,0)</f>
        <v>237</v>
      </c>
      <c r="HP66" s="13">
        <f t="shared" si="78"/>
        <v>1.716738197424883E-2</v>
      </c>
      <c r="HQ66" s="1">
        <v>309280.82180492999</v>
      </c>
      <c r="HR66" s="13">
        <v>1.2017899639346075E-2</v>
      </c>
      <c r="HS66">
        <v>236</v>
      </c>
      <c r="HT66" s="13">
        <v>-4.2194092827003704E-3</v>
      </c>
      <c r="HU66" s="34">
        <v>317151.9292920985</v>
      </c>
      <c r="HV66" s="13">
        <v>2.5449710852530671E-2</v>
      </c>
      <c r="HW66">
        <v>218</v>
      </c>
      <c r="HX66" s="13">
        <v>-7.6271186440677985E-2</v>
      </c>
      <c r="HY66">
        <v>320177.84100816021</v>
      </c>
      <c r="HZ66" s="13">
        <v>9.540890143142855E-3</v>
      </c>
      <c r="IA66">
        <v>229</v>
      </c>
      <c r="IB66" s="13">
        <v>5.0458715596330306E-2</v>
      </c>
      <c r="IC66" s="34">
        <v>316549.86200898251</v>
      </c>
      <c r="ID66" s="13">
        <v>-1.1331137057311924E-2</v>
      </c>
      <c r="IE66">
        <v>208</v>
      </c>
      <c r="IF66" s="13">
        <v>-9.1703056768558944E-2</v>
      </c>
    </row>
    <row r="67" spans="1:240" x14ac:dyDescent="0.3">
      <c r="A67" s="23" t="s">
        <v>79</v>
      </c>
      <c r="B67" s="22">
        <v>172786.82272155845</v>
      </c>
      <c r="C67">
        <v>385</v>
      </c>
      <c r="D67" s="22">
        <v>177528.86801172068</v>
      </c>
      <c r="E67">
        <v>401</v>
      </c>
      <c r="F67" s="22">
        <v>175973.07039444451</v>
      </c>
      <c r="G67">
        <v>234</v>
      </c>
      <c r="H67" s="22">
        <v>174835.00147063992</v>
      </c>
      <c r="I67">
        <v>249</v>
      </c>
      <c r="J67" s="22">
        <v>175864.26702925115</v>
      </c>
      <c r="K67">
        <v>311</v>
      </c>
      <c r="L67" s="22">
        <v>177089.73576220183</v>
      </c>
      <c r="M67">
        <v>334</v>
      </c>
      <c r="N67" s="22">
        <v>179642.24092516318</v>
      </c>
      <c r="O67" s="28">
        <v>320</v>
      </c>
      <c r="P67" s="35">
        <v>183765.39292877045</v>
      </c>
      <c r="Q67" s="28">
        <v>329</v>
      </c>
      <c r="R67" s="35">
        <v>190377.75173317839</v>
      </c>
      <c r="S67">
        <v>310</v>
      </c>
      <c r="T67" s="46">
        <v>196712.03456797346</v>
      </c>
      <c r="U67" s="47">
        <v>250</v>
      </c>
      <c r="V67" s="56">
        <v>203935.20806115511</v>
      </c>
      <c r="W67" s="47">
        <v>230</v>
      </c>
      <c r="X67" s="56">
        <v>207497.2332224139</v>
      </c>
      <c r="Y67" s="47">
        <v>231</v>
      </c>
      <c r="Z67" s="34">
        <v>198248.00024295214</v>
      </c>
      <c r="AA67" s="81">
        <v>292</v>
      </c>
      <c r="AB67" s="1">
        <v>210397.691850498</v>
      </c>
      <c r="AC67" s="1">
        <v>318</v>
      </c>
      <c r="AD67" s="1">
        <v>215377.4154327368</v>
      </c>
      <c r="AE67">
        <v>257</v>
      </c>
      <c r="AF67" s="13">
        <f t="shared" si="19"/>
        <v>3.7977288120638386E-2</v>
      </c>
      <c r="AG67" s="85">
        <f t="shared" si="170"/>
        <v>7.6103050044418127E-2</v>
      </c>
      <c r="AH67" s="35">
        <f t="shared" si="171"/>
        <v>30.44122001776725</v>
      </c>
      <c r="AI67" s="87">
        <f t="shared" si="172"/>
        <v>287.44122001776725</v>
      </c>
      <c r="AL67" s="1">
        <v>218645.14694140211</v>
      </c>
      <c r="AM67">
        <v>288</v>
      </c>
      <c r="AN67" s="13">
        <f t="shared" si="173"/>
        <v>8.2711085582998278E-2</v>
      </c>
      <c r="AQ67" s="35">
        <f t="shared" si="174"/>
        <v>20.843193566915566</v>
      </c>
      <c r="AR67" s="87">
        <f t="shared" si="175"/>
        <v>308.84319356691555</v>
      </c>
      <c r="AS67">
        <v>295</v>
      </c>
      <c r="AT67" s="1">
        <v>221118.52450182309</v>
      </c>
      <c r="AU67" s="13">
        <f t="shared" si="176"/>
        <v>1.1312291148560805E-2</v>
      </c>
      <c r="AV67">
        <v>278</v>
      </c>
      <c r="AW67" s="1">
        <v>223604.18272374719</v>
      </c>
      <c r="AX67" s="35">
        <v>295.9042645778938</v>
      </c>
      <c r="AY67" s="121">
        <v>222623.36774528501</v>
      </c>
      <c r="AZ67" s="122">
        <v>298</v>
      </c>
      <c r="BA67" s="119">
        <v>227256.0237652933</v>
      </c>
      <c r="BB67">
        <v>300</v>
      </c>
      <c r="BC67" s="125">
        <f t="shared" si="177"/>
        <v>2.0809387922424927E-2</v>
      </c>
      <c r="BD67">
        <v>319</v>
      </c>
      <c r="BE67" s="1">
        <v>232545.8921979318</v>
      </c>
      <c r="BF67" s="13">
        <f t="shared" si="154"/>
        <v>2.3277131866488165E-2</v>
      </c>
      <c r="BG67">
        <v>316</v>
      </c>
      <c r="BH67" s="1">
        <v>234970.61716905539</v>
      </c>
      <c r="BI67" s="13">
        <f t="shared" si="123"/>
        <v>1.042686649162472E-2</v>
      </c>
      <c r="BJ67">
        <v>296</v>
      </c>
      <c r="BK67" s="1">
        <v>240950.73950455661</v>
      </c>
      <c r="BL67" s="13">
        <f t="shared" si="155"/>
        <v>2.545051124923714E-2</v>
      </c>
      <c r="BM67" s="1">
        <v>248683.87684290201</v>
      </c>
      <c r="BN67" s="109">
        <f t="shared" si="156"/>
        <v>3.2094266878974098E-2</v>
      </c>
      <c r="BO67">
        <v>300</v>
      </c>
      <c r="BP67" s="13">
        <f t="shared" si="157"/>
        <v>1.3513513513513598E-2</v>
      </c>
      <c r="BQ67" s="1">
        <v>252122.04774300309</v>
      </c>
      <c r="BR67" s="13">
        <f t="shared" si="124"/>
        <v>1.3825467673053149E-2</v>
      </c>
      <c r="BS67">
        <v>302</v>
      </c>
      <c r="BT67" s="13">
        <f t="shared" si="125"/>
        <v>6.6666666666665986E-3</v>
      </c>
      <c r="BU67" s="1">
        <v>258335.55894366241</v>
      </c>
      <c r="BV67" s="13">
        <f t="shared" si="158"/>
        <v>2.4644854570564867E-2</v>
      </c>
      <c r="BW67">
        <v>261</v>
      </c>
      <c r="BX67" s="13">
        <f t="shared" si="159"/>
        <v>-0.13576158940397354</v>
      </c>
      <c r="BY67" s="1">
        <v>259037.18552249891</v>
      </c>
      <c r="BZ67" s="13">
        <f t="shared" si="160"/>
        <v>2.7159504549256752E-3</v>
      </c>
      <c r="CA67">
        <v>218</v>
      </c>
      <c r="CB67" s="13">
        <f t="shared" si="161"/>
        <v>-0.16475095785440608</v>
      </c>
      <c r="CC67" s="1">
        <v>258082.06505160601</v>
      </c>
      <c r="CD67" s="13">
        <f t="shared" si="162"/>
        <v>-3.6871944426293268E-3</v>
      </c>
      <c r="CE67">
        <v>249</v>
      </c>
      <c r="CF67" s="13">
        <f t="shared" si="163"/>
        <v>0.14220183486238525</v>
      </c>
      <c r="CG67" s="1">
        <v>251803.997631312</v>
      </c>
      <c r="CH67" s="13">
        <f t="shared" si="164"/>
        <v>-2.4325857044884769E-2</v>
      </c>
      <c r="CI67">
        <v>274</v>
      </c>
      <c r="CJ67" s="13">
        <f t="shared" si="165"/>
        <v>0.10040160642570273</v>
      </c>
      <c r="CK67" s="1">
        <v>247527.33427636599</v>
      </c>
      <c r="CL67" s="13">
        <f t="shared" si="166"/>
        <v>-1.6984096341503885E-2</v>
      </c>
      <c r="CM67">
        <v>321</v>
      </c>
      <c r="CN67" s="13">
        <f t="shared" si="167"/>
        <v>0.17153284671532854</v>
      </c>
      <c r="CO67" s="1">
        <v>247133.7115296908</v>
      </c>
      <c r="CP67" s="13">
        <v>-1.5902193098226158E-3</v>
      </c>
      <c r="CQ67">
        <v>363</v>
      </c>
      <c r="CR67" s="13">
        <v>0.13084112149532712</v>
      </c>
      <c r="CS67" s="1">
        <v>247572.75239952389</v>
      </c>
      <c r="CT67" s="13">
        <f t="shared" si="24"/>
        <v>1.7765316885161031E-3</v>
      </c>
      <c r="CU67">
        <v>405</v>
      </c>
      <c r="CV67" s="13">
        <f t="shared" si="25"/>
        <v>0.11570247933884303</v>
      </c>
      <c r="CW67" s="1">
        <v>243505.1149258051</v>
      </c>
      <c r="CX67" s="13">
        <f t="shared" si="26"/>
        <v>-1.6430069279815496E-2</v>
      </c>
      <c r="CY67">
        <v>410</v>
      </c>
      <c r="CZ67" s="13">
        <f t="shared" si="27"/>
        <v>1.2345679012345734E-2</v>
      </c>
      <c r="DA67" s="1">
        <v>238811.62508957481</v>
      </c>
      <c r="DB67" s="13">
        <f t="shared" si="28"/>
        <v>-1.9274707382062051E-2</v>
      </c>
      <c r="DC67">
        <v>400</v>
      </c>
      <c r="DD67" s="13">
        <f t="shared" si="29"/>
        <v>-2.4390243902439046E-2</v>
      </c>
      <c r="DE67" s="1">
        <v>235893.25582336151</v>
      </c>
      <c r="DF67" s="13">
        <f t="shared" si="30"/>
        <v>-1.2220381922859347E-2</v>
      </c>
      <c r="DG67" s="1">
        <v>366</v>
      </c>
      <c r="DH67" s="13">
        <f t="shared" si="31"/>
        <v>-8.4999999999999964E-2</v>
      </c>
      <c r="DI67" s="1">
        <v>237374.4381717231</v>
      </c>
      <c r="DJ67" s="13">
        <f t="shared" si="32"/>
        <v>6.2790364361697826E-3</v>
      </c>
      <c r="DK67" s="1">
        <v>332</v>
      </c>
      <c r="DL67" s="13">
        <f t="shared" si="33"/>
        <v>-9.289617486338797E-2</v>
      </c>
      <c r="DM67" s="1">
        <v>239799.095761251</v>
      </c>
      <c r="DN67" s="13">
        <f t="shared" si="34"/>
        <v>1.0214484795426193E-2</v>
      </c>
      <c r="DO67" s="1">
        <v>349</v>
      </c>
      <c r="DP67" s="13">
        <f t="shared" si="35"/>
        <v>5.1204819277108404E-2</v>
      </c>
      <c r="DQ67" s="1">
        <v>240376.0664333106</v>
      </c>
      <c r="DR67" s="13">
        <f t="shared" si="36"/>
        <v>2.4060585809466684E-3</v>
      </c>
      <c r="DS67">
        <v>381</v>
      </c>
      <c r="DT67" s="13">
        <f t="shared" si="37"/>
        <v>9.1690544412607489E-2</v>
      </c>
      <c r="DU67" s="1">
        <v>240596.83479642481</v>
      </c>
      <c r="DV67" s="13">
        <f t="shared" si="38"/>
        <v>9.1842905323291646E-4</v>
      </c>
      <c r="DW67">
        <v>379</v>
      </c>
      <c r="DX67" s="13">
        <f t="shared" si="39"/>
        <v>-5.2493438320210251E-3</v>
      </c>
      <c r="DY67" s="1">
        <v>239064.0215785334</v>
      </c>
      <c r="DZ67" s="13">
        <f t="shared" si="40"/>
        <v>-6.3708785661638068E-3</v>
      </c>
      <c r="EA67" s="1">
        <v>351</v>
      </c>
      <c r="EB67" s="13">
        <f t="shared" si="41"/>
        <v>-7.3878627968337773E-2</v>
      </c>
      <c r="EC67" s="1">
        <v>239063.20146410531</v>
      </c>
      <c r="ED67" s="13">
        <f t="shared" si="42"/>
        <v>-3.430522178438089E-6</v>
      </c>
      <c r="EE67" s="1">
        <f>IFERROR(VLOOKUP($A67,[1]Москва_продажа_районы!$C$2:$F$148,2,0),"")</f>
        <v>336</v>
      </c>
      <c r="EF67" s="13">
        <v>-4.2735042735042694E-2</v>
      </c>
      <c r="EG67" s="1">
        <v>241650.7151260048</v>
      </c>
      <c r="EH67" s="13">
        <f t="shared" si="43"/>
        <v>1.0823554800791779E-2</v>
      </c>
      <c r="EI67" s="1">
        <f>IFERROR(VLOOKUP($A67,[2]Москва_продажа_районы!$C$2:$F$150,2,0),"")</f>
        <v>306</v>
      </c>
      <c r="EJ67" s="13">
        <v>-8.9285714285714302E-2</v>
      </c>
      <c r="EK67" s="1">
        <v>246158.85107740379</v>
      </c>
      <c r="EL67" s="13">
        <f t="shared" si="44"/>
        <v>1.8655587048638678E-2</v>
      </c>
      <c r="EM67">
        <v>272</v>
      </c>
      <c r="EN67" s="13">
        <f t="shared" si="45"/>
        <v>-0.11111111111111116</v>
      </c>
      <c r="EO67" s="1">
        <v>258242.22731643249</v>
      </c>
      <c r="EP67" s="13">
        <f t="shared" si="46"/>
        <v>4.9087717894934046E-2</v>
      </c>
      <c r="EQ67">
        <v>272</v>
      </c>
      <c r="ER67" s="13">
        <f t="shared" si="47"/>
        <v>0</v>
      </c>
      <c r="ES67" s="183">
        <v>264901.16358533152</v>
      </c>
      <c r="ET67" s="13">
        <f t="shared" si="48"/>
        <v>2.5785621267662151E-2</v>
      </c>
      <c r="EU67">
        <v>278</v>
      </c>
      <c r="EV67" s="13">
        <f t="shared" si="49"/>
        <v>2.2058823529411686E-2</v>
      </c>
      <c r="EW67" s="183">
        <v>261290.3490988694</v>
      </c>
      <c r="EX67" s="13">
        <f t="shared" si="50"/>
        <v>-1.3630798889635698E-2</v>
      </c>
      <c r="EY67">
        <v>261</v>
      </c>
      <c r="EZ67" s="13">
        <f t="shared" si="51"/>
        <v>-6.11510791366906E-2</v>
      </c>
      <c r="FA67" s="1">
        <v>264590.06675419607</v>
      </c>
      <c r="FB67" s="13">
        <f t="shared" si="52"/>
        <v>1.262854776958533E-2</v>
      </c>
      <c r="FC67" s="1">
        <v>252</v>
      </c>
      <c r="FD67" s="13">
        <f t="shared" si="53"/>
        <v>-3.4482758620689613E-2</v>
      </c>
      <c r="FE67" s="1">
        <v>264138.72179236898</v>
      </c>
      <c r="FF67" s="13">
        <f t="shared" si="54"/>
        <v>-1.7058273100115651E-3</v>
      </c>
      <c r="FG67" s="1">
        <v>261</v>
      </c>
      <c r="FH67" s="13">
        <f t="shared" si="55"/>
        <v>3.5714285714285809E-2</v>
      </c>
      <c r="FI67" s="1">
        <v>261037.55118632849</v>
      </c>
      <c r="FJ67" s="13">
        <f t="shared" si="56"/>
        <v>-1.1740689078060362E-2</v>
      </c>
      <c r="FK67" s="1">
        <v>282</v>
      </c>
      <c r="FL67" s="13">
        <f t="shared" si="57"/>
        <v>8.0459770114942541E-2</v>
      </c>
      <c r="FM67" s="1">
        <v>259893.64711375351</v>
      </c>
      <c r="FN67" s="13">
        <f t="shared" si="58"/>
        <v>-4.3821437466614599E-3</v>
      </c>
      <c r="FO67" s="1">
        <v>292</v>
      </c>
      <c r="FP67" s="13">
        <f t="shared" si="59"/>
        <v>3.5460992907801359E-2</v>
      </c>
      <c r="FQ67" s="1">
        <v>258729.6922154463</v>
      </c>
      <c r="FR67" s="13">
        <f t="shared" si="60"/>
        <v>-4.4785815707060195E-3</v>
      </c>
      <c r="FS67">
        <v>306</v>
      </c>
      <c r="FT67" s="13">
        <f t="shared" si="61"/>
        <v>4.7945205479452024E-2</v>
      </c>
      <c r="FU67" s="1">
        <v>260515.8066732224</v>
      </c>
      <c r="FV67" s="13">
        <f t="shared" si="62"/>
        <v>6.9033996155678512E-3</v>
      </c>
      <c r="FW67" s="1">
        <v>329</v>
      </c>
      <c r="FX67" s="13">
        <f t="shared" si="63"/>
        <v>7.5163398692810413E-2</v>
      </c>
      <c r="FY67" s="1">
        <v>262005.32803154661</v>
      </c>
      <c r="FZ67" s="13">
        <f t="shared" si="64"/>
        <v>5.7175853448023783E-3</v>
      </c>
      <c r="GA67" s="1">
        <v>324</v>
      </c>
      <c r="GB67" s="13">
        <f t="shared" si="65"/>
        <v>-1.5197568389057725E-2</v>
      </c>
      <c r="GC67" s="1">
        <v>261339.6341003124</v>
      </c>
      <c r="GD67" s="13">
        <f t="shared" si="66"/>
        <v>-2.5407648624384827E-3</v>
      </c>
      <c r="GE67" s="1">
        <v>330</v>
      </c>
      <c r="GF67" s="13">
        <f t="shared" si="67"/>
        <v>1.8518518518518601E-2</v>
      </c>
      <c r="GG67" s="1">
        <f>IFERROR(VLOOKUP(A67,[3]Москва_продажа_районы!$C$2:$F$149,3,0),"")</f>
        <v>262209.28775701212</v>
      </c>
      <c r="GH67" s="13">
        <v>3.3276761088825157E-3</v>
      </c>
      <c r="GI67" s="1">
        <v>356</v>
      </c>
      <c r="GJ67" s="13">
        <f t="shared" si="68"/>
        <v>7.8787878787878851E-2</v>
      </c>
      <c r="GK67" s="1">
        <v>259996.53631611029</v>
      </c>
      <c r="GL67" s="13">
        <f t="shared" si="69"/>
        <v>-8.4388751437072251E-3</v>
      </c>
      <c r="GM67" s="1">
        <v>379</v>
      </c>
      <c r="GN67" s="13">
        <f t="shared" si="70"/>
        <v>6.460674157303381E-2</v>
      </c>
      <c r="GO67" s="1">
        <v>262202.10732601682</v>
      </c>
      <c r="GP67" s="13">
        <f t="shared" si="71"/>
        <v>8.4830784331102471E-3</v>
      </c>
      <c r="GQ67" s="1">
        <v>376.64000000000004</v>
      </c>
      <c r="GR67" s="13">
        <f t="shared" si="72"/>
        <v>-6.2269129287597647E-3</v>
      </c>
      <c r="GS67" s="1">
        <v>260887.80339587119</v>
      </c>
      <c r="GT67" s="13">
        <f t="shared" si="168"/>
        <v>-5.0125605150512786E-3</v>
      </c>
      <c r="GU67">
        <v>396</v>
      </c>
      <c r="GV67" s="13">
        <f t="shared" si="169"/>
        <v>5.1401869158878455E-2</v>
      </c>
      <c r="GW67">
        <v>263306.10120131349</v>
      </c>
      <c r="GX67" s="13">
        <f t="shared" si="73"/>
        <v>9.2694935292654268E-3</v>
      </c>
      <c r="GY67">
        <v>344</v>
      </c>
      <c r="GZ67" s="13">
        <f t="shared" si="74"/>
        <v>-0.13131313131313127</v>
      </c>
      <c r="HA67">
        <v>265572.25055630278</v>
      </c>
      <c r="HB67" s="13">
        <v>8.6065204894614222E-3</v>
      </c>
      <c r="HC67">
        <v>313</v>
      </c>
      <c r="HD67" s="13">
        <v>-9.0116279069767491E-2</v>
      </c>
      <c r="HE67">
        <v>267650.8031497965</v>
      </c>
      <c r="HF67" s="13">
        <v>7.8266934483541828E-3</v>
      </c>
      <c r="HG67">
        <v>300</v>
      </c>
      <c r="HH67" s="13">
        <v>-4.1533546325878579E-2</v>
      </c>
      <c r="HI67">
        <f>VLOOKUP(A67,[4]Москва_продажа_районы!$C$4:$F$151,3,0)</f>
        <v>270771.11684526782</v>
      </c>
      <c r="HJ67" s="13">
        <f t="shared" si="75"/>
        <v>1.1658151811055673E-2</v>
      </c>
      <c r="HK67">
        <f>VLOOKUP(A67,[4]Москва_продажа_районы!$C$4:$F$151,2,0)</f>
        <v>301</v>
      </c>
      <c r="HL67" s="13">
        <f t="shared" si="76"/>
        <v>3.3333333333334103E-3</v>
      </c>
      <c r="HM67" s="1">
        <f>VLOOKUP(A67,Лист3!$C$4:$F$149,3,0)</f>
        <v>272317.33331638761</v>
      </c>
      <c r="HN67" s="13">
        <f t="shared" si="77"/>
        <v>5.7104187814958074E-3</v>
      </c>
      <c r="HO67">
        <f>VLOOKUP(A67,Лист3!$C$4:$F$149,2,0)</f>
        <v>302</v>
      </c>
      <c r="HP67" s="13">
        <f t="shared" si="78"/>
        <v>3.3222591362125353E-3</v>
      </c>
      <c r="HQ67" s="1">
        <v>275218.11354563938</v>
      </c>
      <c r="HR67" s="13">
        <v>1.0652205623215227E-2</v>
      </c>
      <c r="HS67">
        <v>312</v>
      </c>
      <c r="HT67" s="13">
        <v>3.3112582781456901E-2</v>
      </c>
      <c r="HU67" s="34">
        <v>272169.70865579002</v>
      </c>
      <c r="HV67" s="13">
        <v>-1.1076323613212535E-2</v>
      </c>
      <c r="HW67">
        <v>307</v>
      </c>
      <c r="HX67" s="13">
        <v>-1.602564102564108E-2</v>
      </c>
      <c r="HY67">
        <v>271619.51750335202</v>
      </c>
      <c r="HZ67" s="13">
        <v>-2.0215003174134383E-3</v>
      </c>
      <c r="IA67">
        <v>298</v>
      </c>
      <c r="IB67" s="13">
        <v>-2.931596091205213E-2</v>
      </c>
      <c r="IC67" s="34">
        <v>272579.59520575008</v>
      </c>
      <c r="ID67" s="13">
        <v>3.5346418078598951E-3</v>
      </c>
      <c r="IE67">
        <v>291</v>
      </c>
      <c r="IF67" s="13">
        <v>-2.3489932885906062E-2</v>
      </c>
    </row>
    <row r="68" spans="1:240" x14ac:dyDescent="0.3">
      <c r="A68" s="23" t="s">
        <v>80</v>
      </c>
      <c r="B68" s="22">
        <v>212530.88448188987</v>
      </c>
      <c r="C68">
        <v>254</v>
      </c>
      <c r="D68" s="22">
        <v>215853.87024023433</v>
      </c>
      <c r="E68">
        <v>256</v>
      </c>
      <c r="F68" s="22">
        <v>219742.99035921798</v>
      </c>
      <c r="G68">
        <v>179</v>
      </c>
      <c r="H68" s="22">
        <v>218570.86314451351</v>
      </c>
      <c r="I68">
        <v>184</v>
      </c>
      <c r="J68" s="22">
        <v>218474.21215162834</v>
      </c>
      <c r="K68">
        <v>233</v>
      </c>
      <c r="L68" s="22">
        <v>219204.02203925877</v>
      </c>
      <c r="M68">
        <v>215</v>
      </c>
      <c r="N68" s="22">
        <v>220098.08577399323</v>
      </c>
      <c r="O68" s="28">
        <v>222</v>
      </c>
      <c r="P68" s="35">
        <v>224637.32961784498</v>
      </c>
      <c r="Q68" s="28">
        <v>228</v>
      </c>
      <c r="R68" s="35">
        <v>226905.37859540863</v>
      </c>
      <c r="S68">
        <v>229</v>
      </c>
      <c r="T68" s="46">
        <v>234559.22504517052</v>
      </c>
      <c r="U68" s="47">
        <v>210</v>
      </c>
      <c r="V68" s="56">
        <v>240065.98163559649</v>
      </c>
      <c r="W68" s="47">
        <v>189</v>
      </c>
      <c r="X68" s="56">
        <v>246206.11219126359</v>
      </c>
      <c r="Y68" s="47">
        <v>195</v>
      </c>
      <c r="Z68" s="34">
        <v>238140.2970735461</v>
      </c>
      <c r="AA68" s="81">
        <v>214</v>
      </c>
      <c r="AB68" s="1">
        <v>250474.84155462199</v>
      </c>
      <c r="AC68" s="1">
        <v>236</v>
      </c>
      <c r="AD68" s="1">
        <v>257823.47822962009</v>
      </c>
      <c r="AE68">
        <v>175</v>
      </c>
      <c r="AF68" s="13">
        <f t="shared" si="19"/>
        <v>4.7185530590449387E-2</v>
      </c>
      <c r="AG68" s="85">
        <f t="shared" si="170"/>
        <v>5.1821143026354752E-2</v>
      </c>
      <c r="AH68" s="35">
        <f t="shared" si="171"/>
        <v>20.728457210541901</v>
      </c>
      <c r="AI68" s="87">
        <f t="shared" si="172"/>
        <v>195.7284572105419</v>
      </c>
      <c r="AL68" s="1">
        <v>270894.05985651212</v>
      </c>
      <c r="AM68">
        <v>172</v>
      </c>
      <c r="AN68" s="13">
        <f t="shared" si="173"/>
        <v>4.9396898334290638E-2</v>
      </c>
      <c r="AQ68" s="35">
        <f t="shared" si="174"/>
        <v>12.448018380241241</v>
      </c>
      <c r="AR68" s="87">
        <f t="shared" si="175"/>
        <v>184.44801838024125</v>
      </c>
      <c r="AS68">
        <v>173</v>
      </c>
      <c r="AT68" s="1">
        <v>277267.4176887247</v>
      </c>
      <c r="AU68" s="13">
        <f t="shared" si="176"/>
        <v>2.3527122874486217E-2</v>
      </c>
      <c r="AV68">
        <v>163</v>
      </c>
      <c r="AW68" s="1">
        <v>280596.77216155099</v>
      </c>
      <c r="AX68" s="35">
        <v>173.49782419495213</v>
      </c>
      <c r="AY68" s="121">
        <v>291182.09154543979</v>
      </c>
      <c r="AZ68" s="122">
        <v>195</v>
      </c>
      <c r="BA68" s="119">
        <v>293639.83954268659</v>
      </c>
      <c r="BB68">
        <v>205</v>
      </c>
      <c r="BC68" s="125">
        <f t="shared" si="177"/>
        <v>8.4405877579982747E-3</v>
      </c>
      <c r="BD68">
        <v>222</v>
      </c>
      <c r="BE68" s="1">
        <v>296175.02367332141</v>
      </c>
      <c r="BF68" s="13">
        <f t="shared" si="154"/>
        <v>8.6336518048202304E-3</v>
      </c>
      <c r="BG68">
        <v>223</v>
      </c>
      <c r="BH68" s="1">
        <v>303346.82554709387</v>
      </c>
      <c r="BI68" s="13">
        <f t="shared" si="123"/>
        <v>2.421474229941456E-2</v>
      </c>
      <c r="BJ68">
        <v>223</v>
      </c>
      <c r="BK68" s="1">
        <v>302587.1394540699</v>
      </c>
      <c r="BL68" s="13">
        <f t="shared" si="155"/>
        <v>-2.5043482543581908E-3</v>
      </c>
      <c r="BM68" s="1">
        <v>306238.08266865369</v>
      </c>
      <c r="BN68" s="109">
        <f t="shared" si="156"/>
        <v>1.2065758052939302E-2</v>
      </c>
      <c r="BO68">
        <v>202</v>
      </c>
      <c r="BP68" s="13">
        <f t="shared" si="157"/>
        <v>-9.4170403587443996E-2</v>
      </c>
      <c r="BQ68" s="1">
        <v>310009.91427558602</v>
      </c>
      <c r="BR68" s="13">
        <f t="shared" ref="BR68:BR99" si="178">IFERROR(BQ68/BM68-1,"")</f>
        <v>1.2316664126366783E-2</v>
      </c>
      <c r="BS68">
        <v>230</v>
      </c>
      <c r="BT68" s="13">
        <f t="shared" ref="BT68:BT99" si="179">IFERROR(BS68/BO68-1,"")</f>
        <v>0.13861386138613851</v>
      </c>
      <c r="BU68" s="1">
        <v>317445.5208530887</v>
      </c>
      <c r="BV68" s="13">
        <f t="shared" si="158"/>
        <v>2.3985060590329121E-2</v>
      </c>
      <c r="BW68">
        <v>205</v>
      </c>
      <c r="BX68" s="13">
        <f t="shared" si="159"/>
        <v>-0.10869565217391308</v>
      </c>
      <c r="BY68" s="1">
        <v>316592.91122093191</v>
      </c>
      <c r="BZ68" s="13">
        <f t="shared" si="160"/>
        <v>-2.6858455267081416E-3</v>
      </c>
      <c r="CA68">
        <v>173</v>
      </c>
      <c r="CB68" s="13">
        <f t="shared" si="161"/>
        <v>-0.15609756097560978</v>
      </c>
      <c r="CC68" s="1">
        <v>316108.55936781451</v>
      </c>
      <c r="CD68" s="13">
        <f t="shared" si="162"/>
        <v>-1.5298884970276205E-3</v>
      </c>
      <c r="CE68">
        <v>182</v>
      </c>
      <c r="CF68" s="13">
        <f t="shared" si="163"/>
        <v>5.2023121387283267E-2</v>
      </c>
      <c r="CG68" s="1">
        <v>314343.5274017874</v>
      </c>
      <c r="CH68" s="13">
        <f t="shared" si="164"/>
        <v>-5.5836259845573055E-3</v>
      </c>
      <c r="CI68">
        <v>218</v>
      </c>
      <c r="CJ68" s="13">
        <f t="shared" si="165"/>
        <v>0.19780219780219777</v>
      </c>
      <c r="CK68" s="1">
        <v>309019.28616805468</v>
      </c>
      <c r="CL68" s="13">
        <f t="shared" si="166"/>
        <v>-1.6937651866861581E-2</v>
      </c>
      <c r="CM68">
        <v>256</v>
      </c>
      <c r="CN68" s="13">
        <f t="shared" si="167"/>
        <v>0.17431192660550465</v>
      </c>
      <c r="CO68" s="1">
        <v>308013.05484110641</v>
      </c>
      <c r="CP68" s="13">
        <v>-3.2562088257528377E-3</v>
      </c>
      <c r="CQ68">
        <v>235</v>
      </c>
      <c r="CR68" s="13">
        <v>-8.203125E-2</v>
      </c>
      <c r="CS68" s="1">
        <v>306393.49834173633</v>
      </c>
      <c r="CT68" s="13">
        <f t="shared" si="24"/>
        <v>-5.2580774545597508E-3</v>
      </c>
      <c r="CU68">
        <v>240</v>
      </c>
      <c r="CV68" s="13">
        <f t="shared" si="25"/>
        <v>2.1276595744680771E-2</v>
      </c>
      <c r="CW68" s="1">
        <v>302298.12349345337</v>
      </c>
      <c r="CX68" s="13">
        <f t="shared" si="26"/>
        <v>-1.3366389529960498E-2</v>
      </c>
      <c r="CY68">
        <v>245</v>
      </c>
      <c r="CZ68" s="13">
        <f t="shared" si="27"/>
        <v>2.0833333333333259E-2</v>
      </c>
      <c r="DA68" s="1">
        <v>299840.30600366718</v>
      </c>
      <c r="DB68" s="13">
        <f t="shared" si="28"/>
        <v>-8.1304424300847611E-3</v>
      </c>
      <c r="DC68">
        <v>257</v>
      </c>
      <c r="DD68" s="13">
        <f t="shared" si="29"/>
        <v>4.8979591836734615E-2</v>
      </c>
      <c r="DE68" s="1">
        <v>294603.50798228593</v>
      </c>
      <c r="DF68" s="13">
        <f t="shared" si="30"/>
        <v>-1.7465290411347145E-2</v>
      </c>
      <c r="DG68" s="1">
        <v>243</v>
      </c>
      <c r="DH68" s="13">
        <f t="shared" si="31"/>
        <v>-5.4474708171206254E-2</v>
      </c>
      <c r="DI68" s="1">
        <v>293309.04063836788</v>
      </c>
      <c r="DJ68" s="13">
        <f t="shared" si="32"/>
        <v>-4.3939305162512543E-3</v>
      </c>
      <c r="DK68" s="1">
        <v>258</v>
      </c>
      <c r="DL68" s="13">
        <f t="shared" si="33"/>
        <v>6.1728395061728447E-2</v>
      </c>
      <c r="DM68" s="1">
        <v>294845.00308572408</v>
      </c>
      <c r="DN68" s="13">
        <f t="shared" si="34"/>
        <v>5.236669296020624E-3</v>
      </c>
      <c r="DO68" s="1">
        <v>253</v>
      </c>
      <c r="DP68" s="13">
        <f t="shared" si="35"/>
        <v>-1.9379844961240345E-2</v>
      </c>
      <c r="DQ68" s="1">
        <v>295704.02772161638</v>
      </c>
      <c r="DR68" s="13">
        <f t="shared" si="36"/>
        <v>2.9134786986453332E-3</v>
      </c>
      <c r="DS68">
        <v>270</v>
      </c>
      <c r="DT68" s="13">
        <f t="shared" si="37"/>
        <v>6.7193675889328119E-2</v>
      </c>
      <c r="DU68" s="1">
        <v>298666.07044017309</v>
      </c>
      <c r="DV68" s="13">
        <f t="shared" si="38"/>
        <v>1.0016917055134744E-2</v>
      </c>
      <c r="DW68">
        <v>250</v>
      </c>
      <c r="DX68" s="13">
        <f t="shared" si="39"/>
        <v>-7.407407407407407E-2</v>
      </c>
      <c r="DY68" s="1">
        <v>293324.58775711391</v>
      </c>
      <c r="DZ68" s="13">
        <f t="shared" si="40"/>
        <v>-1.7884464328964178E-2</v>
      </c>
      <c r="EA68" s="1">
        <v>237</v>
      </c>
      <c r="EB68" s="13">
        <f t="shared" si="41"/>
        <v>-5.2000000000000046E-2</v>
      </c>
      <c r="EC68" s="1">
        <v>298110.13164997462</v>
      </c>
      <c r="ED68" s="13">
        <f t="shared" si="42"/>
        <v>1.6314840598440794E-2</v>
      </c>
      <c r="EE68" s="1">
        <f>IFERROR(VLOOKUP($A68,[1]Москва_продажа_районы!$C$2:$F$148,2,0),"")</f>
        <v>219</v>
      </c>
      <c r="EF68" s="13">
        <v>-7.5949367088607556E-2</v>
      </c>
      <c r="EG68" s="1">
        <v>301051.48277330009</v>
      </c>
      <c r="EH68" s="13">
        <f t="shared" si="43"/>
        <v>9.8666593686222992E-3</v>
      </c>
      <c r="EI68" s="1">
        <f>IFERROR(VLOOKUP($A68,[2]Москва_продажа_районы!$C$2:$F$150,2,0),"")</f>
        <v>217</v>
      </c>
      <c r="EJ68" s="13">
        <v>-9.1324200913242004E-3</v>
      </c>
      <c r="EK68" s="1">
        <v>309370.02758717083</v>
      </c>
      <c r="EL68" s="13">
        <f t="shared" si="44"/>
        <v>2.7631635417437295E-2</v>
      </c>
      <c r="EM68">
        <v>223</v>
      </c>
      <c r="EN68" s="13">
        <f t="shared" si="45"/>
        <v>2.7649769585253559E-2</v>
      </c>
      <c r="EO68" s="1">
        <v>320502.97175565938</v>
      </c>
      <c r="EP68" s="13">
        <f t="shared" si="46"/>
        <v>3.5985852460615808E-2</v>
      </c>
      <c r="EQ68">
        <v>202</v>
      </c>
      <c r="ER68" s="13">
        <f t="shared" si="47"/>
        <v>-9.4170403587443996E-2</v>
      </c>
      <c r="ES68" s="183">
        <v>319028.95671864669</v>
      </c>
      <c r="ET68" s="13">
        <f t="shared" si="48"/>
        <v>-4.5990682362110347E-3</v>
      </c>
      <c r="EU68">
        <v>187</v>
      </c>
      <c r="EV68" s="13">
        <f t="shared" si="49"/>
        <v>-7.4257425742574212E-2</v>
      </c>
      <c r="EW68" s="183">
        <v>320026.53871168708</v>
      </c>
      <c r="EX68" s="13">
        <f t="shared" si="50"/>
        <v>3.1269324367950713E-3</v>
      </c>
      <c r="EY68">
        <v>201</v>
      </c>
      <c r="EZ68" s="13">
        <f t="shared" si="51"/>
        <v>7.4866310160427885E-2</v>
      </c>
      <c r="FA68" s="1">
        <v>321321.03139183199</v>
      </c>
      <c r="FB68" s="13">
        <f t="shared" si="52"/>
        <v>4.0449541633518216E-3</v>
      </c>
      <c r="FC68" s="1">
        <v>174</v>
      </c>
      <c r="FD68" s="13">
        <f t="shared" si="53"/>
        <v>-0.13432835820895528</v>
      </c>
      <c r="FE68" s="1">
        <v>329600.29913955898</v>
      </c>
      <c r="FF68" s="13">
        <f t="shared" si="54"/>
        <v>2.5766342501343908E-2</v>
      </c>
      <c r="FG68" s="1">
        <v>189</v>
      </c>
      <c r="FH68" s="13">
        <f t="shared" si="55"/>
        <v>8.6206896551724199E-2</v>
      </c>
      <c r="FI68" s="1">
        <v>335271.79236276267</v>
      </c>
      <c r="FJ68" s="13">
        <f t="shared" si="56"/>
        <v>1.7207184696159228E-2</v>
      </c>
      <c r="FK68" s="1">
        <v>204</v>
      </c>
      <c r="FL68" s="13">
        <f t="shared" si="57"/>
        <v>7.9365079365079305E-2</v>
      </c>
      <c r="FM68" s="1">
        <v>338848.52812920877</v>
      </c>
      <c r="FN68" s="13">
        <f t="shared" si="58"/>
        <v>1.066816788027336E-2</v>
      </c>
      <c r="FO68" s="1">
        <v>194</v>
      </c>
      <c r="FP68" s="13">
        <f t="shared" si="59"/>
        <v>-4.9019607843137303E-2</v>
      </c>
      <c r="FQ68" s="1">
        <v>329099.89304500149</v>
      </c>
      <c r="FR68" s="13">
        <f t="shared" si="60"/>
        <v>-2.8769890599878778E-2</v>
      </c>
      <c r="FS68">
        <v>181</v>
      </c>
      <c r="FT68" s="13">
        <f t="shared" si="61"/>
        <v>-6.7010309278350499E-2</v>
      </c>
      <c r="FU68" s="1">
        <v>334622.99333817611</v>
      </c>
      <c r="FV68" s="13">
        <f t="shared" si="62"/>
        <v>1.6782443294259597E-2</v>
      </c>
      <c r="FW68" s="1">
        <v>187</v>
      </c>
      <c r="FX68" s="13">
        <f t="shared" si="63"/>
        <v>3.3149171270718147E-2</v>
      </c>
      <c r="FY68" s="1">
        <v>337544.89863637992</v>
      </c>
      <c r="FZ68" s="13">
        <f t="shared" si="64"/>
        <v>8.7319322233510022E-3</v>
      </c>
      <c r="GA68" s="1">
        <v>211</v>
      </c>
      <c r="GB68" s="13">
        <f t="shared" si="65"/>
        <v>0.12834224598930488</v>
      </c>
      <c r="GC68" s="1">
        <v>337853.09051074932</v>
      </c>
      <c r="GD68" s="13">
        <f t="shared" si="66"/>
        <v>9.1303964484268363E-4</v>
      </c>
      <c r="GE68" s="1">
        <v>191</v>
      </c>
      <c r="GF68" s="13">
        <f t="shared" si="67"/>
        <v>-9.4786729857819885E-2</v>
      </c>
      <c r="GG68" s="1">
        <f>IFERROR(VLOOKUP(A68,[3]Москва_продажа_районы!$C$2:$F$149,3,0),"")</f>
        <v>337286.2161858012</v>
      </c>
      <c r="GH68" s="13">
        <v>-1.6778722494180665E-3</v>
      </c>
      <c r="GI68" s="1">
        <v>188</v>
      </c>
      <c r="GJ68" s="13">
        <f t="shared" si="68"/>
        <v>-1.5706806282722474E-2</v>
      </c>
      <c r="GK68" s="1">
        <v>334436.09168849862</v>
      </c>
      <c r="GL68" s="13">
        <f t="shared" si="69"/>
        <v>-8.4501659437292709E-3</v>
      </c>
      <c r="GM68" s="1">
        <v>195</v>
      </c>
      <c r="GN68" s="13">
        <f t="shared" si="70"/>
        <v>3.7234042553191404E-2</v>
      </c>
      <c r="GO68" s="1">
        <v>334239.46226647077</v>
      </c>
      <c r="GP68" s="13">
        <f t="shared" si="71"/>
        <v>-5.8794318829380465E-4</v>
      </c>
      <c r="GQ68" s="1">
        <v>203.30000000000004</v>
      </c>
      <c r="GR68" s="13">
        <f t="shared" si="72"/>
        <v>4.2564102564102813E-2</v>
      </c>
      <c r="GS68" s="1">
        <v>326088.12719982577</v>
      </c>
      <c r="GT68" s="13">
        <f t="shared" si="168"/>
        <v>-2.438770997108175E-2</v>
      </c>
      <c r="GU68">
        <v>194</v>
      </c>
      <c r="GV68" s="13">
        <f t="shared" si="169"/>
        <v>-4.5745204131825035E-2</v>
      </c>
      <c r="GW68">
        <v>330419.64992496377</v>
      </c>
      <c r="GX68" s="13">
        <f t="shared" si="73"/>
        <v>1.3283288669027948E-2</v>
      </c>
      <c r="GY68">
        <v>170</v>
      </c>
      <c r="GZ68" s="13">
        <f t="shared" si="74"/>
        <v>-0.12371134020618557</v>
      </c>
      <c r="HA68">
        <v>337213.91581621912</v>
      </c>
      <c r="HB68" s="13">
        <v>2.0562535832231221E-2</v>
      </c>
      <c r="HC68">
        <v>139</v>
      </c>
      <c r="HD68" s="13">
        <v>-0.18235294117647061</v>
      </c>
      <c r="HE68">
        <v>346238.1149086685</v>
      </c>
      <c r="HF68" s="13">
        <v>2.6761051870016983E-2</v>
      </c>
      <c r="HG68">
        <v>137</v>
      </c>
      <c r="HH68" s="13">
        <v>-1.4388489208633115E-2</v>
      </c>
      <c r="HI68">
        <f>VLOOKUP(A68,[4]Москва_продажа_районы!$C$4:$F$151,3,0)</f>
        <v>347186.46338148788</v>
      </c>
      <c r="HJ68" s="13">
        <f t="shared" si="75"/>
        <v>2.7390065737549207E-3</v>
      </c>
      <c r="HK68">
        <f>VLOOKUP(A68,[4]Москва_продажа_районы!$C$4:$F$151,2,0)</f>
        <v>135</v>
      </c>
      <c r="HL68" s="13">
        <f t="shared" si="76"/>
        <v>-1.4598540145985384E-2</v>
      </c>
      <c r="HM68" s="1">
        <f>VLOOKUP(A68,Лист3!$C$4:$F$149,3,0)</f>
        <v>360276.17222062987</v>
      </c>
      <c r="HN68" s="13">
        <f t="shared" si="77"/>
        <v>3.7702244239744553E-2</v>
      </c>
      <c r="HO68">
        <f>VLOOKUP(A68,Лист3!$C$4:$F$149,2,0)</f>
        <v>139</v>
      </c>
      <c r="HP68" s="13">
        <f t="shared" si="78"/>
        <v>2.9629629629629672E-2</v>
      </c>
      <c r="HQ68" s="1">
        <v>362071.50498732273</v>
      </c>
      <c r="HR68" s="13">
        <v>4.9832126161077905E-3</v>
      </c>
      <c r="HS68">
        <v>158</v>
      </c>
      <c r="HT68" s="13">
        <v>0.13669064748201443</v>
      </c>
      <c r="HU68" s="34">
        <v>360873.77255796542</v>
      </c>
      <c r="HV68" s="13">
        <v>-3.3079996985657667E-3</v>
      </c>
      <c r="HW68">
        <v>157</v>
      </c>
      <c r="HX68" s="13">
        <v>-6.3291139240506666E-3</v>
      </c>
      <c r="HY68">
        <v>369454.25310322951</v>
      </c>
      <c r="HZ68" s="13">
        <v>2.3776958032841966E-2</v>
      </c>
      <c r="IA68">
        <v>166</v>
      </c>
      <c r="IB68" s="13">
        <v>5.7324840764331197E-2</v>
      </c>
      <c r="IC68" s="34">
        <v>363016.95575279009</v>
      </c>
      <c r="ID68" s="13">
        <v>-1.742380090733664E-2</v>
      </c>
      <c r="IE68">
        <v>180</v>
      </c>
      <c r="IF68" s="13">
        <v>8.43373493975903E-2</v>
      </c>
    </row>
    <row r="69" spans="1:240" x14ac:dyDescent="0.3">
      <c r="A69" s="23" t="s">
        <v>81</v>
      </c>
      <c r="B69" s="22">
        <v>181838.98328228918</v>
      </c>
      <c r="C69">
        <v>249</v>
      </c>
      <c r="D69" s="22">
        <v>185904.7784596018</v>
      </c>
      <c r="E69">
        <v>226</v>
      </c>
      <c r="F69" s="22">
        <v>187100.73326626592</v>
      </c>
      <c r="G69">
        <v>158</v>
      </c>
      <c r="H69" s="22">
        <v>187283.99853742137</v>
      </c>
      <c r="I69">
        <v>165</v>
      </c>
      <c r="J69" s="22">
        <v>198677.78878954519</v>
      </c>
      <c r="K69">
        <v>216</v>
      </c>
      <c r="L69" s="22">
        <v>197514.74437602458</v>
      </c>
      <c r="M69">
        <v>221</v>
      </c>
      <c r="N69" s="22">
        <v>190777.95691468479</v>
      </c>
      <c r="O69" s="28">
        <v>214</v>
      </c>
      <c r="P69" s="35">
        <v>198224.29599098064</v>
      </c>
      <c r="Q69" s="28">
        <v>197</v>
      </c>
      <c r="R69" s="35">
        <v>205508.19924125384</v>
      </c>
      <c r="S69">
        <v>165</v>
      </c>
      <c r="T69" s="46">
        <v>210957.18315398076</v>
      </c>
      <c r="U69" s="47">
        <v>134</v>
      </c>
      <c r="V69" s="56">
        <v>217243.14184116179</v>
      </c>
      <c r="W69" s="47">
        <v>132</v>
      </c>
      <c r="X69" s="56">
        <v>214475.8610928604</v>
      </c>
      <c r="Y69" s="47">
        <v>117</v>
      </c>
      <c r="Z69" s="34">
        <v>202610.89911923342</v>
      </c>
      <c r="AA69" s="81">
        <v>136</v>
      </c>
      <c r="AB69" s="1">
        <v>216423.90125095699</v>
      </c>
      <c r="AC69" s="1">
        <v>147</v>
      </c>
      <c r="AD69" s="1">
        <v>231977.99112038681</v>
      </c>
      <c r="AE69">
        <v>116</v>
      </c>
      <c r="AF69" s="13">
        <f t="shared" ref="AF69:AF132" si="180">AD69/X69-1</f>
        <v>8.1604195168371918E-2</v>
      </c>
      <c r="AG69" s="85">
        <f t="shared" si="170"/>
        <v>3.4350014806040864E-2</v>
      </c>
      <c r="AH69" s="35">
        <f t="shared" si="171"/>
        <v>13.740005922416346</v>
      </c>
      <c r="AI69" s="87">
        <f t="shared" si="172"/>
        <v>129.74000592241634</v>
      </c>
      <c r="AL69" s="1">
        <v>235282.48488769209</v>
      </c>
      <c r="AM69">
        <v>124</v>
      </c>
      <c r="AN69" s="13">
        <f t="shared" si="173"/>
        <v>3.5611717403790925E-2</v>
      </c>
      <c r="AQ69" s="35">
        <f t="shared" si="174"/>
        <v>8.9741527857553134</v>
      </c>
      <c r="AR69" s="87">
        <f t="shared" si="175"/>
        <v>132.97415278575531</v>
      </c>
      <c r="AS69">
        <v>135</v>
      </c>
      <c r="AT69" s="1">
        <v>237241.9689225246</v>
      </c>
      <c r="AU69" s="13">
        <f t="shared" si="176"/>
        <v>8.3282188887447983E-3</v>
      </c>
      <c r="AV69">
        <v>127</v>
      </c>
      <c r="AW69" s="1">
        <v>236383.04835778399</v>
      </c>
      <c r="AX69" s="35">
        <v>135.17928633594431</v>
      </c>
      <c r="AY69" s="121">
        <v>237437.43161529541</v>
      </c>
      <c r="AZ69" s="122">
        <v>156</v>
      </c>
      <c r="BA69" s="119">
        <v>241029.51446384101</v>
      </c>
      <c r="BB69">
        <v>154</v>
      </c>
      <c r="BC69" s="125">
        <f t="shared" si="177"/>
        <v>1.5128544914374098E-2</v>
      </c>
      <c r="BD69">
        <v>177</v>
      </c>
      <c r="BE69" s="1">
        <v>240497.52029785019</v>
      </c>
      <c r="BF69" s="13">
        <f t="shared" si="154"/>
        <v>-2.2071743668995447E-3</v>
      </c>
      <c r="BG69">
        <v>149</v>
      </c>
      <c r="BH69" s="1">
        <v>246545.20613105921</v>
      </c>
      <c r="BI69" s="13">
        <f t="shared" si="123"/>
        <v>2.5146562117227322E-2</v>
      </c>
      <c r="BJ69">
        <v>129</v>
      </c>
      <c r="BK69" s="1">
        <v>250811.3010092671</v>
      </c>
      <c r="BL69" s="13">
        <f t="shared" si="155"/>
        <v>1.7303499610290984E-2</v>
      </c>
      <c r="BM69" s="1">
        <v>259860.3436817789</v>
      </c>
      <c r="BN69" s="109">
        <f t="shared" si="156"/>
        <v>3.6079086692259787E-2</v>
      </c>
      <c r="BO69">
        <v>115</v>
      </c>
      <c r="BP69" s="13">
        <f t="shared" si="157"/>
        <v>-0.10852713178294571</v>
      </c>
      <c r="BQ69" s="1">
        <v>267304.00546945381</v>
      </c>
      <c r="BR69" s="13">
        <f t="shared" si="178"/>
        <v>2.8644854702379208E-2</v>
      </c>
      <c r="BS69">
        <v>124</v>
      </c>
      <c r="BT69" s="13">
        <f t="shared" si="179"/>
        <v>7.8260869565217384E-2</v>
      </c>
      <c r="BU69" s="1">
        <v>265157.83424750419</v>
      </c>
      <c r="BV69" s="13">
        <f t="shared" si="158"/>
        <v>-8.0289527206313105E-3</v>
      </c>
      <c r="BW69">
        <v>133</v>
      </c>
      <c r="BX69" s="13">
        <f t="shared" si="159"/>
        <v>7.2580645161290258E-2</v>
      </c>
      <c r="BY69" s="1">
        <v>265721.5988679633</v>
      </c>
      <c r="BZ69" s="13">
        <f t="shared" si="160"/>
        <v>2.1261473267761843E-3</v>
      </c>
      <c r="CA69">
        <v>131</v>
      </c>
      <c r="CB69" s="13">
        <f t="shared" si="161"/>
        <v>-1.5037593984962405E-2</v>
      </c>
      <c r="CC69" s="1">
        <v>270984.59135532117</v>
      </c>
      <c r="CD69" s="13">
        <f t="shared" si="162"/>
        <v>1.9806415849443315E-2</v>
      </c>
      <c r="CE69">
        <v>146</v>
      </c>
      <c r="CF69" s="13">
        <f t="shared" si="163"/>
        <v>0.11450381679389321</v>
      </c>
      <c r="CG69" s="1">
        <v>273111.27909886249</v>
      </c>
      <c r="CH69" s="13">
        <f t="shared" si="164"/>
        <v>7.8480024746232502E-3</v>
      </c>
      <c r="CI69">
        <v>172</v>
      </c>
      <c r="CJ69" s="13">
        <f t="shared" si="165"/>
        <v>0.17808219178082196</v>
      </c>
      <c r="CK69" s="1">
        <v>266493.23619988753</v>
      </c>
      <c r="CL69" s="13">
        <f t="shared" si="166"/>
        <v>-2.423203802058771E-2</v>
      </c>
      <c r="CM69">
        <v>162</v>
      </c>
      <c r="CN69" s="13">
        <f t="shared" si="167"/>
        <v>-5.8139534883720922E-2</v>
      </c>
      <c r="CO69" s="1">
        <v>260491.29654984901</v>
      </c>
      <c r="CP69" s="13">
        <v>-2.252192114000473E-2</v>
      </c>
      <c r="CQ69">
        <v>154</v>
      </c>
      <c r="CR69" s="13">
        <v>-4.9382716049382713E-2</v>
      </c>
      <c r="CS69" s="1">
        <v>257877.20232278979</v>
      </c>
      <c r="CT69" s="13">
        <f t="shared" ref="CT69:CT132" si="181">IFERROR(CS69/CO69-1,"")</f>
        <v>-1.003524594365468E-2</v>
      </c>
      <c r="CU69">
        <v>181</v>
      </c>
      <c r="CV69" s="13">
        <f t="shared" ref="CV69:CV132" si="182">IFERROR(CU69/CQ69-1,"")</f>
        <v>0.17532467532467533</v>
      </c>
      <c r="CW69" s="1">
        <v>254680.19244162869</v>
      </c>
      <c r="CX69" s="13">
        <f t="shared" ref="CX69:CX132" si="183">IFERROR(CW69/CS69-1,"")</f>
        <v>-1.2397411839295991E-2</v>
      </c>
      <c r="CY69">
        <v>185</v>
      </c>
      <c r="CZ69" s="13">
        <f t="shared" ref="CZ69:CZ132" si="184">IFERROR(CY69/CU69-1,"")</f>
        <v>2.2099447513812098E-2</v>
      </c>
      <c r="DA69" s="1">
        <v>253786.06985072891</v>
      </c>
      <c r="DB69" s="13">
        <f t="shared" ref="DB69:DB132" si="185">IFERROR(DA69/CW69-1,"")</f>
        <v>-3.5107661193742867E-3</v>
      </c>
      <c r="DC69">
        <v>198</v>
      </c>
      <c r="DD69" s="13">
        <f t="shared" ref="DD69:DD132" si="186">IFERROR(DC69/CY69-1,"")</f>
        <v>7.0270270270270219E-2</v>
      </c>
      <c r="DE69" s="1">
        <v>250305.47924313971</v>
      </c>
      <c r="DF69" s="13">
        <f t="shared" ref="DF69:DF132" si="187">IFERROR(DE69/DA69-1,"")</f>
        <v>-1.3714663730899024E-2</v>
      </c>
      <c r="DG69" s="1">
        <v>196</v>
      </c>
      <c r="DH69" s="13">
        <f t="shared" ref="DH69:DH132" si="188">IFERROR(DG69/DC69-1,"")</f>
        <v>-1.0101010101010055E-2</v>
      </c>
      <c r="DI69" s="1">
        <v>252869.33593993381</v>
      </c>
      <c r="DJ69" s="13">
        <f t="shared" ref="DJ69:DJ132" si="189">IFERROR(DI69/DE69-1,"")</f>
        <v>1.0242910800620786E-2</v>
      </c>
      <c r="DK69" s="1">
        <v>175</v>
      </c>
      <c r="DL69" s="13">
        <f t="shared" ref="DL69:DL132" si="190">IFERROR(DK69/DG69-1,"")</f>
        <v>-0.1071428571428571</v>
      </c>
      <c r="DM69" s="1">
        <v>248158.70661729071</v>
      </c>
      <c r="DN69" s="13">
        <f t="shared" ref="DN69:DN132" si="191">IFERROR(DM69/DI69-1,"")</f>
        <v>-1.8628709191382709E-2</v>
      </c>
      <c r="DO69" s="1">
        <v>179</v>
      </c>
      <c r="DP69" s="13">
        <f t="shared" ref="DP69:DP132" si="192">IFERROR(DO69/DK69-1,"")</f>
        <v>2.2857142857142909E-2</v>
      </c>
      <c r="DQ69" s="1">
        <v>246560.06390943169</v>
      </c>
      <c r="DR69" s="13">
        <f t="shared" ref="DR69:DR132" si="193">IFERROR(DQ69/DM69-1,"")</f>
        <v>-6.4420174075312531E-3</v>
      </c>
      <c r="DS69">
        <v>196</v>
      </c>
      <c r="DT69" s="13">
        <f t="shared" ref="DT69:DT132" si="194">IFERROR(DS69/DO69-1,"")</f>
        <v>9.4972067039106101E-2</v>
      </c>
      <c r="DU69" s="1">
        <v>244083.30344574561</v>
      </c>
      <c r="DV69" s="13">
        <f t="shared" ref="DV69:DV132" si="195">IFERROR(DU69/DQ69-1,"")</f>
        <v>-1.0045262093198781E-2</v>
      </c>
      <c r="DW69">
        <v>192</v>
      </c>
      <c r="DX69" s="13">
        <f t="shared" ref="DX69:DX132" si="196">IFERROR(DW69/DS69-1,"")</f>
        <v>-2.0408163265306145E-2</v>
      </c>
      <c r="DY69" s="1">
        <v>252481.63556122751</v>
      </c>
      <c r="DZ69" s="13">
        <f t="shared" ref="DZ69:DZ132" si="197">IFERROR(DY69/DU69-1,"")</f>
        <v>3.440764688498521E-2</v>
      </c>
      <c r="EA69" s="1">
        <v>185</v>
      </c>
      <c r="EB69" s="13">
        <f t="shared" ref="EB69:EB132" si="198">IFERROR(EA69/DW69-1,"")</f>
        <v>-3.645833333333337E-2</v>
      </c>
      <c r="EC69" s="1">
        <v>256226.5849596411</v>
      </c>
      <c r="ED69" s="13">
        <f t="shared" ref="ED69:ED132" si="199">IFERROR(EC69/DY69-1,"")</f>
        <v>1.4832561544878997E-2</v>
      </c>
      <c r="EE69" s="1">
        <f>IFERROR(VLOOKUP($A69,[1]Москва_продажа_районы!$C$2:$F$148,2,0),"")</f>
        <v>176</v>
      </c>
      <c r="EF69" s="13">
        <v>-4.8648648648648596E-2</v>
      </c>
      <c r="EG69" s="1">
        <v>257396.70516851329</v>
      </c>
      <c r="EH69" s="13">
        <f t="shared" ref="EH69:EH132" si="200">IFERROR(EG69/EC69-1,"")</f>
        <v>4.5667400557070081E-3</v>
      </c>
      <c r="EI69" s="1">
        <f>IFERROR(VLOOKUP($A69,[2]Москва_продажа_районы!$C$2:$F$150,2,0),"")</f>
        <v>163</v>
      </c>
      <c r="EJ69" s="13">
        <v>-7.3863636363636354E-2</v>
      </c>
      <c r="EK69" s="1">
        <v>262012.82463961089</v>
      </c>
      <c r="EL69" s="13">
        <f t="shared" ref="EL69:EL132" si="201">IFERROR(EK69/EG69-1,"")</f>
        <v>1.7933871640180898E-2</v>
      </c>
      <c r="EM69">
        <v>144</v>
      </c>
      <c r="EN69" s="13">
        <f t="shared" ref="EN69:EN132" si="202">IFERROR(EM69/EI69-1,"")</f>
        <v>-0.1165644171779141</v>
      </c>
      <c r="EO69" s="1">
        <v>270694.67727500078</v>
      </c>
      <c r="EP69" s="13">
        <f t="shared" ref="EP69:EP132" si="203">IFERROR(EO69/EK69-1,"")</f>
        <v>3.3135220183712288E-2</v>
      </c>
      <c r="EQ69">
        <v>131</v>
      </c>
      <c r="ER69" s="13">
        <f t="shared" ref="ER69:ER132" si="204">IFERROR(EQ69/EM69-1,"")</f>
        <v>-9.027777777777779E-2</v>
      </c>
      <c r="ES69" s="183">
        <v>277008.70163342019</v>
      </c>
      <c r="ET69" s="13">
        <f t="shared" ref="ET69:ET132" si="205">IFERROR(ES69/EO69-1,"")</f>
        <v>2.33252623286897E-2</v>
      </c>
      <c r="EU69">
        <v>122</v>
      </c>
      <c r="EV69" s="13">
        <f t="shared" ref="EV69:EV132" si="206">IFERROR(EU69/EQ69-1,"")</f>
        <v>-6.8702290076335881E-2</v>
      </c>
      <c r="EW69" s="183">
        <v>272503.20763667312</v>
      </c>
      <c r="EX69" s="13">
        <f t="shared" ref="EX69:EX132" si="207">IFERROR(EW69/ES69-1,"")</f>
        <v>-1.626481034776095E-2</v>
      </c>
      <c r="EY69">
        <v>141</v>
      </c>
      <c r="EZ69" s="13">
        <f t="shared" ref="EZ69:EZ132" si="208">IFERROR(EY69/EU69-1,"")</f>
        <v>0.15573770491803285</v>
      </c>
      <c r="FA69" s="1">
        <v>274274.44364320568</v>
      </c>
      <c r="FB69" s="13">
        <f t="shared" ref="FB69:FB132" si="209">IFERROR(FA69/EW69-1,"")</f>
        <v>6.4998721368965118E-3</v>
      </c>
      <c r="FC69" s="1">
        <v>140</v>
      </c>
      <c r="FD69" s="13">
        <f t="shared" ref="FD69:FD132" si="210">IFERROR(FC69/EY69-1,"")</f>
        <v>-7.0921985815602939E-3</v>
      </c>
      <c r="FE69" s="1">
        <v>277355.34684965038</v>
      </c>
      <c r="FF69" s="13">
        <f t="shared" ref="FF69:FF132" si="211">IFERROR(FE69/FA69-1,"")</f>
        <v>1.1232921177492416E-2</v>
      </c>
      <c r="FG69" s="1">
        <v>147</v>
      </c>
      <c r="FH69" s="13">
        <f t="shared" ref="FH69:FH132" si="212">IFERROR(FG69/FC69-1,"")</f>
        <v>5.0000000000000044E-2</v>
      </c>
      <c r="FI69" s="1">
        <v>279366.62250299839</v>
      </c>
      <c r="FJ69" s="13">
        <f t="shared" ref="FJ69:FJ132" si="213">IFERROR(FI69/FE69-1,"")</f>
        <v>7.2516202632946225E-3</v>
      </c>
      <c r="FK69" s="1">
        <v>160</v>
      </c>
      <c r="FL69" s="13">
        <f t="shared" ref="FL69:FL132" si="214">IFERROR(FK69/FG69-1,"")</f>
        <v>8.8435374149659962E-2</v>
      </c>
      <c r="FM69" s="1">
        <v>281494.83319304051</v>
      </c>
      <c r="FN69" s="13">
        <f t="shared" ref="FN69:FN132" si="215">IFERROR(FM69/FI69-1,"")</f>
        <v>7.617984822146262E-3</v>
      </c>
      <c r="FO69" s="1">
        <v>157</v>
      </c>
      <c r="FP69" s="13">
        <f t="shared" ref="FP69:FP132" si="216">IFERROR(FO69/FK69-1,"")</f>
        <v>-1.8750000000000044E-2</v>
      </c>
      <c r="FQ69" s="1">
        <v>274238.70099382312</v>
      </c>
      <c r="FR69" s="13">
        <f t="shared" ref="FR69:FR132" si="217">IFERROR(FQ69/FM69-1,"")</f>
        <v>-2.5777141686438521E-2</v>
      </c>
      <c r="FS69">
        <v>170</v>
      </c>
      <c r="FT69" s="13">
        <f t="shared" ref="FT69:FT132" si="218">IFERROR(FS69/FO69-1,"")</f>
        <v>8.2802547770700619E-2</v>
      </c>
      <c r="FU69" s="1">
        <v>273813.55511288007</v>
      </c>
      <c r="FV69" s="13">
        <f t="shared" ref="FV69:FV132" si="219">IFERROR(FU69/FQ69-1,"")</f>
        <v>-1.550276745777901E-3</v>
      </c>
      <c r="FW69" s="1">
        <v>178</v>
      </c>
      <c r="FX69" s="13">
        <f t="shared" ref="FX69:FX132" si="220">IFERROR(FW69/FS69-1,"")</f>
        <v>4.705882352941182E-2</v>
      </c>
      <c r="FY69" s="1">
        <v>274147.95587580069</v>
      </c>
      <c r="FZ69" s="13">
        <f t="shared" ref="FZ69:FZ132" si="221">IFERROR(FY69/FU69-1,"")</f>
        <v>1.2212717620307956E-3</v>
      </c>
      <c r="GA69" s="1">
        <v>184</v>
      </c>
      <c r="GB69" s="13">
        <f t="shared" ref="GB69:GB132" si="222">IFERROR(GA69/FW69-1,"")</f>
        <v>3.3707865168539408E-2</v>
      </c>
      <c r="GC69" s="1">
        <v>275734.01981692022</v>
      </c>
      <c r="GD69" s="13">
        <f t="shared" ref="GD69:GD132" si="223">IFERROR(GC69/FY69-1,"")</f>
        <v>5.7854304842530624E-3</v>
      </c>
      <c r="GE69" s="1">
        <v>186</v>
      </c>
      <c r="GF69" s="13">
        <f t="shared" ref="GF69:GF132" si="224">IFERROR(GE69/GA69-1,"")</f>
        <v>1.0869565217391353E-2</v>
      </c>
      <c r="GG69" s="1">
        <f>IFERROR(VLOOKUP(A69,[3]Москва_продажа_районы!$C$2:$F$149,3,0),"")</f>
        <v>277938.12896408222</v>
      </c>
      <c r="GH69" s="13">
        <v>7.9936061158700777E-3</v>
      </c>
      <c r="GI69" s="1">
        <v>192</v>
      </c>
      <c r="GJ69" s="13">
        <f t="shared" ref="GJ69:GJ132" si="225">IFERROR(GI69/GE69-1,"")</f>
        <v>3.2258064516129004E-2</v>
      </c>
      <c r="GK69" s="1">
        <v>277393.13221663702</v>
      </c>
      <c r="GL69" s="13">
        <f t="shared" ref="GL69:GL132" si="226">IFERROR(GK69/GG69-1,"")</f>
        <v>-1.9608563584869731E-3</v>
      </c>
      <c r="GM69" s="1">
        <v>208</v>
      </c>
      <c r="GN69" s="13">
        <f t="shared" ref="GN69:GN132" si="227">IFERROR(GM69/GI69-1,"")</f>
        <v>8.3333333333333259E-2</v>
      </c>
      <c r="GO69" s="1">
        <v>277079.31770142249</v>
      </c>
      <c r="GP69" s="13">
        <f t="shared" ref="GP69:GP132" si="228">IFERROR(GO69/GK69-1,"")</f>
        <v>-1.1312987913826289E-3</v>
      </c>
      <c r="GQ69" s="1">
        <v>199.02</v>
      </c>
      <c r="GR69" s="13">
        <f t="shared" ref="GR69:GR132" si="229">IFERROR(GQ69/GM69-1,"")</f>
        <v>-4.3173076923076925E-2</v>
      </c>
      <c r="GS69" s="1">
        <v>278199.87073426862</v>
      </c>
      <c r="GT69" s="13">
        <f t="shared" si="168"/>
        <v>4.0441597811844421E-3</v>
      </c>
      <c r="GU69">
        <v>174</v>
      </c>
      <c r="GV69" s="13">
        <f t="shared" si="169"/>
        <v>-0.12571600844136277</v>
      </c>
      <c r="GW69">
        <v>280461.2468347543</v>
      </c>
      <c r="GX69" s="13">
        <f t="shared" ref="GX69:GX132" si="230">GW69/GS69-1</f>
        <v>8.128602268998586E-3</v>
      </c>
      <c r="GY69">
        <v>164</v>
      </c>
      <c r="GZ69" s="13">
        <f t="shared" ref="GZ69:GZ132" si="231">GY69/GU69-1</f>
        <v>-5.7471264367816133E-2</v>
      </c>
      <c r="HA69">
        <v>283690.79945429612</v>
      </c>
      <c r="HB69" s="13">
        <v>1.1515147479340238E-2</v>
      </c>
      <c r="HC69">
        <v>131</v>
      </c>
      <c r="HD69" s="13">
        <v>-0.20121951219512191</v>
      </c>
      <c r="HE69">
        <v>285760.70534317842</v>
      </c>
      <c r="HF69" s="13">
        <v>7.2963447981533314E-3</v>
      </c>
      <c r="HG69">
        <v>144</v>
      </c>
      <c r="HH69" s="13">
        <v>9.92366412213741E-2</v>
      </c>
      <c r="HI69">
        <f>VLOOKUP(A69,[4]Москва_продажа_районы!$C$4:$F$151,3,0)</f>
        <v>288179.4881365319</v>
      </c>
      <c r="HJ69" s="13">
        <f t="shared" ref="HJ69:HJ132" si="232">HI69/HE69-1</f>
        <v>8.4643645824176161E-3</v>
      </c>
      <c r="HK69">
        <f>VLOOKUP(A69,[4]Москва_продажа_районы!$C$4:$F$151,2,0)</f>
        <v>146</v>
      </c>
      <c r="HL69" s="13">
        <f t="shared" ref="HL69:HL132" si="233">HK69/HG69-1</f>
        <v>1.388888888888884E-2</v>
      </c>
      <c r="HM69" s="1">
        <f>VLOOKUP(A69,Лист3!$C$4:$F$149,3,0)</f>
        <v>284930.91111353098</v>
      </c>
      <c r="HN69" s="13">
        <f t="shared" ref="HN69:HN132" si="234">HM69/HI69-1</f>
        <v>-1.1272755892542285E-2</v>
      </c>
      <c r="HO69">
        <f>VLOOKUP(A69,Лист3!$C$4:$F$149,2,0)</f>
        <v>152</v>
      </c>
      <c r="HP69" s="13">
        <f t="shared" ref="HP69:HP132" si="235">HO69/HK69-1</f>
        <v>4.1095890410958846E-2</v>
      </c>
      <c r="HQ69" s="1">
        <v>284554.29377785831</v>
      </c>
      <c r="HR69" s="13">
        <v>-1.3217847589818144E-3</v>
      </c>
      <c r="HS69">
        <v>164</v>
      </c>
      <c r="HT69" s="13">
        <v>7.8947368421052655E-2</v>
      </c>
      <c r="HU69" s="34">
        <v>281575.92043193628</v>
      </c>
      <c r="HV69" s="13">
        <v>-1.0466801629945399E-2</v>
      </c>
      <c r="HW69">
        <v>159</v>
      </c>
      <c r="HX69" s="13">
        <v>-3.0487804878048808E-2</v>
      </c>
      <c r="HY69">
        <v>280317.68242652132</v>
      </c>
      <c r="HZ69" s="13">
        <v>-4.4685568406731546E-3</v>
      </c>
      <c r="IA69">
        <v>135</v>
      </c>
      <c r="IB69" s="13">
        <v>-0.15094339622641506</v>
      </c>
      <c r="IC69" s="34">
        <v>287180.40157012438</v>
      </c>
      <c r="ID69" s="13">
        <v>2.4481934511576764E-2</v>
      </c>
      <c r="IE69">
        <v>134</v>
      </c>
      <c r="IF69" s="13">
        <v>-7.4074074074074181E-3</v>
      </c>
    </row>
    <row r="70" spans="1:240" x14ac:dyDescent="0.3">
      <c r="A70" s="23" t="s">
        <v>82</v>
      </c>
      <c r="B70" s="22">
        <v>177749.23149189862</v>
      </c>
      <c r="C70">
        <v>316</v>
      </c>
      <c r="D70" s="22">
        <v>181126.38228172416</v>
      </c>
      <c r="E70">
        <v>290</v>
      </c>
      <c r="F70" s="22">
        <v>183311.82822580647</v>
      </c>
      <c r="G70">
        <v>217</v>
      </c>
      <c r="H70" s="22">
        <v>183411.78549784678</v>
      </c>
      <c r="I70">
        <v>221</v>
      </c>
      <c r="J70" s="22">
        <v>182171.71024166446</v>
      </c>
      <c r="K70">
        <v>272</v>
      </c>
      <c r="L70" s="22">
        <v>180972.87781873299</v>
      </c>
      <c r="M70">
        <v>267</v>
      </c>
      <c r="N70" s="22">
        <v>184790.33417983563</v>
      </c>
      <c r="O70" s="28">
        <v>270</v>
      </c>
      <c r="P70" s="35">
        <v>189317.06634567925</v>
      </c>
      <c r="Q70" s="28">
        <v>277</v>
      </c>
      <c r="R70" s="35">
        <v>194465.16173590551</v>
      </c>
      <c r="S70">
        <v>278</v>
      </c>
      <c r="T70" s="46">
        <v>197710.59970825771</v>
      </c>
      <c r="U70" s="47">
        <v>274</v>
      </c>
      <c r="V70" s="56">
        <v>200071.26578324681</v>
      </c>
      <c r="W70" s="47">
        <v>276</v>
      </c>
      <c r="X70" s="56">
        <v>206845.32683874079</v>
      </c>
      <c r="Y70" s="47">
        <v>215</v>
      </c>
      <c r="Z70" s="34">
        <v>205301.45441692919</v>
      </c>
      <c r="AA70" s="81">
        <v>261</v>
      </c>
      <c r="AB70" s="1">
        <v>211951.71574164141</v>
      </c>
      <c r="AC70" s="1">
        <v>282</v>
      </c>
      <c r="AD70" s="1">
        <v>223973.4777364909</v>
      </c>
      <c r="AE70">
        <v>248</v>
      </c>
      <c r="AF70" s="13">
        <f t="shared" si="180"/>
        <v>8.280656449687851E-2</v>
      </c>
      <c r="AG70" s="85">
        <f t="shared" si="170"/>
        <v>7.3437962688777017E-2</v>
      </c>
      <c r="AH70" s="35">
        <f t="shared" si="171"/>
        <v>29.375185075510807</v>
      </c>
      <c r="AI70" s="87">
        <f t="shared" si="172"/>
        <v>277.37518507551079</v>
      </c>
      <c r="AL70" s="1">
        <v>223696.17415695041</v>
      </c>
      <c r="AM70">
        <v>253</v>
      </c>
      <c r="AN70" s="13">
        <f t="shared" si="173"/>
        <v>7.2659391154508909E-2</v>
      </c>
      <c r="AQ70" s="35">
        <f t="shared" si="174"/>
        <v>18.310166570936246</v>
      </c>
      <c r="AR70" s="87">
        <f t="shared" si="175"/>
        <v>271.31016657093625</v>
      </c>
      <c r="AS70">
        <v>223</v>
      </c>
      <c r="AT70" s="1">
        <v>222487.65015245799</v>
      </c>
      <c r="AU70" s="13">
        <f t="shared" si="176"/>
        <v>-5.4025242454279754E-3</v>
      </c>
      <c r="AV70">
        <v>236</v>
      </c>
      <c r="AW70" s="1">
        <v>235291.9646284614</v>
      </c>
      <c r="AX70" s="35">
        <v>251.19930374238467</v>
      </c>
      <c r="AY70" s="121">
        <v>237466.5323815312</v>
      </c>
      <c r="AZ70" s="122">
        <v>264</v>
      </c>
      <c r="BA70" s="119">
        <v>240885.76163301</v>
      </c>
      <c r="BB70">
        <v>259</v>
      </c>
      <c r="BC70" s="125">
        <f t="shared" si="177"/>
        <v>1.4398783766232937E-2</v>
      </c>
      <c r="BD70">
        <v>275</v>
      </c>
      <c r="BE70" s="1">
        <v>244846.48784469569</v>
      </c>
      <c r="BF70" s="13">
        <f t="shared" si="154"/>
        <v>1.6442342564521706E-2</v>
      </c>
      <c r="BG70">
        <v>273</v>
      </c>
      <c r="BH70" s="1">
        <v>246761.63461391089</v>
      </c>
      <c r="BI70" s="13">
        <f t="shared" si="123"/>
        <v>7.8218265905041218E-3</v>
      </c>
      <c r="BJ70">
        <v>270</v>
      </c>
      <c r="BK70" s="1">
        <v>255905.2703290972</v>
      </c>
      <c r="BL70" s="13">
        <f t="shared" si="155"/>
        <v>3.7054527254581693E-2</v>
      </c>
      <c r="BM70" s="1">
        <v>255337.65230538521</v>
      </c>
      <c r="BN70" s="109">
        <f t="shared" si="156"/>
        <v>-2.2180786780280348E-3</v>
      </c>
      <c r="BO70">
        <v>239</v>
      </c>
      <c r="BP70" s="13">
        <f t="shared" si="157"/>
        <v>-0.11481481481481481</v>
      </c>
      <c r="BQ70" s="1">
        <v>259369.8422012589</v>
      </c>
      <c r="BR70" s="13">
        <f t="shared" si="178"/>
        <v>1.5791599317483973E-2</v>
      </c>
      <c r="BS70">
        <v>271</v>
      </c>
      <c r="BT70" s="13">
        <f t="shared" si="179"/>
        <v>0.13389121338912124</v>
      </c>
      <c r="BU70" s="1">
        <v>269517.41459925531</v>
      </c>
      <c r="BV70" s="13">
        <f t="shared" si="158"/>
        <v>3.9123948689926635E-2</v>
      </c>
      <c r="BW70">
        <v>253</v>
      </c>
      <c r="BX70" s="13">
        <f t="shared" si="159"/>
        <v>-6.6420664206642055E-2</v>
      </c>
      <c r="BY70" s="1">
        <v>272234.63428376842</v>
      </c>
      <c r="BZ70" s="13">
        <f t="shared" si="160"/>
        <v>1.0081796341632865E-2</v>
      </c>
      <c r="CA70">
        <v>210</v>
      </c>
      <c r="CB70" s="13">
        <f t="shared" si="161"/>
        <v>-0.16996047430830041</v>
      </c>
      <c r="CC70" s="1">
        <v>270140.63059353578</v>
      </c>
      <c r="CD70" s="13">
        <f t="shared" si="162"/>
        <v>-7.6919077388585277E-3</v>
      </c>
      <c r="CE70">
        <v>232</v>
      </c>
      <c r="CF70" s="13">
        <f t="shared" si="163"/>
        <v>0.10476190476190483</v>
      </c>
      <c r="CG70" s="1">
        <v>265734.18830018549</v>
      </c>
      <c r="CH70" s="13">
        <f t="shared" si="164"/>
        <v>-1.6311660647525428E-2</v>
      </c>
      <c r="CI70">
        <v>283</v>
      </c>
      <c r="CJ70" s="13">
        <f t="shared" si="165"/>
        <v>0.21982758620689657</v>
      </c>
      <c r="CK70" s="1">
        <v>264029.18835321802</v>
      </c>
      <c r="CL70" s="13">
        <f t="shared" si="166"/>
        <v>-6.4161858806117689E-3</v>
      </c>
      <c r="CM70">
        <v>312</v>
      </c>
      <c r="CN70" s="13">
        <f t="shared" si="167"/>
        <v>0.10247349823321561</v>
      </c>
      <c r="CO70" s="1">
        <v>262125.53957648031</v>
      </c>
      <c r="CP70" s="13">
        <v>-7.2099936700597E-3</v>
      </c>
      <c r="CQ70">
        <v>318</v>
      </c>
      <c r="CR70" s="13">
        <v>1.9230769230769162E-2</v>
      </c>
      <c r="CS70" s="1">
        <v>261218.34494730021</v>
      </c>
      <c r="CT70" s="13">
        <f t="shared" si="181"/>
        <v>-3.460916592278096E-3</v>
      </c>
      <c r="CU70">
        <v>352</v>
      </c>
      <c r="CV70" s="13">
        <f t="shared" si="182"/>
        <v>0.10691823899371067</v>
      </c>
      <c r="CW70" s="1">
        <v>257321.1992543604</v>
      </c>
      <c r="CX70" s="13">
        <f t="shared" si="183"/>
        <v>-1.4919111801761309E-2</v>
      </c>
      <c r="CY70">
        <v>343</v>
      </c>
      <c r="CZ70" s="13">
        <f t="shared" si="184"/>
        <v>-2.5568181818181768E-2</v>
      </c>
      <c r="DA70" s="1">
        <v>250057.25846486021</v>
      </c>
      <c r="DB70" s="13">
        <f t="shared" si="185"/>
        <v>-2.8229080272239138E-2</v>
      </c>
      <c r="DC70">
        <v>340</v>
      </c>
      <c r="DD70" s="13">
        <f t="shared" si="186"/>
        <v>-8.7463556851311575E-3</v>
      </c>
      <c r="DE70" s="1">
        <v>245696.28268722899</v>
      </c>
      <c r="DF70" s="13">
        <f t="shared" si="187"/>
        <v>-1.7439908780908508E-2</v>
      </c>
      <c r="DG70" s="1">
        <v>333</v>
      </c>
      <c r="DH70" s="13">
        <f t="shared" si="188"/>
        <v>-2.0588235294117685E-2</v>
      </c>
      <c r="DI70" s="1">
        <v>245436.8747695348</v>
      </c>
      <c r="DJ70" s="13">
        <f t="shared" si="189"/>
        <v>-1.0558072546194008E-3</v>
      </c>
      <c r="DK70" s="1">
        <v>306</v>
      </c>
      <c r="DL70" s="13">
        <f t="shared" si="190"/>
        <v>-8.108108108108103E-2</v>
      </c>
      <c r="DM70" s="1">
        <v>243187.768358765</v>
      </c>
      <c r="DN70" s="13">
        <f t="shared" si="191"/>
        <v>-9.1636858270857102E-3</v>
      </c>
      <c r="DO70" s="1">
        <v>303</v>
      </c>
      <c r="DP70" s="13">
        <f t="shared" si="192"/>
        <v>-9.8039215686274161E-3</v>
      </c>
      <c r="DQ70" s="1">
        <v>248828.4375793972</v>
      </c>
      <c r="DR70" s="13">
        <f t="shared" si="193"/>
        <v>2.319470777128374E-2</v>
      </c>
      <c r="DS70">
        <v>327</v>
      </c>
      <c r="DT70" s="13">
        <f t="shared" si="194"/>
        <v>7.9207920792079278E-2</v>
      </c>
      <c r="DU70" s="1">
        <v>248445.9202595322</v>
      </c>
      <c r="DV70" s="13">
        <f t="shared" si="195"/>
        <v>-1.5372733260962113E-3</v>
      </c>
      <c r="DW70">
        <v>308</v>
      </c>
      <c r="DX70" s="13">
        <f t="shared" si="196"/>
        <v>-5.8103975535168217E-2</v>
      </c>
      <c r="DY70" s="1">
        <v>248288.06908413951</v>
      </c>
      <c r="DZ70" s="13">
        <f t="shared" si="197"/>
        <v>-6.3535426634409031E-4</v>
      </c>
      <c r="EA70" s="1">
        <v>302</v>
      </c>
      <c r="EB70" s="13">
        <f t="shared" si="198"/>
        <v>-1.9480519480519431E-2</v>
      </c>
      <c r="EC70" s="1">
        <v>246608.96868405171</v>
      </c>
      <c r="ED70" s="13">
        <f t="shared" si="199"/>
        <v>-6.7627107749538284E-3</v>
      </c>
      <c r="EE70" s="1">
        <f>IFERROR(VLOOKUP($A70,[1]Москва_продажа_районы!$C$2:$F$148,2,0),"")</f>
        <v>294</v>
      </c>
      <c r="EF70" s="13">
        <v>-2.6490066225165587E-2</v>
      </c>
      <c r="EG70" s="1">
        <v>251976.31027066929</v>
      </c>
      <c r="EH70" s="13">
        <f t="shared" si="200"/>
        <v>2.1764583888650213E-2</v>
      </c>
      <c r="EI70" s="1">
        <f>IFERROR(VLOOKUP($A70,[2]Москва_продажа_районы!$C$2:$F$150,2,0),"")</f>
        <v>251</v>
      </c>
      <c r="EJ70" s="13">
        <v>-0.1462585034013606</v>
      </c>
      <c r="EK70" s="1">
        <v>258845.8391756003</v>
      </c>
      <c r="EL70" s="13">
        <f t="shared" si="201"/>
        <v>2.7262598208346978E-2</v>
      </c>
      <c r="EM70">
        <v>215</v>
      </c>
      <c r="EN70" s="13">
        <f t="shared" si="202"/>
        <v>-0.14342629482071712</v>
      </c>
      <c r="EO70" s="1">
        <v>262831.32751646632</v>
      </c>
      <c r="EP70" s="13">
        <f t="shared" si="203"/>
        <v>1.5397150495288781E-2</v>
      </c>
      <c r="EQ70">
        <v>209</v>
      </c>
      <c r="ER70" s="13">
        <f t="shared" si="204"/>
        <v>-2.7906976744186074E-2</v>
      </c>
      <c r="ES70" s="183">
        <v>272721.88890542003</v>
      </c>
      <c r="ET70" s="13">
        <f t="shared" si="205"/>
        <v>3.7630831462942993E-2</v>
      </c>
      <c r="EU70">
        <v>218</v>
      </c>
      <c r="EV70" s="13">
        <f t="shared" si="206"/>
        <v>4.3062200956937691E-2</v>
      </c>
      <c r="EW70" s="183">
        <v>277812.47874843172</v>
      </c>
      <c r="EX70" s="13">
        <f t="shared" si="207"/>
        <v>1.8665864567904533E-2</v>
      </c>
      <c r="EY70">
        <v>204</v>
      </c>
      <c r="EZ70" s="13">
        <f t="shared" si="208"/>
        <v>-6.422018348623848E-2</v>
      </c>
      <c r="FA70" s="1">
        <v>277966.66219035379</v>
      </c>
      <c r="FB70" s="13">
        <f t="shared" si="209"/>
        <v>5.5499105949685656E-4</v>
      </c>
      <c r="FC70" s="1">
        <v>193</v>
      </c>
      <c r="FD70" s="13">
        <f t="shared" si="210"/>
        <v>-5.3921568627451011E-2</v>
      </c>
      <c r="FE70" s="1">
        <v>276059.53650514298</v>
      </c>
      <c r="FF70" s="13">
        <f t="shared" si="211"/>
        <v>-6.8609871060897332E-3</v>
      </c>
      <c r="FG70" s="1">
        <v>206</v>
      </c>
      <c r="FH70" s="13">
        <f t="shared" si="212"/>
        <v>6.7357512953367893E-2</v>
      </c>
      <c r="FI70" s="1">
        <v>279564.22005716828</v>
      </c>
      <c r="FJ70" s="13">
        <f t="shared" si="213"/>
        <v>1.2695390263976591E-2</v>
      </c>
      <c r="FK70" s="1">
        <v>223</v>
      </c>
      <c r="FL70" s="13">
        <f t="shared" si="214"/>
        <v>8.2524271844660158E-2</v>
      </c>
      <c r="FM70" s="1">
        <v>278561.60797723522</v>
      </c>
      <c r="FN70" s="13">
        <f t="shared" si="215"/>
        <v>-3.5863390520003424E-3</v>
      </c>
      <c r="FO70" s="1">
        <v>235</v>
      </c>
      <c r="FP70" s="13">
        <f t="shared" si="216"/>
        <v>5.3811659192825045E-2</v>
      </c>
      <c r="FQ70" s="1">
        <v>276519.86530886049</v>
      </c>
      <c r="FR70" s="13">
        <f t="shared" si="217"/>
        <v>-7.3295910488195837E-3</v>
      </c>
      <c r="FS70">
        <v>232</v>
      </c>
      <c r="FT70" s="13">
        <f t="shared" si="218"/>
        <v>-1.2765957446808529E-2</v>
      </c>
      <c r="FU70" s="1">
        <v>276113.59123150009</v>
      </c>
      <c r="FV70" s="13">
        <f t="shared" si="219"/>
        <v>-1.4692401101331631E-3</v>
      </c>
      <c r="FW70" s="1">
        <v>226</v>
      </c>
      <c r="FX70" s="13">
        <f t="shared" si="220"/>
        <v>-2.5862068965517238E-2</v>
      </c>
      <c r="FY70" s="1">
        <v>273396.14291296672</v>
      </c>
      <c r="FZ70" s="13">
        <f t="shared" si="221"/>
        <v>-9.8417767354849195E-3</v>
      </c>
      <c r="GA70" s="1">
        <v>226</v>
      </c>
      <c r="GB70" s="13">
        <f t="shared" si="222"/>
        <v>0</v>
      </c>
      <c r="GC70" s="1">
        <v>269927.6787109038</v>
      </c>
      <c r="GD70" s="13">
        <f t="shared" si="223"/>
        <v>-1.2686587912716374E-2</v>
      </c>
      <c r="GE70" s="1">
        <v>259</v>
      </c>
      <c r="GF70" s="13">
        <f t="shared" si="224"/>
        <v>0.14601769911504414</v>
      </c>
      <c r="GG70" s="1">
        <f>IFERROR(VLOOKUP(A70,[3]Москва_продажа_районы!$C$2:$F$149,3,0),"")</f>
        <v>270408.18818910368</v>
      </c>
      <c r="GH70" s="13">
        <v>1.7801415567852974E-3</v>
      </c>
      <c r="GI70" s="1">
        <v>283</v>
      </c>
      <c r="GJ70" s="13">
        <f t="shared" si="225"/>
        <v>9.2664092664092701E-2</v>
      </c>
      <c r="GK70" s="1">
        <v>272642.60367497412</v>
      </c>
      <c r="GL70" s="13">
        <f t="shared" si="226"/>
        <v>8.2631206578251959E-3</v>
      </c>
      <c r="GM70" s="1">
        <v>278</v>
      </c>
      <c r="GN70" s="13">
        <f t="shared" si="227"/>
        <v>-1.7667844522968212E-2</v>
      </c>
      <c r="GO70" s="1">
        <v>276366.04066560167</v>
      </c>
      <c r="GP70" s="13">
        <f t="shared" si="228"/>
        <v>1.3656842109189826E-2</v>
      </c>
      <c r="GQ70" s="1">
        <v>295.32000000000005</v>
      </c>
      <c r="GR70" s="13">
        <f t="shared" si="229"/>
        <v>6.2302158273381369E-2</v>
      </c>
      <c r="GS70" s="1">
        <v>273963.24319590151</v>
      </c>
      <c r="GT70" s="13">
        <f t="shared" si="168"/>
        <v>-8.6942573114744404E-3</v>
      </c>
      <c r="GU70">
        <v>304</v>
      </c>
      <c r="GV70" s="13">
        <f t="shared" si="169"/>
        <v>2.9391846133008048E-2</v>
      </c>
      <c r="GW70">
        <v>275103.64500658779</v>
      </c>
      <c r="GX70" s="13">
        <f t="shared" si="230"/>
        <v>4.1626088134414374E-3</v>
      </c>
      <c r="GY70">
        <v>279</v>
      </c>
      <c r="GZ70" s="13">
        <f t="shared" si="231"/>
        <v>-8.2236842105263164E-2</v>
      </c>
      <c r="HA70">
        <v>280901.31013461278</v>
      </c>
      <c r="HB70" s="13">
        <v>2.1074475868489984E-2</v>
      </c>
      <c r="HC70">
        <v>247</v>
      </c>
      <c r="HD70" s="13">
        <v>-0.11469534050179209</v>
      </c>
      <c r="HE70">
        <v>279866.92034086731</v>
      </c>
      <c r="HF70" s="13">
        <v>-3.6823957611652469E-3</v>
      </c>
      <c r="HG70">
        <v>249</v>
      </c>
      <c r="HH70" s="13">
        <v>8.0971659919029104E-3</v>
      </c>
      <c r="HI70">
        <f>VLOOKUP(A70,[4]Москва_продажа_районы!$C$4:$F$151,3,0)</f>
        <v>279483.66722263809</v>
      </c>
      <c r="HJ70" s="13">
        <f t="shared" si="232"/>
        <v>-1.3694119968248319E-3</v>
      </c>
      <c r="HK70">
        <f>VLOOKUP(A70,[4]Москва_продажа_районы!$C$4:$F$151,2,0)</f>
        <v>230</v>
      </c>
      <c r="HL70" s="13">
        <f t="shared" si="233"/>
        <v>-7.6305220883534086E-2</v>
      </c>
      <c r="HM70" s="1">
        <f>VLOOKUP(A70,Лист3!$C$4:$F$149,3,0)</f>
        <v>279170.03328353609</v>
      </c>
      <c r="HN70" s="13">
        <f t="shared" si="234"/>
        <v>-1.1221905817206945E-3</v>
      </c>
      <c r="HO70">
        <f>VLOOKUP(A70,Лист3!$C$4:$F$149,2,0)</f>
        <v>222</v>
      </c>
      <c r="HP70" s="13">
        <f t="shared" si="235"/>
        <v>-3.4782608695652195E-2</v>
      </c>
      <c r="HQ70" s="1">
        <v>282090.80625238048</v>
      </c>
      <c r="HR70" s="13">
        <v>1.0462344165277804E-2</v>
      </c>
      <c r="HS70">
        <v>226</v>
      </c>
      <c r="HT70" s="13">
        <v>1.8018018018018056E-2</v>
      </c>
      <c r="HU70" s="34">
        <v>290524.83648045082</v>
      </c>
      <c r="HV70" s="13">
        <v>2.9898281124853821E-2</v>
      </c>
      <c r="HW70">
        <v>203</v>
      </c>
      <c r="HX70" s="13">
        <v>-0.10176991150442483</v>
      </c>
      <c r="HY70">
        <v>290045.64679838408</v>
      </c>
      <c r="HZ70" s="13">
        <v>-1.6493931736503153E-3</v>
      </c>
      <c r="IA70">
        <v>192</v>
      </c>
      <c r="IB70" s="13">
        <v>-5.4187192118226646E-2</v>
      </c>
      <c r="IC70" s="34">
        <v>284323.45438254299</v>
      </c>
      <c r="ID70" s="13">
        <v>-1.9728592650861909E-2</v>
      </c>
      <c r="IE70">
        <v>205</v>
      </c>
      <c r="IF70" s="13">
        <v>6.7708333333333259E-2</v>
      </c>
    </row>
    <row r="71" spans="1:240" x14ac:dyDescent="0.3">
      <c r="A71" s="23" t="s">
        <v>83</v>
      </c>
      <c r="B71" s="22">
        <v>216728.24255821909</v>
      </c>
      <c r="C71">
        <v>146</v>
      </c>
      <c r="D71" s="22">
        <v>221635.10006406246</v>
      </c>
      <c r="E71">
        <v>128</v>
      </c>
      <c r="F71" s="22">
        <v>224656.22236790121</v>
      </c>
      <c r="G71">
        <v>81</v>
      </c>
      <c r="H71" s="22">
        <v>224241.38434134435</v>
      </c>
      <c r="I71">
        <v>100</v>
      </c>
      <c r="J71" s="22">
        <v>229136.37184752824</v>
      </c>
      <c r="K71">
        <v>113</v>
      </c>
      <c r="L71" s="22">
        <v>232939.25016841406</v>
      </c>
      <c r="M71">
        <v>143</v>
      </c>
      <c r="N71" s="22">
        <v>230464.17212013848</v>
      </c>
      <c r="O71" s="28">
        <v>131</v>
      </c>
      <c r="P71" s="35">
        <v>236863.93492356516</v>
      </c>
      <c r="Q71" s="28">
        <v>144</v>
      </c>
      <c r="R71" s="35">
        <v>237704.85514018967</v>
      </c>
      <c r="S71">
        <v>145</v>
      </c>
      <c r="T71" s="46">
        <v>245627.72452900818</v>
      </c>
      <c r="U71" s="47">
        <v>144</v>
      </c>
      <c r="V71" s="56">
        <v>245026.15280586289</v>
      </c>
      <c r="W71" s="47">
        <v>120</v>
      </c>
      <c r="X71" s="56">
        <v>253385.6916183896</v>
      </c>
      <c r="Y71" s="47">
        <v>120</v>
      </c>
      <c r="Z71" s="34">
        <v>252126.86488384014</v>
      </c>
      <c r="AA71" s="81">
        <v>139</v>
      </c>
      <c r="AB71" s="1">
        <v>263903.12900917197</v>
      </c>
      <c r="AC71" s="1">
        <v>153</v>
      </c>
      <c r="AD71" s="1">
        <v>276429.27564674348</v>
      </c>
      <c r="AE71">
        <v>131</v>
      </c>
      <c r="AF71" s="13">
        <f t="shared" si="180"/>
        <v>9.0942720092729523E-2</v>
      </c>
      <c r="AG71" s="85">
        <f t="shared" si="170"/>
        <v>3.8791827065442701E-2</v>
      </c>
      <c r="AH71" s="35">
        <f t="shared" si="171"/>
        <v>15.51673082617708</v>
      </c>
      <c r="AI71" s="87">
        <f t="shared" si="172"/>
        <v>146.51673082617708</v>
      </c>
      <c r="AL71" s="1">
        <v>283687.43333954498</v>
      </c>
      <c r="AM71">
        <v>158</v>
      </c>
      <c r="AN71" s="13">
        <f t="shared" si="173"/>
        <v>4.5376220562894885E-2</v>
      </c>
      <c r="AQ71" s="35">
        <f t="shared" si="174"/>
        <v>11.434807581849512</v>
      </c>
      <c r="AR71" s="87">
        <f t="shared" si="175"/>
        <v>169.4348075818495</v>
      </c>
      <c r="AS71">
        <v>171</v>
      </c>
      <c r="AT71" s="1">
        <v>290675.28347382642</v>
      </c>
      <c r="AU71" s="13">
        <f t="shared" si="176"/>
        <v>2.4632215999210949E-2</v>
      </c>
      <c r="AV71">
        <v>156</v>
      </c>
      <c r="AW71" s="1">
        <v>292069.59004333499</v>
      </c>
      <c r="AX71" s="35">
        <v>166.04699738903395</v>
      </c>
      <c r="AY71" s="121">
        <v>296929.48121985339</v>
      </c>
      <c r="AZ71" s="122">
        <v>160</v>
      </c>
      <c r="BA71" s="119">
        <v>298085.03451736999</v>
      </c>
      <c r="BB71">
        <v>182</v>
      </c>
      <c r="BC71" s="125">
        <f t="shared" si="177"/>
        <v>3.89167587121797E-3</v>
      </c>
      <c r="BD71">
        <v>183</v>
      </c>
      <c r="BE71" s="1">
        <v>311585.98546340212</v>
      </c>
      <c r="BF71" s="13">
        <f t="shared" si="154"/>
        <v>4.5292280331656221E-2</v>
      </c>
      <c r="BG71">
        <v>165</v>
      </c>
      <c r="BH71" s="1">
        <v>317938.31518744997</v>
      </c>
      <c r="BI71" s="13">
        <f t="shared" si="123"/>
        <v>2.0387084209196438E-2</v>
      </c>
      <c r="BJ71">
        <v>182</v>
      </c>
      <c r="BK71" s="1">
        <v>320653.07038416539</v>
      </c>
      <c r="BL71" s="13">
        <f t="shared" si="155"/>
        <v>8.5386223271481931E-3</v>
      </c>
      <c r="BM71" s="1">
        <v>322295.3180749414</v>
      </c>
      <c r="BN71" s="109">
        <f t="shared" si="156"/>
        <v>5.1215716999324368E-3</v>
      </c>
      <c r="BO71">
        <v>181</v>
      </c>
      <c r="BP71" s="13">
        <f t="shared" si="157"/>
        <v>-5.494505494505475E-3</v>
      </c>
      <c r="BQ71" s="1">
        <v>329014.17060365912</v>
      </c>
      <c r="BR71" s="13">
        <f t="shared" si="178"/>
        <v>2.0846882197511185E-2</v>
      </c>
      <c r="BS71">
        <v>223</v>
      </c>
      <c r="BT71" s="13">
        <f t="shared" si="179"/>
        <v>0.2320441988950277</v>
      </c>
      <c r="BU71" s="1">
        <v>339249.18160195352</v>
      </c>
      <c r="BV71" s="13">
        <f t="shared" si="158"/>
        <v>3.1108116041068001E-2</v>
      </c>
      <c r="BW71">
        <v>243</v>
      </c>
      <c r="BX71" s="13">
        <f t="shared" si="159"/>
        <v>8.9686098654708557E-2</v>
      </c>
      <c r="BY71" s="1">
        <v>336918.73178793129</v>
      </c>
      <c r="BZ71" s="13">
        <f t="shared" si="160"/>
        <v>-6.8694338569004199E-3</v>
      </c>
      <c r="CA71">
        <v>184</v>
      </c>
      <c r="CB71" s="13">
        <f t="shared" si="161"/>
        <v>-0.24279835390946503</v>
      </c>
      <c r="CC71" s="1">
        <v>323715.44053752499</v>
      </c>
      <c r="CD71" s="13">
        <f t="shared" si="162"/>
        <v>-3.9188356136627411E-2</v>
      </c>
      <c r="CE71">
        <v>217</v>
      </c>
      <c r="CF71" s="13">
        <f t="shared" si="163"/>
        <v>0.17934782608695654</v>
      </c>
      <c r="CG71" s="1">
        <v>326111.20506011491</v>
      </c>
      <c r="CH71" s="13">
        <f t="shared" si="164"/>
        <v>7.4008348771124055E-3</v>
      </c>
      <c r="CI71">
        <v>245</v>
      </c>
      <c r="CJ71" s="13">
        <f t="shared" si="165"/>
        <v>0.12903225806451624</v>
      </c>
      <c r="CK71" s="1">
        <v>316668.14520328463</v>
      </c>
      <c r="CL71" s="13">
        <f t="shared" si="166"/>
        <v>-2.8956563620957332E-2</v>
      </c>
      <c r="CM71">
        <v>267</v>
      </c>
      <c r="CN71" s="13">
        <f t="shared" si="167"/>
        <v>8.9795918367346905E-2</v>
      </c>
      <c r="CO71" s="1">
        <v>319295.51356880442</v>
      </c>
      <c r="CP71" s="13">
        <v>8.2969139944062409E-3</v>
      </c>
      <c r="CQ71">
        <v>245</v>
      </c>
      <c r="CR71" s="13">
        <v>-8.2397003745318331E-2</v>
      </c>
      <c r="CS71" s="1">
        <v>328002.25376136467</v>
      </c>
      <c r="CT71" s="13">
        <f t="shared" si="181"/>
        <v>2.7268595462692113E-2</v>
      </c>
      <c r="CU71">
        <v>255</v>
      </c>
      <c r="CV71" s="13">
        <f t="shared" si="182"/>
        <v>4.081632653061229E-2</v>
      </c>
      <c r="CW71" s="1">
        <v>319894.37734770909</v>
      </c>
      <c r="CX71" s="13">
        <f t="shared" si="183"/>
        <v>-2.4718965557945283E-2</v>
      </c>
      <c r="CY71">
        <v>251</v>
      </c>
      <c r="CZ71" s="13">
        <f t="shared" si="184"/>
        <v>-1.5686274509803977E-2</v>
      </c>
      <c r="DA71" s="1">
        <v>311645.34809489863</v>
      </c>
      <c r="DB71" s="13">
        <f t="shared" si="185"/>
        <v>-2.5786727860628189E-2</v>
      </c>
      <c r="DC71">
        <v>243</v>
      </c>
      <c r="DD71" s="13">
        <f t="shared" si="186"/>
        <v>-3.1872509960159334E-2</v>
      </c>
      <c r="DE71" s="1">
        <v>316593.9184289531</v>
      </c>
      <c r="DF71" s="13">
        <f t="shared" si="187"/>
        <v>1.5878851920316794E-2</v>
      </c>
      <c r="DG71" s="1">
        <v>240</v>
      </c>
      <c r="DH71" s="13">
        <f t="shared" si="188"/>
        <v>-1.2345679012345734E-2</v>
      </c>
      <c r="DI71" s="1">
        <v>313532.2835508461</v>
      </c>
      <c r="DJ71" s="13">
        <f t="shared" si="189"/>
        <v>-9.6705422937366503E-3</v>
      </c>
      <c r="DK71" s="1">
        <v>231</v>
      </c>
      <c r="DL71" s="13">
        <f t="shared" si="190"/>
        <v>-3.7499999999999978E-2</v>
      </c>
      <c r="DM71" s="1">
        <v>323725.63274742028</v>
      </c>
      <c r="DN71" s="13">
        <f t="shared" si="191"/>
        <v>3.2511322537926546E-2</v>
      </c>
      <c r="DO71" s="1">
        <v>253</v>
      </c>
      <c r="DP71" s="13">
        <f t="shared" si="192"/>
        <v>9.5238095238095344E-2</v>
      </c>
      <c r="DQ71" s="1">
        <v>312901.60069809231</v>
      </c>
      <c r="DR71" s="13">
        <f t="shared" si="193"/>
        <v>-3.3435820195842125E-2</v>
      </c>
      <c r="DS71">
        <v>259</v>
      </c>
      <c r="DT71" s="13">
        <f t="shared" si="194"/>
        <v>2.3715415019762931E-2</v>
      </c>
      <c r="DU71" s="1">
        <v>312651.45840258518</v>
      </c>
      <c r="DV71" s="13">
        <f t="shared" si="195"/>
        <v>-7.9942798294752038E-4</v>
      </c>
      <c r="DW71">
        <v>251</v>
      </c>
      <c r="DX71" s="13">
        <f t="shared" si="196"/>
        <v>-3.0888030888030937E-2</v>
      </c>
      <c r="DY71" s="1">
        <v>311312.69884185732</v>
      </c>
      <c r="DZ71" s="13">
        <f t="shared" si="197"/>
        <v>-4.2819552723916132E-3</v>
      </c>
      <c r="EA71" s="1">
        <v>265</v>
      </c>
      <c r="EB71" s="13">
        <f t="shared" si="198"/>
        <v>5.5776892430278835E-2</v>
      </c>
      <c r="EC71" s="1">
        <v>308107.81288504758</v>
      </c>
      <c r="ED71" s="13">
        <f t="shared" si="199"/>
        <v>-1.0294748555817135E-2</v>
      </c>
      <c r="EE71" s="1">
        <f>IFERROR(VLOOKUP($A71,[1]Москва_продажа_районы!$C$2:$F$148,2,0),"")</f>
        <v>247</v>
      </c>
      <c r="EF71" s="13">
        <v>-6.7924528301886777E-2</v>
      </c>
      <c r="EG71" s="1">
        <v>309551.17374288762</v>
      </c>
      <c r="EH71" s="13">
        <f t="shared" si="200"/>
        <v>4.6845967465893867E-3</v>
      </c>
      <c r="EI71" s="1">
        <f>IFERROR(VLOOKUP($A71,[2]Москва_продажа_районы!$C$2:$F$150,2,0),"")</f>
        <v>219</v>
      </c>
      <c r="EJ71" s="13">
        <v>-0.11336032388663964</v>
      </c>
      <c r="EK71" s="1">
        <v>313367.1931750293</v>
      </c>
      <c r="EL71" s="13">
        <f t="shared" si="201"/>
        <v>1.2327588314400062E-2</v>
      </c>
      <c r="EM71">
        <v>218</v>
      </c>
      <c r="EN71" s="13">
        <f t="shared" si="202"/>
        <v>-4.5662100456621557E-3</v>
      </c>
      <c r="EO71" s="1">
        <v>313022.40248135477</v>
      </c>
      <c r="EP71" s="13">
        <f t="shared" si="203"/>
        <v>-1.1002769312929983E-3</v>
      </c>
      <c r="EQ71">
        <v>200</v>
      </c>
      <c r="ER71" s="13">
        <f t="shared" si="204"/>
        <v>-8.256880733944949E-2</v>
      </c>
      <c r="ES71" s="183">
        <v>315429.48708715348</v>
      </c>
      <c r="ET71" s="13">
        <f t="shared" si="205"/>
        <v>7.6898157662759203E-3</v>
      </c>
      <c r="EU71">
        <v>184</v>
      </c>
      <c r="EV71" s="13">
        <f t="shared" si="206"/>
        <v>-7.999999999999996E-2</v>
      </c>
      <c r="EW71" s="183">
        <v>319058.50639174011</v>
      </c>
      <c r="EX71" s="13">
        <f t="shared" si="207"/>
        <v>1.1505009687264645E-2</v>
      </c>
      <c r="EY71">
        <v>180</v>
      </c>
      <c r="EZ71" s="13">
        <f t="shared" si="208"/>
        <v>-2.1739130434782594E-2</v>
      </c>
      <c r="FA71" s="1">
        <v>318144.89270896808</v>
      </c>
      <c r="FB71" s="13">
        <f t="shared" si="209"/>
        <v>-2.8634675599286119E-3</v>
      </c>
      <c r="FC71" s="1">
        <v>172</v>
      </c>
      <c r="FD71" s="13">
        <f t="shared" si="210"/>
        <v>-4.4444444444444398E-2</v>
      </c>
      <c r="FE71" s="1">
        <v>324764.88312728301</v>
      </c>
      <c r="FF71" s="13">
        <f t="shared" si="211"/>
        <v>2.0808098982656897E-2</v>
      </c>
      <c r="FG71" s="1">
        <v>185</v>
      </c>
      <c r="FH71" s="13">
        <f t="shared" si="212"/>
        <v>7.5581395348837122E-2</v>
      </c>
      <c r="FI71" s="1">
        <v>327284.44898770569</v>
      </c>
      <c r="FJ71" s="13">
        <f t="shared" si="213"/>
        <v>7.7581228492467069E-3</v>
      </c>
      <c r="FK71" s="1">
        <v>194</v>
      </c>
      <c r="FL71" s="13">
        <f t="shared" si="214"/>
        <v>4.8648648648648596E-2</v>
      </c>
      <c r="FM71" s="1">
        <v>326568.07319261081</v>
      </c>
      <c r="FN71" s="13">
        <f t="shared" si="215"/>
        <v>-2.1888476440314886E-3</v>
      </c>
      <c r="FO71" s="1">
        <v>211</v>
      </c>
      <c r="FP71" s="13">
        <f t="shared" si="216"/>
        <v>8.7628865979381354E-2</v>
      </c>
      <c r="FQ71" s="1">
        <v>324572.46963965421</v>
      </c>
      <c r="FR71" s="13">
        <f t="shared" si="217"/>
        <v>-6.1108348205844987E-3</v>
      </c>
      <c r="FS71">
        <v>204</v>
      </c>
      <c r="FT71" s="13">
        <f t="shared" si="218"/>
        <v>-3.3175355450236976E-2</v>
      </c>
      <c r="FU71" s="1">
        <v>323327.99743753462</v>
      </c>
      <c r="FV71" s="13">
        <f t="shared" si="219"/>
        <v>-3.8341890287282299E-3</v>
      </c>
      <c r="FW71" s="1">
        <v>200</v>
      </c>
      <c r="FX71" s="13">
        <f t="shared" si="220"/>
        <v>-1.9607843137254943E-2</v>
      </c>
      <c r="FY71" s="1">
        <v>334530.43476184941</v>
      </c>
      <c r="FZ71" s="13">
        <f t="shared" si="221"/>
        <v>3.4647285150365192E-2</v>
      </c>
      <c r="GA71" s="1">
        <v>207</v>
      </c>
      <c r="GB71" s="13">
        <f t="shared" si="222"/>
        <v>3.499999999999992E-2</v>
      </c>
      <c r="GC71" s="1">
        <v>331485.81289003341</v>
      </c>
      <c r="GD71" s="13">
        <f t="shared" si="223"/>
        <v>-9.1011805068900165E-3</v>
      </c>
      <c r="GE71" s="1">
        <v>204</v>
      </c>
      <c r="GF71" s="13">
        <f t="shared" si="224"/>
        <v>-1.4492753623188359E-2</v>
      </c>
      <c r="GG71" s="1">
        <f>IFERROR(VLOOKUP(A71,[3]Москва_продажа_районы!$C$2:$F$149,3,0),"")</f>
        <v>332724.5496932785</v>
      </c>
      <c r="GH71" s="13">
        <v>3.7369225320542654E-3</v>
      </c>
      <c r="GI71" s="1">
        <v>215</v>
      </c>
      <c r="GJ71" s="13">
        <f t="shared" si="225"/>
        <v>5.3921568627451011E-2</v>
      </c>
      <c r="GK71" s="1">
        <v>341735.23185482877</v>
      </c>
      <c r="GL71" s="13">
        <f t="shared" si="226"/>
        <v>2.7081506819550238E-2</v>
      </c>
      <c r="GM71" s="1">
        <v>215</v>
      </c>
      <c r="GN71" s="13">
        <f t="shared" si="227"/>
        <v>0</v>
      </c>
      <c r="GO71" s="1">
        <v>344299.37504964869</v>
      </c>
      <c r="GP71" s="13">
        <f t="shared" si="228"/>
        <v>7.5033035982348117E-3</v>
      </c>
      <c r="GQ71" s="1">
        <v>226.84</v>
      </c>
      <c r="GR71" s="13">
        <f t="shared" si="229"/>
        <v>5.506976744186054E-2</v>
      </c>
      <c r="GS71" s="1">
        <v>345671.42747233348</v>
      </c>
      <c r="GT71" s="13">
        <f t="shared" si="168"/>
        <v>3.9850563843948361E-3</v>
      </c>
      <c r="GU71">
        <v>208</v>
      </c>
      <c r="GV71" s="13">
        <f t="shared" si="169"/>
        <v>-8.305413507317938E-2</v>
      </c>
      <c r="GW71">
        <v>352568.49813266093</v>
      </c>
      <c r="GX71" s="13">
        <f t="shared" si="230"/>
        <v>1.9952677925280549E-2</v>
      </c>
      <c r="GY71">
        <v>154</v>
      </c>
      <c r="GZ71" s="13">
        <f t="shared" si="231"/>
        <v>-0.25961538461538458</v>
      </c>
      <c r="HA71">
        <v>346663.57238085673</v>
      </c>
      <c r="HB71" s="13">
        <v>-1.6748307869474899E-2</v>
      </c>
      <c r="HC71">
        <v>128</v>
      </c>
      <c r="HD71" s="13">
        <v>-0.16883116883116878</v>
      </c>
      <c r="HE71">
        <v>350518.9037498447</v>
      </c>
      <c r="HF71" s="13">
        <v>1.1121247446075344E-2</v>
      </c>
      <c r="HG71">
        <v>142</v>
      </c>
      <c r="HH71" s="13">
        <v>0.109375</v>
      </c>
      <c r="HI71">
        <f>VLOOKUP(A71,[4]Москва_продажа_районы!$C$4:$F$151,3,0)</f>
        <v>356956.67262796842</v>
      </c>
      <c r="HJ71" s="13">
        <f t="shared" si="232"/>
        <v>1.8366395675818215E-2</v>
      </c>
      <c r="HK71">
        <f>VLOOKUP(A71,[4]Москва_продажа_районы!$C$4:$F$151,2,0)</f>
        <v>139</v>
      </c>
      <c r="HL71" s="13">
        <f t="shared" si="233"/>
        <v>-2.1126760563380254E-2</v>
      </c>
      <c r="HM71" s="1">
        <f>VLOOKUP(A71,Лист3!$C$4:$F$149,3,0)</f>
        <v>353414.31319593953</v>
      </c>
      <c r="HN71" s="13">
        <f t="shared" si="234"/>
        <v>-9.9237798412605827E-3</v>
      </c>
      <c r="HO71">
        <f>VLOOKUP(A71,Лист3!$C$4:$F$149,2,0)</f>
        <v>119</v>
      </c>
      <c r="HP71" s="13">
        <f t="shared" si="235"/>
        <v>-0.14388489208633093</v>
      </c>
      <c r="HQ71" s="1">
        <v>353069.24524660507</v>
      </c>
      <c r="HR71" s="13">
        <v>-9.7638362808227797E-4</v>
      </c>
      <c r="HS71">
        <v>108</v>
      </c>
      <c r="HT71" s="13">
        <v>-9.2436974789915971E-2</v>
      </c>
      <c r="HU71" s="34">
        <v>352689.55135112611</v>
      </c>
      <c r="HV71" s="13">
        <v>-1.0754091459134196E-3</v>
      </c>
      <c r="HW71">
        <v>128</v>
      </c>
      <c r="HX71" s="13">
        <v>0.18518518518518512</v>
      </c>
      <c r="HY71">
        <v>357932.4289419821</v>
      </c>
      <c r="HZ71" s="13">
        <v>1.4865417959706972E-2</v>
      </c>
      <c r="IA71">
        <v>142</v>
      </c>
      <c r="IB71" s="13">
        <v>0.109375</v>
      </c>
      <c r="IC71" s="34">
        <v>365284.79442670482</v>
      </c>
      <c r="ID71" s="13">
        <v>2.0541210827014655E-2</v>
      </c>
      <c r="IE71">
        <v>140</v>
      </c>
      <c r="IF71" s="13">
        <v>-1.4084507042253502E-2</v>
      </c>
    </row>
    <row r="72" spans="1:240" x14ac:dyDescent="0.3">
      <c r="A72" s="23" t="s">
        <v>84</v>
      </c>
      <c r="B72" s="22">
        <v>247910.88387529066</v>
      </c>
      <c r="C72">
        <v>344</v>
      </c>
      <c r="D72" s="22">
        <v>256474.34690985078</v>
      </c>
      <c r="E72">
        <v>335</v>
      </c>
      <c r="F72" s="22">
        <v>262230.36879644269</v>
      </c>
      <c r="G72">
        <v>253</v>
      </c>
      <c r="H72" s="22">
        <v>267200.93618016149</v>
      </c>
      <c r="I72">
        <v>254</v>
      </c>
      <c r="J72" s="22">
        <v>261337.38140198519</v>
      </c>
      <c r="K72">
        <v>299</v>
      </c>
      <c r="L72" s="22">
        <v>260685.06889674676</v>
      </c>
      <c r="M72">
        <v>299</v>
      </c>
      <c r="N72" s="22">
        <v>273110.5005662734</v>
      </c>
      <c r="O72" s="28">
        <v>301</v>
      </c>
      <c r="P72" s="35">
        <v>282374.25951788918</v>
      </c>
      <c r="Q72" s="28">
        <v>316</v>
      </c>
      <c r="R72" s="35">
        <v>286330.55448786344</v>
      </c>
      <c r="S72">
        <v>311</v>
      </c>
      <c r="T72" s="46">
        <v>280046.77445677959</v>
      </c>
      <c r="U72" s="47">
        <v>266</v>
      </c>
      <c r="V72" s="56">
        <v>294649.12647540751</v>
      </c>
      <c r="W72" s="47">
        <v>240</v>
      </c>
      <c r="X72" s="56">
        <v>309771.40736434219</v>
      </c>
      <c r="Y72" s="47">
        <v>222</v>
      </c>
      <c r="Z72" s="34">
        <v>303920.55096464598</v>
      </c>
      <c r="AA72" s="81">
        <v>249</v>
      </c>
      <c r="AB72" s="1">
        <v>310777.50132593903</v>
      </c>
      <c r="AC72" s="1">
        <v>268</v>
      </c>
      <c r="AD72" s="1">
        <v>316694.63052488572</v>
      </c>
      <c r="AE72">
        <v>242</v>
      </c>
      <c r="AF72" s="13">
        <f t="shared" si="180"/>
        <v>2.2349458329447014E-2</v>
      </c>
      <c r="AG72" s="85">
        <f t="shared" si="170"/>
        <v>7.1661237785016291E-2</v>
      </c>
      <c r="AH72" s="35">
        <f t="shared" si="171"/>
        <v>28.664495114006517</v>
      </c>
      <c r="AI72" s="87">
        <f t="shared" si="172"/>
        <v>270.66449511400651</v>
      </c>
      <c r="AL72" s="1">
        <v>321125.18825717142</v>
      </c>
      <c r="AM72">
        <v>236</v>
      </c>
      <c r="AN72" s="13">
        <f t="shared" si="173"/>
        <v>6.7777139574956916E-2</v>
      </c>
      <c r="AQ72" s="35">
        <f t="shared" si="174"/>
        <v>17.079839172889141</v>
      </c>
      <c r="AR72" s="87">
        <f t="shared" si="175"/>
        <v>253.07983917288914</v>
      </c>
      <c r="AS72">
        <v>228</v>
      </c>
      <c r="AT72" s="1">
        <v>326922.95504035527</v>
      </c>
      <c r="AU72" s="13">
        <f t="shared" si="176"/>
        <v>1.8054537592176567E-2</v>
      </c>
      <c r="AV72">
        <v>236</v>
      </c>
      <c r="AW72" s="1">
        <v>325880.31830156309</v>
      </c>
      <c r="AX72" s="35">
        <v>251.19930374238467</v>
      </c>
      <c r="AY72" s="121">
        <v>333625.53048611229</v>
      </c>
      <c r="AZ72" s="122">
        <v>261</v>
      </c>
      <c r="BA72" s="119">
        <v>345340.14513055369</v>
      </c>
      <c r="BB72">
        <v>243</v>
      </c>
      <c r="BC72" s="125">
        <f t="shared" si="177"/>
        <v>3.5113064121239601E-2</v>
      </c>
      <c r="BD72">
        <v>253</v>
      </c>
      <c r="BE72" s="1">
        <v>352697.26007643709</v>
      </c>
      <c r="BF72" s="13">
        <f t="shared" si="154"/>
        <v>2.1303966682188369E-2</v>
      </c>
      <c r="BG72">
        <v>244</v>
      </c>
      <c r="BH72" s="1">
        <v>360397.37801614997</v>
      </c>
      <c r="BI72" s="13">
        <f t="shared" si="123"/>
        <v>2.1832088908329217E-2</v>
      </c>
      <c r="BJ72">
        <v>212</v>
      </c>
      <c r="BK72" s="1">
        <v>371580.4894384942</v>
      </c>
      <c r="BL72" s="13">
        <f t="shared" si="155"/>
        <v>3.1029946676923714E-2</v>
      </c>
      <c r="BM72" s="1">
        <v>371213.38329161459</v>
      </c>
      <c r="BN72" s="109">
        <f t="shared" si="156"/>
        <v>-9.8795861815659247E-4</v>
      </c>
      <c r="BO72">
        <v>223</v>
      </c>
      <c r="BP72" s="13">
        <f t="shared" si="157"/>
        <v>5.1886792452830122E-2</v>
      </c>
      <c r="BQ72" s="1">
        <v>366998.02915130381</v>
      </c>
      <c r="BR72" s="13">
        <f t="shared" si="178"/>
        <v>-1.1355609280388812E-2</v>
      </c>
      <c r="BS72">
        <v>232</v>
      </c>
      <c r="BT72" s="13">
        <f t="shared" si="179"/>
        <v>4.0358744394618729E-2</v>
      </c>
      <c r="BU72" s="1">
        <v>383695.02289102651</v>
      </c>
      <c r="BV72" s="13">
        <f t="shared" si="158"/>
        <v>4.5496140070111935E-2</v>
      </c>
      <c r="BW72">
        <v>219</v>
      </c>
      <c r="BX72" s="13">
        <f t="shared" si="159"/>
        <v>-5.6034482758620663E-2</v>
      </c>
      <c r="BY72" s="1">
        <v>385465.58948009252</v>
      </c>
      <c r="BZ72" s="13">
        <f t="shared" si="160"/>
        <v>4.6145153922647619E-3</v>
      </c>
      <c r="CA72">
        <v>198</v>
      </c>
      <c r="CB72" s="13">
        <f t="shared" si="161"/>
        <v>-9.589041095890416E-2</v>
      </c>
      <c r="CC72" s="1">
        <v>369660.5039619662</v>
      </c>
      <c r="CD72" s="13">
        <f t="shared" si="162"/>
        <v>-4.1002584794777364E-2</v>
      </c>
      <c r="CE72">
        <v>214</v>
      </c>
      <c r="CF72" s="13">
        <f t="shared" si="163"/>
        <v>8.0808080808080884E-2</v>
      </c>
      <c r="CG72" s="1">
        <v>366298.2292280455</v>
      </c>
      <c r="CH72" s="13">
        <f t="shared" si="164"/>
        <v>-9.0955747175701651E-3</v>
      </c>
      <c r="CI72">
        <v>288</v>
      </c>
      <c r="CJ72" s="13">
        <f t="shared" si="165"/>
        <v>0.34579439252336441</v>
      </c>
      <c r="CK72" s="1">
        <v>361394.00139783719</v>
      </c>
      <c r="CL72" s="13">
        <f t="shared" si="166"/>
        <v>-1.3388620088455538E-2</v>
      </c>
      <c r="CM72">
        <v>319</v>
      </c>
      <c r="CN72" s="13">
        <f t="shared" si="167"/>
        <v>0.10763888888888884</v>
      </c>
      <c r="CO72" s="1">
        <v>359599.0455707974</v>
      </c>
      <c r="CP72" s="13">
        <v>-4.9667560061790184E-3</v>
      </c>
      <c r="CQ72">
        <v>310</v>
      </c>
      <c r="CR72" s="13">
        <v>-2.8213166144200663E-2</v>
      </c>
      <c r="CS72" s="1">
        <v>354244.39594722469</v>
      </c>
      <c r="CT72" s="13">
        <f t="shared" si="181"/>
        <v>-1.4890611333723602E-2</v>
      </c>
      <c r="CU72">
        <v>339</v>
      </c>
      <c r="CV72" s="13">
        <f t="shared" si="182"/>
        <v>9.3548387096774155E-2</v>
      </c>
      <c r="CW72" s="1">
        <v>342738.14542386052</v>
      </c>
      <c r="CX72" s="13">
        <f t="shared" si="183"/>
        <v>-3.2481108113502466E-2</v>
      </c>
      <c r="CY72">
        <v>353</v>
      </c>
      <c r="CZ72" s="13">
        <f t="shared" si="184"/>
        <v>4.1297935103244754E-2</v>
      </c>
      <c r="DA72" s="1">
        <v>343020.69748952118</v>
      </c>
      <c r="DB72" s="13">
        <f t="shared" si="185"/>
        <v>8.2439631956110482E-4</v>
      </c>
      <c r="DC72">
        <v>347</v>
      </c>
      <c r="DD72" s="13">
        <f t="shared" si="186"/>
        <v>-1.6997167138810165E-2</v>
      </c>
      <c r="DE72" s="1">
        <v>345312.00800801208</v>
      </c>
      <c r="DF72" s="13">
        <f t="shared" si="187"/>
        <v>6.6798025170504705E-3</v>
      </c>
      <c r="DG72" s="1">
        <v>321</v>
      </c>
      <c r="DH72" s="13">
        <f t="shared" si="188"/>
        <v>-7.4927953890489896E-2</v>
      </c>
      <c r="DI72" s="1">
        <v>342111.22044234182</v>
      </c>
      <c r="DJ72" s="13">
        <f t="shared" si="189"/>
        <v>-9.2692622655509149E-3</v>
      </c>
      <c r="DK72" s="1">
        <v>316</v>
      </c>
      <c r="DL72" s="13">
        <f t="shared" si="190"/>
        <v>-1.5576323987538943E-2</v>
      </c>
      <c r="DM72" s="1">
        <v>336088.61876177078</v>
      </c>
      <c r="DN72" s="13">
        <f t="shared" si="191"/>
        <v>-1.7604221436478884E-2</v>
      </c>
      <c r="DO72" s="1">
        <v>331</v>
      </c>
      <c r="DP72" s="13">
        <f t="shared" si="192"/>
        <v>4.7468354430379778E-2</v>
      </c>
      <c r="DQ72" s="1">
        <v>337425.93303590338</v>
      </c>
      <c r="DR72" s="13">
        <f t="shared" si="193"/>
        <v>3.9790525459015846E-3</v>
      </c>
      <c r="DS72">
        <v>376</v>
      </c>
      <c r="DT72" s="13">
        <f t="shared" si="194"/>
        <v>0.13595166163142003</v>
      </c>
      <c r="DU72" s="1">
        <v>349868.58300123748</v>
      </c>
      <c r="DV72" s="13">
        <f t="shared" si="195"/>
        <v>3.6875203554701752E-2</v>
      </c>
      <c r="DW72">
        <v>332</v>
      </c>
      <c r="DX72" s="13">
        <f t="shared" si="196"/>
        <v>-0.11702127659574468</v>
      </c>
      <c r="DY72" s="1">
        <v>353599.34285201592</v>
      </c>
      <c r="DZ72" s="13">
        <f t="shared" si="197"/>
        <v>1.0663317691389507E-2</v>
      </c>
      <c r="EA72" s="1">
        <v>344</v>
      </c>
      <c r="EB72" s="13">
        <f t="shared" si="198"/>
        <v>3.6144578313253017E-2</v>
      </c>
      <c r="EC72" s="1">
        <v>346920.75821306289</v>
      </c>
      <c r="ED72" s="13">
        <f t="shared" si="199"/>
        <v>-1.8887435098396299E-2</v>
      </c>
      <c r="EE72" s="1">
        <f>IFERROR(VLOOKUP($A72,[1]Москва_продажа_районы!$C$2:$F$148,2,0),"")</f>
        <v>309</v>
      </c>
      <c r="EF72" s="13">
        <v>-0.10174418604651159</v>
      </c>
      <c r="EG72" s="1">
        <v>355229.40850876208</v>
      </c>
      <c r="EH72" s="13">
        <f t="shared" si="200"/>
        <v>2.3949706378182167E-2</v>
      </c>
      <c r="EI72" s="1">
        <f>IFERROR(VLOOKUP($A72,[2]Москва_продажа_районы!$C$2:$F$150,2,0),"")</f>
        <v>277</v>
      </c>
      <c r="EJ72" s="13">
        <v>-0.1035598705501618</v>
      </c>
      <c r="EK72" s="1">
        <v>366636.62496552733</v>
      </c>
      <c r="EL72" s="13">
        <f t="shared" si="201"/>
        <v>3.211225248678673E-2</v>
      </c>
      <c r="EM72">
        <v>250</v>
      </c>
      <c r="EN72" s="13">
        <f t="shared" si="202"/>
        <v>-9.7472924187725685E-2</v>
      </c>
      <c r="EO72" s="1">
        <v>371760.28509097273</v>
      </c>
      <c r="EP72" s="13">
        <f t="shared" si="203"/>
        <v>1.3974763503038279E-2</v>
      </c>
      <c r="EQ72">
        <v>231</v>
      </c>
      <c r="ER72" s="13">
        <f t="shared" si="204"/>
        <v>-7.5999999999999956E-2</v>
      </c>
      <c r="ES72" s="183">
        <v>383913.02223419788</v>
      </c>
      <c r="ET72" s="13">
        <f t="shared" si="205"/>
        <v>3.2689713319568936E-2</v>
      </c>
      <c r="EU72">
        <v>223</v>
      </c>
      <c r="EV72" s="13">
        <f t="shared" si="206"/>
        <v>-3.4632034632034681E-2</v>
      </c>
      <c r="EW72" s="183">
        <v>388256.52996297122</v>
      </c>
      <c r="EX72" s="13">
        <f t="shared" si="207"/>
        <v>1.1313780667027373E-2</v>
      </c>
      <c r="EY72">
        <v>232</v>
      </c>
      <c r="EZ72" s="13">
        <f t="shared" si="208"/>
        <v>4.0358744394618729E-2</v>
      </c>
      <c r="FA72" s="1">
        <v>382381.26330134569</v>
      </c>
      <c r="FB72" s="13">
        <f t="shared" si="209"/>
        <v>-1.5132434893460389E-2</v>
      </c>
      <c r="FC72" s="1">
        <v>230</v>
      </c>
      <c r="FD72" s="13">
        <f t="shared" si="210"/>
        <v>-8.6206896551723755E-3</v>
      </c>
      <c r="FE72" s="1">
        <v>389915.53711137059</v>
      </c>
      <c r="FF72" s="13">
        <f t="shared" si="211"/>
        <v>1.9703564303796162E-2</v>
      </c>
      <c r="FG72" s="1">
        <v>245</v>
      </c>
      <c r="FH72" s="13">
        <f t="shared" si="212"/>
        <v>6.5217391304347894E-2</v>
      </c>
      <c r="FI72" s="1">
        <v>391426.68919198727</v>
      </c>
      <c r="FJ72" s="13">
        <f t="shared" si="213"/>
        <v>3.8755882666585695E-3</v>
      </c>
      <c r="FK72" s="1">
        <v>272</v>
      </c>
      <c r="FL72" s="13">
        <f t="shared" si="214"/>
        <v>0.11020408163265305</v>
      </c>
      <c r="FM72" s="1">
        <v>386296.63127748203</v>
      </c>
      <c r="FN72" s="13">
        <f t="shared" si="215"/>
        <v>-1.3106050395017999E-2</v>
      </c>
      <c r="FO72" s="1">
        <v>274</v>
      </c>
      <c r="FP72" s="13">
        <f t="shared" si="216"/>
        <v>7.3529411764705621E-3</v>
      </c>
      <c r="FQ72" s="1">
        <v>387480.54773149418</v>
      </c>
      <c r="FR72" s="13">
        <f t="shared" si="217"/>
        <v>3.0647858618308987E-3</v>
      </c>
      <c r="FS72">
        <v>263</v>
      </c>
      <c r="FT72" s="13">
        <f t="shared" si="218"/>
        <v>-4.014598540145986E-2</v>
      </c>
      <c r="FU72" s="1">
        <v>384378.71217685298</v>
      </c>
      <c r="FV72" s="13">
        <f t="shared" si="219"/>
        <v>-8.0051387683869324E-3</v>
      </c>
      <c r="FW72" s="1">
        <v>264</v>
      </c>
      <c r="FX72" s="13">
        <f t="shared" si="220"/>
        <v>3.8022813688212143E-3</v>
      </c>
      <c r="FY72" s="1">
        <v>391235.66410452238</v>
      </c>
      <c r="FZ72" s="13">
        <f t="shared" si="221"/>
        <v>1.783905224312865E-2</v>
      </c>
      <c r="GA72" s="1">
        <v>255</v>
      </c>
      <c r="GB72" s="13">
        <f t="shared" si="222"/>
        <v>-3.4090909090909061E-2</v>
      </c>
      <c r="GC72" s="1">
        <v>385578.79955599539</v>
      </c>
      <c r="GD72" s="13">
        <f t="shared" si="223"/>
        <v>-1.4458969535598665E-2</v>
      </c>
      <c r="GE72" s="1">
        <v>284</v>
      </c>
      <c r="GF72" s="13">
        <f t="shared" si="224"/>
        <v>0.11372549019607847</v>
      </c>
      <c r="GG72" s="1">
        <f>IFERROR(VLOOKUP(A72,[3]Москва_продажа_районы!$C$2:$F$149,3,0),"")</f>
        <v>385741.10768426501</v>
      </c>
      <c r="GH72" s="13">
        <v>4.209467129845379E-4</v>
      </c>
      <c r="GI72" s="1">
        <v>300</v>
      </c>
      <c r="GJ72" s="13">
        <f t="shared" si="225"/>
        <v>5.6338028169014009E-2</v>
      </c>
      <c r="GK72" s="1">
        <v>388342.228038417</v>
      </c>
      <c r="GL72" s="13">
        <f t="shared" si="226"/>
        <v>6.7431764526404425E-3</v>
      </c>
      <c r="GM72" s="1">
        <v>326</v>
      </c>
      <c r="GN72" s="13">
        <f t="shared" si="227"/>
        <v>8.666666666666667E-2</v>
      </c>
      <c r="GO72" s="1">
        <v>389718.15393524361</v>
      </c>
      <c r="GP72" s="13">
        <f t="shared" si="228"/>
        <v>3.5430756623524573E-3</v>
      </c>
      <c r="GQ72" s="1">
        <v>343.47</v>
      </c>
      <c r="GR72" s="13">
        <f t="shared" si="229"/>
        <v>5.3588957055214825E-2</v>
      </c>
      <c r="GS72" s="1">
        <v>390566.99161893019</v>
      </c>
      <c r="GT72" s="13">
        <f t="shared" si="168"/>
        <v>2.1780809416120928E-3</v>
      </c>
      <c r="GU72">
        <v>312</v>
      </c>
      <c r="GV72" s="13">
        <f t="shared" si="169"/>
        <v>-9.1623722595859936E-2</v>
      </c>
      <c r="GW72">
        <v>394269.13924953871</v>
      </c>
      <c r="GX72" s="13">
        <f t="shared" si="230"/>
        <v>9.478905565631246E-3</v>
      </c>
      <c r="GY72">
        <v>263</v>
      </c>
      <c r="GZ72" s="13">
        <f t="shared" si="231"/>
        <v>-0.15705128205128205</v>
      </c>
      <c r="HA72">
        <v>403025.91958861379</v>
      </c>
      <c r="HB72" s="13">
        <v>2.2210159171328847E-2</v>
      </c>
      <c r="HC72">
        <v>230</v>
      </c>
      <c r="HD72" s="13">
        <v>-0.12547528517110262</v>
      </c>
      <c r="HE72">
        <v>398024.86810061842</v>
      </c>
      <c r="HF72" s="13">
        <v>-1.2408758953022625E-2</v>
      </c>
      <c r="HG72">
        <v>257</v>
      </c>
      <c r="HH72" s="13">
        <v>0.11739130434782608</v>
      </c>
      <c r="HI72">
        <f>VLOOKUP(A72,[4]Москва_продажа_районы!$C$4:$F$151,3,0)</f>
        <v>400839.50991113961</v>
      </c>
      <c r="HJ72" s="13">
        <f t="shared" si="232"/>
        <v>7.0715225004727156E-3</v>
      </c>
      <c r="HK72">
        <f>VLOOKUP(A72,[4]Москва_продажа_районы!$C$4:$F$151,2,0)</f>
        <v>275</v>
      </c>
      <c r="HL72" s="13">
        <f t="shared" si="233"/>
        <v>7.0038910505836549E-2</v>
      </c>
      <c r="HM72" s="1">
        <f>VLOOKUP(A72,Лист3!$C$4:$F$149,3,0)</f>
        <v>403497.23413418158</v>
      </c>
      <c r="HN72" s="13">
        <f t="shared" si="234"/>
        <v>6.6303948521220235E-3</v>
      </c>
      <c r="HO72">
        <f>VLOOKUP(A72,Лист3!$C$4:$F$149,2,0)</f>
        <v>241</v>
      </c>
      <c r="HP72" s="13">
        <f t="shared" si="235"/>
        <v>-0.12363636363636366</v>
      </c>
      <c r="HQ72" s="1">
        <v>401536.1373564931</v>
      </c>
      <c r="HR72" s="13">
        <v>-4.8602483779016659E-3</v>
      </c>
      <c r="HS72">
        <v>236</v>
      </c>
      <c r="HT72" s="13">
        <v>-2.0746887966805017E-2</v>
      </c>
      <c r="HU72" s="34">
        <v>419547.19415217539</v>
      </c>
      <c r="HV72" s="13">
        <v>4.4855381919689297E-2</v>
      </c>
      <c r="HW72">
        <v>261</v>
      </c>
      <c r="HX72" s="13">
        <v>0.10593220338983045</v>
      </c>
      <c r="HY72">
        <v>410896.57784223207</v>
      </c>
      <c r="HZ72" s="13">
        <v>-2.0618934962548296E-2</v>
      </c>
      <c r="IA72">
        <v>301</v>
      </c>
      <c r="IB72" s="13">
        <v>0.15325670498084287</v>
      </c>
      <c r="IC72" s="34">
        <v>399381.94345230592</v>
      </c>
      <c r="ID72" s="13">
        <v>-2.8023193696072424E-2</v>
      </c>
      <c r="IE72">
        <v>270</v>
      </c>
      <c r="IF72" s="13">
        <v>-0.10299003322259137</v>
      </c>
    </row>
    <row r="73" spans="1:240" x14ac:dyDescent="0.3">
      <c r="A73" s="23" t="s">
        <v>85</v>
      </c>
      <c r="B73" s="22">
        <v>241520.35597966111</v>
      </c>
      <c r="C73">
        <v>295</v>
      </c>
      <c r="D73" s="22">
        <v>245802.44181691736</v>
      </c>
      <c r="E73">
        <v>266</v>
      </c>
      <c r="F73" s="22">
        <v>252725.96679005236</v>
      </c>
      <c r="G73">
        <v>191</v>
      </c>
      <c r="H73" s="22">
        <v>253371.30813143213</v>
      </c>
      <c r="I73">
        <v>206</v>
      </c>
      <c r="J73" s="22">
        <v>249675.77085054567</v>
      </c>
      <c r="K73">
        <v>264</v>
      </c>
      <c r="L73" s="22">
        <v>251023.90697550349</v>
      </c>
      <c r="M73">
        <v>250</v>
      </c>
      <c r="N73" s="22">
        <v>253674.44661803733</v>
      </c>
      <c r="O73" s="28">
        <v>253</v>
      </c>
      <c r="P73" s="35">
        <v>256600.41353386469</v>
      </c>
      <c r="Q73" s="28">
        <v>225</v>
      </c>
      <c r="R73" s="35">
        <v>260878.97275807374</v>
      </c>
      <c r="S73">
        <v>239</v>
      </c>
      <c r="T73" s="46">
        <v>269064.07135832799</v>
      </c>
      <c r="U73" s="47">
        <v>217</v>
      </c>
      <c r="V73" s="56">
        <v>272285.39998413308</v>
      </c>
      <c r="W73" s="47">
        <v>193</v>
      </c>
      <c r="X73" s="56">
        <v>287324.96310565493</v>
      </c>
      <c r="Y73" s="47">
        <v>186</v>
      </c>
      <c r="Z73" s="34">
        <v>293318.67659349815</v>
      </c>
      <c r="AA73" s="81">
        <v>183</v>
      </c>
      <c r="AB73" s="1">
        <v>286508.37466377468</v>
      </c>
      <c r="AC73" s="1">
        <v>218</v>
      </c>
      <c r="AD73" s="1">
        <v>298316.54940150143</v>
      </c>
      <c r="AE73">
        <v>182</v>
      </c>
      <c r="AF73" s="13">
        <f t="shared" si="180"/>
        <v>3.8254895004736111E-2</v>
      </c>
      <c r="AG73" s="85">
        <f t="shared" si="170"/>
        <v>5.3893988747408944E-2</v>
      </c>
      <c r="AH73" s="35">
        <f t="shared" si="171"/>
        <v>21.557595498963579</v>
      </c>
      <c r="AI73" s="87">
        <f t="shared" si="172"/>
        <v>203.55759549896356</v>
      </c>
      <c r="AL73" s="1">
        <v>296053.35873332119</v>
      </c>
      <c r="AM73">
        <v>177</v>
      </c>
      <c r="AN73" s="13">
        <f t="shared" si="173"/>
        <v>5.083285468121769E-2</v>
      </c>
      <c r="AQ73" s="35">
        <f t="shared" si="174"/>
        <v>12.809879379666858</v>
      </c>
      <c r="AR73" s="87">
        <f t="shared" si="175"/>
        <v>189.80987937966685</v>
      </c>
      <c r="AS73">
        <v>176</v>
      </c>
      <c r="AT73" s="1">
        <v>295735.3779046784</v>
      </c>
      <c r="AU73" s="13">
        <f t="shared" si="176"/>
        <v>-1.074065938664881E-3</v>
      </c>
      <c r="AV73">
        <v>179</v>
      </c>
      <c r="AW73" s="1">
        <v>306939.32466115709</v>
      </c>
      <c r="AX73" s="35">
        <v>190.52828546562228</v>
      </c>
      <c r="AY73" s="121">
        <v>309754.89031840808</v>
      </c>
      <c r="AZ73" s="122">
        <v>186</v>
      </c>
      <c r="BA73" s="119">
        <v>313956.03809207049</v>
      </c>
      <c r="BB73">
        <v>228</v>
      </c>
      <c r="BC73" s="125">
        <f t="shared" si="177"/>
        <v>1.3562813388818151E-2</v>
      </c>
      <c r="BD73">
        <v>228</v>
      </c>
      <c r="BE73" s="1">
        <v>317878.24339849461</v>
      </c>
      <c r="BF73" s="13">
        <f t="shared" si="154"/>
        <v>1.2492848776725518E-2</v>
      </c>
      <c r="BG73">
        <v>205</v>
      </c>
      <c r="BH73" s="1">
        <v>319567.84964507731</v>
      </c>
      <c r="BI73" s="13">
        <f t="shared" si="123"/>
        <v>5.3152623108734254E-3</v>
      </c>
      <c r="BJ73">
        <v>230</v>
      </c>
      <c r="BK73" s="1">
        <v>318731.03911556152</v>
      </c>
      <c r="BL73" s="13">
        <f t="shared" si="155"/>
        <v>-2.6185692035202157E-3</v>
      </c>
      <c r="BM73" s="1">
        <v>326037.84772954829</v>
      </c>
      <c r="BN73" s="109">
        <f t="shared" si="156"/>
        <v>2.2924684819722208E-2</v>
      </c>
      <c r="BO73">
        <v>213</v>
      </c>
      <c r="BP73" s="13">
        <f t="shared" si="157"/>
        <v>-7.3913043478260887E-2</v>
      </c>
      <c r="BQ73" s="1">
        <v>332140.89819960343</v>
      </c>
      <c r="BR73" s="13">
        <f t="shared" si="178"/>
        <v>1.8718840504424072E-2</v>
      </c>
      <c r="BS73">
        <v>207</v>
      </c>
      <c r="BT73" s="13">
        <f t="shared" si="179"/>
        <v>-2.8169014084507005E-2</v>
      </c>
      <c r="BU73" s="1">
        <v>338870.93861523009</v>
      </c>
      <c r="BV73" s="13">
        <f t="shared" si="158"/>
        <v>2.0262606779554604E-2</v>
      </c>
      <c r="BW73">
        <v>192</v>
      </c>
      <c r="BX73" s="13">
        <f t="shared" si="159"/>
        <v>-7.2463768115942018E-2</v>
      </c>
      <c r="BY73" s="1">
        <v>350260.76816362259</v>
      </c>
      <c r="BZ73" s="13">
        <f t="shared" si="160"/>
        <v>3.361111340776568E-2</v>
      </c>
      <c r="CA73">
        <v>191</v>
      </c>
      <c r="CB73" s="13">
        <f t="shared" si="161"/>
        <v>-5.2083333333333703E-3</v>
      </c>
      <c r="CC73" s="1">
        <v>345515.96422550501</v>
      </c>
      <c r="CD73" s="13">
        <f t="shared" si="162"/>
        <v>-1.3546489842393816E-2</v>
      </c>
      <c r="CE73">
        <v>232</v>
      </c>
      <c r="CF73" s="13">
        <f t="shared" si="163"/>
        <v>0.21465968586387429</v>
      </c>
      <c r="CG73" s="1">
        <v>360028.4192946165</v>
      </c>
      <c r="CH73" s="13">
        <f t="shared" si="164"/>
        <v>4.2002270724717627E-2</v>
      </c>
      <c r="CI73">
        <v>291</v>
      </c>
      <c r="CJ73" s="13">
        <f t="shared" si="165"/>
        <v>0.2543103448275863</v>
      </c>
      <c r="CK73" s="1">
        <v>338329.64699029911</v>
      </c>
      <c r="CL73" s="13">
        <f t="shared" si="166"/>
        <v>-6.0269609679231895E-2</v>
      </c>
      <c r="CM73">
        <v>281</v>
      </c>
      <c r="CN73" s="13">
        <f t="shared" si="167"/>
        <v>-3.4364261168384869E-2</v>
      </c>
      <c r="CO73" s="1">
        <v>334606.02033032879</v>
      </c>
      <c r="CP73" s="13">
        <v>-1.100591299962872E-2</v>
      </c>
      <c r="CQ73">
        <v>281</v>
      </c>
      <c r="CR73" s="13">
        <v>0</v>
      </c>
      <c r="CS73" s="1">
        <v>331504.05409442092</v>
      </c>
      <c r="CT73" s="13">
        <f t="shared" si="181"/>
        <v>-9.2705033604761899E-3</v>
      </c>
      <c r="CU73">
        <v>308</v>
      </c>
      <c r="CV73" s="13">
        <f t="shared" si="182"/>
        <v>9.6085409252669063E-2</v>
      </c>
      <c r="CW73" s="1">
        <v>327184.14679694333</v>
      </c>
      <c r="CX73" s="13">
        <f t="shared" si="183"/>
        <v>-1.303123519643945E-2</v>
      </c>
      <c r="CY73">
        <v>366</v>
      </c>
      <c r="CZ73" s="13">
        <f t="shared" si="184"/>
        <v>0.18831168831168821</v>
      </c>
      <c r="DA73" s="1">
        <v>323947.30885746313</v>
      </c>
      <c r="DB73" s="13">
        <f t="shared" si="185"/>
        <v>-9.8930158174473926E-3</v>
      </c>
      <c r="DC73">
        <v>334</v>
      </c>
      <c r="DD73" s="13">
        <f t="shared" si="186"/>
        <v>-8.7431693989071024E-2</v>
      </c>
      <c r="DE73" s="1">
        <v>321645.86299617658</v>
      </c>
      <c r="DF73" s="13">
        <f t="shared" si="187"/>
        <v>-7.1043833313619853E-3</v>
      </c>
      <c r="DG73" s="1">
        <v>323</v>
      </c>
      <c r="DH73" s="13">
        <f t="shared" si="188"/>
        <v>-3.2934131736526928E-2</v>
      </c>
      <c r="DI73" s="1">
        <v>319361.54454519588</v>
      </c>
      <c r="DJ73" s="13">
        <f t="shared" si="189"/>
        <v>-7.101967454833602E-3</v>
      </c>
      <c r="DK73" s="1">
        <v>289</v>
      </c>
      <c r="DL73" s="13">
        <f t="shared" si="190"/>
        <v>-0.10526315789473684</v>
      </c>
      <c r="DM73" s="1">
        <v>321076.48837123677</v>
      </c>
      <c r="DN73" s="13">
        <f t="shared" si="191"/>
        <v>5.3699133641251784E-3</v>
      </c>
      <c r="DO73" s="1">
        <v>308</v>
      </c>
      <c r="DP73" s="13">
        <f t="shared" si="192"/>
        <v>6.5743944636678098E-2</v>
      </c>
      <c r="DQ73" s="1">
        <v>324382.42392728309</v>
      </c>
      <c r="DR73" s="13">
        <f t="shared" si="193"/>
        <v>1.0296411215958923E-2</v>
      </c>
      <c r="DS73">
        <v>303</v>
      </c>
      <c r="DT73" s="13">
        <f t="shared" si="194"/>
        <v>-1.6233766233766267E-2</v>
      </c>
      <c r="DU73" s="1">
        <v>324888.95953267772</v>
      </c>
      <c r="DV73" s="13">
        <f t="shared" si="195"/>
        <v>1.5615383819567175E-3</v>
      </c>
      <c r="DW73">
        <v>275</v>
      </c>
      <c r="DX73" s="13">
        <f t="shared" si="196"/>
        <v>-9.2409240924092417E-2</v>
      </c>
      <c r="DY73" s="1">
        <v>326935.56794394151</v>
      </c>
      <c r="DZ73" s="13">
        <f t="shared" si="197"/>
        <v>6.2994089248451512E-3</v>
      </c>
      <c r="EA73" s="1">
        <v>274</v>
      </c>
      <c r="EB73" s="13">
        <f t="shared" si="198"/>
        <v>-3.6363636363636598E-3</v>
      </c>
      <c r="EC73" s="1">
        <v>331688.62191633048</v>
      </c>
      <c r="ED73" s="13">
        <f t="shared" si="199"/>
        <v>1.4538197854336632E-2</v>
      </c>
      <c r="EE73" s="1">
        <f>IFERROR(VLOOKUP($A73,[1]Москва_продажа_районы!$C$2:$F$148,2,0),"")</f>
        <v>283</v>
      </c>
      <c r="EF73" s="13">
        <v>3.2846715328467058E-2</v>
      </c>
      <c r="EG73" s="1">
        <v>337208.41504701588</v>
      </c>
      <c r="EH73" s="13">
        <f t="shared" si="200"/>
        <v>1.6641490741511777E-2</v>
      </c>
      <c r="EI73" s="1">
        <f>IFERROR(VLOOKUP($A73,[2]Москва_продажа_районы!$C$2:$F$150,2,0),"")</f>
        <v>285</v>
      </c>
      <c r="EJ73" s="13">
        <v>7.0671378091873294E-3</v>
      </c>
      <c r="EK73" s="1">
        <v>335562.83880863991</v>
      </c>
      <c r="EL73" s="13">
        <f t="shared" si="201"/>
        <v>-4.8799975473522439E-3</v>
      </c>
      <c r="EM73">
        <v>296</v>
      </c>
      <c r="EN73" s="13">
        <f t="shared" si="202"/>
        <v>3.8596491228070073E-2</v>
      </c>
      <c r="EO73" s="1">
        <v>326428.51995986979</v>
      </c>
      <c r="EP73" s="13">
        <f t="shared" si="203"/>
        <v>-2.7220889181889141E-2</v>
      </c>
      <c r="EQ73">
        <v>268</v>
      </c>
      <c r="ER73" s="13">
        <f t="shared" si="204"/>
        <v>-9.4594594594594628E-2</v>
      </c>
      <c r="ES73" s="183">
        <v>321053.12491016253</v>
      </c>
      <c r="ET73" s="13">
        <f t="shared" si="205"/>
        <v>-1.6467295965340578E-2</v>
      </c>
      <c r="EU73">
        <v>273</v>
      </c>
      <c r="EV73" s="13">
        <f t="shared" si="206"/>
        <v>1.8656716417910557E-2</v>
      </c>
      <c r="EW73" s="183">
        <v>320344.35945371381</v>
      </c>
      <c r="EX73" s="13">
        <f t="shared" si="207"/>
        <v>-2.2076267179989006E-3</v>
      </c>
      <c r="EY73">
        <v>282</v>
      </c>
      <c r="EZ73" s="13">
        <f t="shared" si="208"/>
        <v>3.2967032967033072E-2</v>
      </c>
      <c r="FA73" s="1">
        <v>320964.99437437899</v>
      </c>
      <c r="FB73" s="13">
        <f t="shared" si="209"/>
        <v>1.9373992466218404E-3</v>
      </c>
      <c r="FC73" s="1">
        <v>277</v>
      </c>
      <c r="FD73" s="13">
        <f t="shared" si="210"/>
        <v>-1.7730496453900679E-2</v>
      </c>
      <c r="FE73" s="1">
        <v>322334.52531168947</v>
      </c>
      <c r="FF73" s="13">
        <f t="shared" si="211"/>
        <v>4.266916833033374E-3</v>
      </c>
      <c r="FG73" s="1">
        <v>282</v>
      </c>
      <c r="FH73" s="13">
        <f t="shared" si="212"/>
        <v>1.8050541516245522E-2</v>
      </c>
      <c r="FI73" s="1">
        <v>337548.11575371271</v>
      </c>
      <c r="FJ73" s="13">
        <f t="shared" si="213"/>
        <v>4.7198141208460553E-2</v>
      </c>
      <c r="FK73" s="1">
        <v>253</v>
      </c>
      <c r="FL73" s="13">
        <f t="shared" si="214"/>
        <v>-0.1028368794326241</v>
      </c>
      <c r="FM73" s="1">
        <v>351890.20782773371</v>
      </c>
      <c r="FN73" s="13">
        <f t="shared" si="215"/>
        <v>4.2489030169806874E-2</v>
      </c>
      <c r="FO73" s="1">
        <v>247</v>
      </c>
      <c r="FP73" s="13">
        <f t="shared" si="216"/>
        <v>-2.371541501976282E-2</v>
      </c>
      <c r="FQ73" s="1">
        <v>352396.89562382788</v>
      </c>
      <c r="FR73" s="13">
        <f t="shared" si="217"/>
        <v>1.4399030857437101E-3</v>
      </c>
      <c r="FS73">
        <v>254</v>
      </c>
      <c r="FT73" s="13">
        <f t="shared" si="218"/>
        <v>2.8340080971659853E-2</v>
      </c>
      <c r="FU73" s="1">
        <v>350719.67842309189</v>
      </c>
      <c r="FV73" s="13">
        <f t="shared" si="219"/>
        <v>-4.7594550961265192E-3</v>
      </c>
      <c r="FW73" s="1">
        <v>243</v>
      </c>
      <c r="FX73" s="13">
        <f t="shared" si="220"/>
        <v>-4.3307086614173262E-2</v>
      </c>
      <c r="FY73" s="1">
        <v>353280.07331309188</v>
      </c>
      <c r="FZ73" s="13">
        <f t="shared" si="221"/>
        <v>7.3004027076897238E-3</v>
      </c>
      <c r="GA73" s="1">
        <v>244</v>
      </c>
      <c r="GB73" s="13">
        <f t="shared" si="222"/>
        <v>4.115226337448652E-3</v>
      </c>
      <c r="GC73" s="1">
        <v>362683.87187274819</v>
      </c>
      <c r="GD73" s="13">
        <f t="shared" si="223"/>
        <v>2.6618536594681608E-2</v>
      </c>
      <c r="GE73" s="1">
        <v>251</v>
      </c>
      <c r="GF73" s="13">
        <f t="shared" si="224"/>
        <v>2.8688524590164022E-2</v>
      </c>
      <c r="GG73" s="1">
        <f>IFERROR(VLOOKUP(A73,[3]Москва_продажа_районы!$C$2:$F$149,3,0),"")</f>
        <v>364601.42555877328</v>
      </c>
      <c r="GH73" s="13">
        <v>5.2871214706173841E-3</v>
      </c>
      <c r="GI73" s="1">
        <v>230</v>
      </c>
      <c r="GJ73" s="13">
        <f t="shared" si="225"/>
        <v>-8.3665338645418363E-2</v>
      </c>
      <c r="GK73" s="1">
        <v>361775.27208405623</v>
      </c>
      <c r="GL73" s="13">
        <f t="shared" si="226"/>
        <v>-7.7513505888953116E-3</v>
      </c>
      <c r="GM73" s="1">
        <v>243</v>
      </c>
      <c r="GN73" s="13">
        <f t="shared" si="227"/>
        <v>5.6521739130434678E-2</v>
      </c>
      <c r="GO73" s="1">
        <v>366225.57552563609</v>
      </c>
      <c r="GP73" s="13">
        <f t="shared" si="228"/>
        <v>1.230129250112455E-2</v>
      </c>
      <c r="GQ73" s="1">
        <v>239.68</v>
      </c>
      <c r="GR73" s="13">
        <f t="shared" si="229"/>
        <v>-1.366255144032924E-2</v>
      </c>
      <c r="GS73" s="1">
        <v>362989.02716599777</v>
      </c>
      <c r="GT73" s="13">
        <f t="shared" si="168"/>
        <v>-8.8375814687244869E-3</v>
      </c>
      <c r="GU73">
        <v>224</v>
      </c>
      <c r="GV73" s="13">
        <f t="shared" si="169"/>
        <v>-6.5420560747663559E-2</v>
      </c>
      <c r="GW73">
        <v>364165.1835314866</v>
      </c>
      <c r="GX73" s="13">
        <f t="shared" si="230"/>
        <v>3.2401981257437207E-3</v>
      </c>
      <c r="GY73">
        <v>197</v>
      </c>
      <c r="GZ73" s="13">
        <f t="shared" si="231"/>
        <v>-0.1205357142857143</v>
      </c>
      <c r="HA73">
        <v>364704.13065036858</v>
      </c>
      <c r="HB73" s="13">
        <v>1.4799523492485811E-3</v>
      </c>
      <c r="HC73">
        <v>188</v>
      </c>
      <c r="HD73" s="13">
        <v>-4.5685279187817285E-2</v>
      </c>
      <c r="HE73">
        <v>369380.20870388398</v>
      </c>
      <c r="HF73" s="13">
        <v>1.282156592297623E-2</v>
      </c>
      <c r="HG73">
        <v>214</v>
      </c>
      <c r="HH73" s="13">
        <v>0.13829787234042556</v>
      </c>
      <c r="HI73">
        <f>VLOOKUP(A73,[4]Москва_продажа_районы!$C$4:$F$151,3,0)</f>
        <v>373813.39183685329</v>
      </c>
      <c r="HJ73" s="13">
        <f t="shared" si="232"/>
        <v>1.2001680188889585E-2</v>
      </c>
      <c r="HK73">
        <f>VLOOKUP(A73,[4]Москва_продажа_районы!$C$4:$F$151,2,0)</f>
        <v>205</v>
      </c>
      <c r="HL73" s="13">
        <f t="shared" si="233"/>
        <v>-4.2056074766355089E-2</v>
      </c>
      <c r="HM73" s="1">
        <f>VLOOKUP(A73,Лист3!$C$4:$F$149,3,0)</f>
        <v>373935.89500322979</v>
      </c>
      <c r="HN73" s="13">
        <f t="shared" si="234"/>
        <v>3.2771208590087753E-4</v>
      </c>
      <c r="HO73">
        <f>VLOOKUP(A73,Лист3!$C$4:$F$149,2,0)</f>
        <v>187</v>
      </c>
      <c r="HP73" s="13">
        <f t="shared" si="235"/>
        <v>-8.7804878048780455E-2</v>
      </c>
      <c r="HQ73" s="1">
        <v>374867.5255532703</v>
      </c>
      <c r="HR73" s="13">
        <v>2.4914178138273346E-3</v>
      </c>
      <c r="HS73">
        <v>189</v>
      </c>
      <c r="HT73" s="13">
        <v>1.0695187165775444E-2</v>
      </c>
      <c r="HU73" s="34">
        <v>379883.328907435</v>
      </c>
      <c r="HV73" s="13">
        <v>1.3380202370855798E-2</v>
      </c>
      <c r="HW73">
        <v>191</v>
      </c>
      <c r="HX73" s="13">
        <v>1.0582010582010692E-2</v>
      </c>
      <c r="HY73">
        <v>379577.8472356564</v>
      </c>
      <c r="HZ73" s="13">
        <v>-8.0414603256528938E-4</v>
      </c>
      <c r="IA73">
        <v>193</v>
      </c>
      <c r="IB73" s="13">
        <v>1.0471204188481575E-2</v>
      </c>
      <c r="IC73" s="34">
        <v>384319.32465922227</v>
      </c>
      <c r="ID73" s="13">
        <v>1.249144927212309E-2</v>
      </c>
      <c r="IE73">
        <v>201</v>
      </c>
      <c r="IF73" s="13">
        <v>4.1450777202072464E-2</v>
      </c>
    </row>
    <row r="74" spans="1:240" x14ac:dyDescent="0.3">
      <c r="A74" s="23" t="s">
        <v>86</v>
      </c>
      <c r="B74" s="22">
        <v>186404.60311794866</v>
      </c>
      <c r="C74">
        <v>663</v>
      </c>
      <c r="D74" s="22">
        <v>186914.80521183784</v>
      </c>
      <c r="E74">
        <v>642</v>
      </c>
      <c r="F74" s="22">
        <v>186176.15321352656</v>
      </c>
      <c r="G74">
        <v>414</v>
      </c>
      <c r="H74" s="22">
        <v>186531.10371175475</v>
      </c>
      <c r="I74">
        <v>425</v>
      </c>
      <c r="J74" s="22">
        <v>187247.06403317407</v>
      </c>
      <c r="K74">
        <v>534</v>
      </c>
      <c r="L74" s="22">
        <v>187012.83134339959</v>
      </c>
      <c r="M74">
        <v>542</v>
      </c>
      <c r="N74" s="22">
        <v>188999.34775428078</v>
      </c>
      <c r="O74" s="28">
        <v>528</v>
      </c>
      <c r="P74" s="35">
        <v>193518.52736338947</v>
      </c>
      <c r="Q74" s="28">
        <v>448</v>
      </c>
      <c r="R74" s="35">
        <v>200468.10375675943</v>
      </c>
      <c r="S74">
        <v>381</v>
      </c>
      <c r="T74" s="46">
        <v>245543.79027099098</v>
      </c>
      <c r="U74" s="47">
        <v>355</v>
      </c>
      <c r="V74" s="56">
        <v>210865.5958951611</v>
      </c>
      <c r="W74" s="47">
        <v>334</v>
      </c>
      <c r="X74" s="56">
        <v>217746.6960904955</v>
      </c>
      <c r="Y74" s="47">
        <v>321</v>
      </c>
      <c r="Z74" s="34">
        <v>210803.79744502582</v>
      </c>
      <c r="AA74" s="81">
        <v>392</v>
      </c>
      <c r="AB74" s="1">
        <v>222916.3594704362</v>
      </c>
      <c r="AC74" s="1">
        <v>437</v>
      </c>
      <c r="AD74" s="1">
        <v>228644.4227708125</v>
      </c>
      <c r="AE74">
        <v>397</v>
      </c>
      <c r="AF74" s="13">
        <f t="shared" si="180"/>
        <v>5.0047724608358157E-2</v>
      </c>
      <c r="AG74" s="85">
        <f t="shared" si="170"/>
        <v>0.11755996446550193</v>
      </c>
      <c r="AH74" s="35">
        <f t="shared" si="171"/>
        <v>47.023985786200775</v>
      </c>
      <c r="AI74" s="87">
        <f t="shared" si="172"/>
        <v>444.0239857862008</v>
      </c>
      <c r="AL74" s="1">
        <v>234925.0086969432</v>
      </c>
      <c r="AM74">
        <v>388</v>
      </c>
      <c r="AN74" s="13">
        <f t="shared" si="173"/>
        <v>0.11143021252153934</v>
      </c>
      <c r="AQ74" s="35">
        <f t="shared" si="174"/>
        <v>28.080413555427914</v>
      </c>
      <c r="AR74" s="87">
        <f t="shared" si="175"/>
        <v>416.08041355542792</v>
      </c>
      <c r="AS74">
        <v>394</v>
      </c>
      <c r="AT74" s="1">
        <v>236523.0140960867</v>
      </c>
      <c r="AU74" s="13">
        <f t="shared" si="176"/>
        <v>6.8021936362039348E-3</v>
      </c>
      <c r="AV74">
        <v>403</v>
      </c>
      <c r="AW74" s="1">
        <v>242453.8075467009</v>
      </c>
      <c r="AX74" s="35">
        <v>428.95474325500436</v>
      </c>
      <c r="AY74" s="121">
        <v>244730.3812542246</v>
      </c>
      <c r="AZ74" s="122">
        <v>438</v>
      </c>
      <c r="BA74" s="119">
        <v>250633.54809292901</v>
      </c>
      <c r="BB74">
        <v>478</v>
      </c>
      <c r="BC74" s="125">
        <f t="shared" si="177"/>
        <v>2.4121103430032376E-2</v>
      </c>
      <c r="BD74">
        <v>477</v>
      </c>
      <c r="BE74" s="1">
        <v>256361.42866346869</v>
      </c>
      <c r="BF74" s="13">
        <f t="shared" si="154"/>
        <v>2.2853606846023444E-2</v>
      </c>
      <c r="BG74">
        <v>474</v>
      </c>
      <c r="BH74" s="1">
        <v>259679.40106911561</v>
      </c>
      <c r="BI74" s="13">
        <f t="shared" si="123"/>
        <v>1.2942557010019229E-2</v>
      </c>
      <c r="BJ74">
        <v>444</v>
      </c>
      <c r="BK74" s="1">
        <v>262457.13745947898</v>
      </c>
      <c r="BL74" s="13">
        <f t="shared" si="155"/>
        <v>1.0696791424068541E-2</v>
      </c>
      <c r="BM74" s="1">
        <v>265938.87198634353</v>
      </c>
      <c r="BN74" s="109">
        <f t="shared" si="156"/>
        <v>1.3265916715266002E-2</v>
      </c>
      <c r="BO74">
        <v>402</v>
      </c>
      <c r="BP74" s="13">
        <f t="shared" si="157"/>
        <v>-9.4594594594594628E-2</v>
      </c>
      <c r="BQ74" s="1">
        <v>270247.85092737532</v>
      </c>
      <c r="BR74" s="13">
        <f t="shared" si="178"/>
        <v>1.620289244985984E-2</v>
      </c>
      <c r="BS74">
        <v>424</v>
      </c>
      <c r="BT74" s="13">
        <f t="shared" si="179"/>
        <v>5.4726368159204064E-2</v>
      </c>
      <c r="BU74" s="1">
        <v>276560.38315961632</v>
      </c>
      <c r="BV74" s="13">
        <f t="shared" si="158"/>
        <v>2.3358306867488743E-2</v>
      </c>
      <c r="BW74">
        <v>416</v>
      </c>
      <c r="BX74" s="13">
        <f t="shared" si="159"/>
        <v>-1.8867924528301883E-2</v>
      </c>
      <c r="BY74" s="1">
        <v>278027.69596333557</v>
      </c>
      <c r="BZ74" s="13">
        <f t="shared" si="160"/>
        <v>5.3055784308499998E-3</v>
      </c>
      <c r="CA74">
        <v>391</v>
      </c>
      <c r="CB74" s="13">
        <f t="shared" si="161"/>
        <v>-6.0096153846153855E-2</v>
      </c>
      <c r="CC74" s="1">
        <v>274815.02945458947</v>
      </c>
      <c r="CD74" s="13">
        <f t="shared" si="162"/>
        <v>-1.1555203152026183E-2</v>
      </c>
      <c r="CE74">
        <v>431</v>
      </c>
      <c r="CF74" s="13">
        <f t="shared" si="163"/>
        <v>0.10230179028132991</v>
      </c>
      <c r="CG74" s="1">
        <v>269923.63686453819</v>
      </c>
      <c r="CH74" s="13">
        <f t="shared" si="164"/>
        <v>-1.7798854013766907E-2</v>
      </c>
      <c r="CI74">
        <v>466</v>
      </c>
      <c r="CJ74" s="13">
        <f t="shared" si="165"/>
        <v>8.1206496519721671E-2</v>
      </c>
      <c r="CK74" s="1">
        <v>269392.58070321049</v>
      </c>
      <c r="CL74" s="13">
        <f t="shared" si="166"/>
        <v>-1.9674311130973843E-3</v>
      </c>
      <c r="CM74">
        <v>485</v>
      </c>
      <c r="CN74" s="13">
        <f t="shared" si="167"/>
        <v>4.0772532188841248E-2</v>
      </c>
      <c r="CO74" s="1">
        <v>267149.92164299422</v>
      </c>
      <c r="CP74" s="13">
        <v>-8.3248731437299828E-3</v>
      </c>
      <c r="CQ74">
        <v>494</v>
      </c>
      <c r="CR74" s="13">
        <v>1.8556701030927769E-2</v>
      </c>
      <c r="CS74" s="1">
        <v>265222.07477818918</v>
      </c>
      <c r="CT74" s="13">
        <f t="shared" si="181"/>
        <v>-7.2163482322907813E-3</v>
      </c>
      <c r="CU74">
        <v>564</v>
      </c>
      <c r="CV74" s="13">
        <f t="shared" si="182"/>
        <v>0.14170040485829949</v>
      </c>
      <c r="CW74" s="1">
        <v>262163.52847482258</v>
      </c>
      <c r="CX74" s="13">
        <f t="shared" si="183"/>
        <v>-1.1532020122851927E-2</v>
      </c>
      <c r="CY74">
        <v>583</v>
      </c>
      <c r="CZ74" s="13">
        <f t="shared" si="184"/>
        <v>3.3687943262411313E-2</v>
      </c>
      <c r="DA74" s="1">
        <v>257637.49400462941</v>
      </c>
      <c r="DB74" s="13">
        <f t="shared" si="185"/>
        <v>-1.7264165219792793E-2</v>
      </c>
      <c r="DC74">
        <v>570</v>
      </c>
      <c r="DD74" s="13">
        <f t="shared" si="186"/>
        <v>-2.2298456260720356E-2</v>
      </c>
      <c r="DE74" s="1">
        <v>255493.91842613561</v>
      </c>
      <c r="DF74" s="13">
        <f t="shared" si="187"/>
        <v>-8.3201227630915753E-3</v>
      </c>
      <c r="DG74" s="1">
        <v>551</v>
      </c>
      <c r="DH74" s="13">
        <f t="shared" si="188"/>
        <v>-3.3333333333333326E-2</v>
      </c>
      <c r="DI74" s="1">
        <v>256928.3421733008</v>
      </c>
      <c r="DJ74" s="13">
        <f t="shared" si="189"/>
        <v>5.6143165990070187E-3</v>
      </c>
      <c r="DK74" s="1">
        <v>513</v>
      </c>
      <c r="DL74" s="13">
        <f t="shared" si="190"/>
        <v>-6.8965517241379337E-2</v>
      </c>
      <c r="DM74" s="1">
        <v>256410.16869300409</v>
      </c>
      <c r="DN74" s="13">
        <f t="shared" si="191"/>
        <v>-2.0168015560820818E-3</v>
      </c>
      <c r="DO74" s="1">
        <v>525</v>
      </c>
      <c r="DP74" s="13">
        <f t="shared" si="192"/>
        <v>2.3391812865497075E-2</v>
      </c>
      <c r="DQ74" s="1">
        <v>255936.16537072379</v>
      </c>
      <c r="DR74" s="13">
        <f t="shared" si="193"/>
        <v>-1.8486135892988864E-3</v>
      </c>
      <c r="DS74">
        <v>588</v>
      </c>
      <c r="DT74" s="13">
        <f t="shared" si="194"/>
        <v>0.12000000000000011</v>
      </c>
      <c r="DU74" s="1">
        <v>256091.88626054549</v>
      </c>
      <c r="DV74" s="13">
        <f t="shared" si="195"/>
        <v>6.0843644193919744E-4</v>
      </c>
      <c r="DW74">
        <v>559</v>
      </c>
      <c r="DX74" s="13">
        <f t="shared" si="196"/>
        <v>-4.9319727891156462E-2</v>
      </c>
      <c r="DY74" s="1">
        <v>255445.84317993309</v>
      </c>
      <c r="DZ74" s="13">
        <f t="shared" si="197"/>
        <v>-2.5227003090411149E-3</v>
      </c>
      <c r="EA74" s="1">
        <v>525</v>
      </c>
      <c r="EB74" s="13">
        <f t="shared" si="198"/>
        <v>-6.0822898032200312E-2</v>
      </c>
      <c r="EC74" s="1">
        <v>257651.45903652321</v>
      </c>
      <c r="ED74" s="13">
        <f t="shared" si="199"/>
        <v>8.6343775617303553E-3</v>
      </c>
      <c r="EE74" s="1">
        <f>IFERROR(VLOOKUP($A74,[1]Москва_продажа_районы!$C$2:$F$148,2,0),"")</f>
        <v>533</v>
      </c>
      <c r="EF74" s="13">
        <v>1.5238095238095273E-2</v>
      </c>
      <c r="EG74" s="1">
        <v>260428.60454704391</v>
      </c>
      <c r="EH74" s="13">
        <f t="shared" si="200"/>
        <v>1.0778691185781453E-2</v>
      </c>
      <c r="EI74" s="1">
        <f>IFERROR(VLOOKUP($A74,[2]Москва_продажа_районы!$C$2:$F$150,2,0),"")</f>
        <v>510</v>
      </c>
      <c r="EJ74" s="13">
        <v>-4.315196998123827E-2</v>
      </c>
      <c r="EK74" s="1">
        <v>266283.64902536268</v>
      </c>
      <c r="EL74" s="13">
        <f t="shared" si="201"/>
        <v>2.2482340173431759E-2</v>
      </c>
      <c r="EM74">
        <v>442</v>
      </c>
      <c r="EN74" s="13">
        <f t="shared" si="202"/>
        <v>-0.1333333333333333</v>
      </c>
      <c r="EO74" s="1">
        <v>272162.6961594398</v>
      </c>
      <c r="EP74" s="13">
        <f t="shared" si="203"/>
        <v>2.2078137938980946E-2</v>
      </c>
      <c r="EQ74">
        <v>407</v>
      </c>
      <c r="ER74" s="13">
        <f t="shared" si="204"/>
        <v>-7.9185520361991002E-2</v>
      </c>
      <c r="ES74" s="183">
        <v>277602.24327319488</v>
      </c>
      <c r="ET74" s="13">
        <f t="shared" si="205"/>
        <v>1.9986380170809559E-2</v>
      </c>
      <c r="EU74">
        <v>439</v>
      </c>
      <c r="EV74" s="13">
        <f t="shared" si="206"/>
        <v>7.8624078624078608E-2</v>
      </c>
      <c r="EW74" s="183">
        <v>279664.42368832423</v>
      </c>
      <c r="EX74" s="13">
        <f t="shared" si="207"/>
        <v>7.4285437711678615E-3</v>
      </c>
      <c r="EY74">
        <v>454</v>
      </c>
      <c r="EZ74" s="13">
        <f t="shared" si="208"/>
        <v>3.4168564920273425E-2</v>
      </c>
      <c r="FA74" s="1">
        <v>281640.29212654522</v>
      </c>
      <c r="FB74" s="13">
        <f t="shared" si="209"/>
        <v>7.0651404714352495E-3</v>
      </c>
      <c r="FC74" s="1">
        <v>386</v>
      </c>
      <c r="FD74" s="13">
        <f t="shared" si="210"/>
        <v>-0.14977973568281944</v>
      </c>
      <c r="FE74" s="1">
        <v>283995.2576764031</v>
      </c>
      <c r="FF74" s="13">
        <f t="shared" si="211"/>
        <v>8.361607396713433E-3</v>
      </c>
      <c r="FG74" s="1">
        <v>383</v>
      </c>
      <c r="FH74" s="13">
        <f t="shared" si="212"/>
        <v>-7.7720207253886286E-3</v>
      </c>
      <c r="FI74" s="1">
        <v>282508.79414366948</v>
      </c>
      <c r="FJ74" s="13">
        <f t="shared" si="213"/>
        <v>-5.2341139246323554E-3</v>
      </c>
      <c r="FK74" s="1">
        <v>419</v>
      </c>
      <c r="FL74" s="13">
        <f t="shared" si="214"/>
        <v>9.3994778067885143E-2</v>
      </c>
      <c r="FM74" s="1">
        <v>282319.11783774168</v>
      </c>
      <c r="FN74" s="13">
        <f t="shared" si="215"/>
        <v>-6.7139965147899883E-4</v>
      </c>
      <c r="FO74" s="1">
        <v>428</v>
      </c>
      <c r="FP74" s="13">
        <f t="shared" si="216"/>
        <v>2.1479713603818507E-2</v>
      </c>
      <c r="FQ74" s="1">
        <v>283767.31133728463</v>
      </c>
      <c r="FR74" s="13">
        <f t="shared" si="217"/>
        <v>5.1296331280521468E-3</v>
      </c>
      <c r="FS74">
        <v>465</v>
      </c>
      <c r="FT74" s="13">
        <f t="shared" si="218"/>
        <v>8.6448598130841159E-2</v>
      </c>
      <c r="FU74" s="1">
        <v>283624.49928108172</v>
      </c>
      <c r="FV74" s="13">
        <f t="shared" si="219"/>
        <v>-5.0327169655273174E-4</v>
      </c>
      <c r="FW74" s="1">
        <v>467</v>
      </c>
      <c r="FX74" s="13">
        <f t="shared" si="220"/>
        <v>4.3010752688172893E-3</v>
      </c>
      <c r="FY74" s="1">
        <v>284393.64639377978</v>
      </c>
      <c r="FZ74" s="13">
        <f t="shared" si="221"/>
        <v>2.7118500504985654E-3</v>
      </c>
      <c r="GA74" s="1">
        <v>489</v>
      </c>
      <c r="GB74" s="13">
        <f t="shared" si="222"/>
        <v>4.7109207708779355E-2</v>
      </c>
      <c r="GC74" s="1">
        <v>283669.811914169</v>
      </c>
      <c r="GD74" s="13">
        <f t="shared" si="223"/>
        <v>-2.5451851290958505E-3</v>
      </c>
      <c r="GE74" s="1">
        <v>447</v>
      </c>
      <c r="GF74" s="13">
        <f t="shared" si="224"/>
        <v>-8.5889570552147187E-2</v>
      </c>
      <c r="GG74" s="1">
        <f>IFERROR(VLOOKUP(A74,[3]Москва_продажа_районы!$C$2:$F$149,3,0),"")</f>
        <v>284660.63015289069</v>
      </c>
      <c r="GH74" s="13">
        <v>3.4928575305062104E-3</v>
      </c>
      <c r="GI74" s="1">
        <v>472</v>
      </c>
      <c r="GJ74" s="13">
        <f t="shared" si="225"/>
        <v>5.5928411633109576E-2</v>
      </c>
      <c r="GK74" s="1">
        <v>283965.09372786467</v>
      </c>
      <c r="GL74" s="13">
        <f t="shared" si="226"/>
        <v>-2.4433882010745922E-3</v>
      </c>
      <c r="GM74" s="1">
        <v>478</v>
      </c>
      <c r="GN74" s="13">
        <f t="shared" si="227"/>
        <v>1.2711864406779627E-2</v>
      </c>
      <c r="GO74" s="1">
        <v>285921.28185703722</v>
      </c>
      <c r="GP74" s="13">
        <f t="shared" si="228"/>
        <v>6.8888330727270297E-3</v>
      </c>
      <c r="GQ74" s="1">
        <v>503.97</v>
      </c>
      <c r="GR74" s="13">
        <f t="shared" si="229"/>
        <v>5.4330543933054365E-2</v>
      </c>
      <c r="GS74" s="1">
        <v>285079.20008944953</v>
      </c>
      <c r="GT74" s="13">
        <f t="shared" si="168"/>
        <v>-2.945152463357803E-3</v>
      </c>
      <c r="GU74">
        <v>507</v>
      </c>
      <c r="GV74" s="13">
        <f t="shared" si="169"/>
        <v>6.0122626346805763E-3</v>
      </c>
      <c r="GW74">
        <v>283618.66998040001</v>
      </c>
      <c r="GX74" s="13">
        <f t="shared" si="230"/>
        <v>-5.1232433253328713E-3</v>
      </c>
      <c r="GY74">
        <v>429</v>
      </c>
      <c r="GZ74" s="13">
        <f t="shared" si="231"/>
        <v>-0.15384615384615385</v>
      </c>
      <c r="HA74">
        <v>285852.1886652722</v>
      </c>
      <c r="HB74" s="13">
        <v>7.8750763658350653E-3</v>
      </c>
      <c r="HC74">
        <v>378</v>
      </c>
      <c r="HD74" s="13">
        <v>-0.11888111888111885</v>
      </c>
      <c r="HE74">
        <v>290552.6997437221</v>
      </c>
      <c r="HF74" s="13">
        <v>1.6443851979577095E-2</v>
      </c>
      <c r="HG74">
        <v>367</v>
      </c>
      <c r="HH74" s="13">
        <v>-2.9100529100529071E-2</v>
      </c>
      <c r="HI74">
        <f>VLOOKUP(A74,[4]Москва_продажа_районы!$C$4:$F$151,3,0)</f>
        <v>287914.91673071001</v>
      </c>
      <c r="HJ74" s="13">
        <f t="shared" si="232"/>
        <v>-9.0785011302207952E-3</v>
      </c>
      <c r="HK74">
        <f>VLOOKUP(A74,[4]Москва_продажа_районы!$C$4:$F$151,2,0)</f>
        <v>354</v>
      </c>
      <c r="HL74" s="13">
        <f t="shared" si="233"/>
        <v>-3.5422343324250649E-2</v>
      </c>
      <c r="HM74" s="1">
        <f>VLOOKUP(A74,Лист3!$C$4:$F$149,3,0)</f>
        <v>291005.4861622873</v>
      </c>
      <c r="HN74" s="13">
        <f t="shared" si="234"/>
        <v>1.0734315077075118E-2</v>
      </c>
      <c r="HO74">
        <f>VLOOKUP(A74,Лист3!$C$4:$F$149,2,0)</f>
        <v>366</v>
      </c>
      <c r="HP74" s="13">
        <f t="shared" si="235"/>
        <v>3.3898305084745672E-2</v>
      </c>
      <c r="HQ74" s="1">
        <v>290967.08111801418</v>
      </c>
      <c r="HR74" s="13">
        <v>-1.3197360908756561E-4</v>
      </c>
      <c r="HS74">
        <v>344</v>
      </c>
      <c r="HT74" s="13">
        <v>-6.0109289617486295E-2</v>
      </c>
      <c r="HU74" s="34">
        <v>293948.31970135582</v>
      </c>
      <c r="HV74" s="13">
        <v>1.0245965185774697E-2</v>
      </c>
      <c r="HW74">
        <v>329</v>
      </c>
      <c r="HX74" s="13">
        <v>-4.3604651162790664E-2</v>
      </c>
      <c r="HY74">
        <v>296126.65948048048</v>
      </c>
      <c r="HZ74" s="13">
        <v>7.4106216403542202E-3</v>
      </c>
      <c r="IA74">
        <v>352</v>
      </c>
      <c r="IB74" s="13">
        <v>6.990881458966558E-2</v>
      </c>
      <c r="IC74" s="34">
        <v>295982.10495338129</v>
      </c>
      <c r="ID74" s="13">
        <v>-4.8815100725074778E-4</v>
      </c>
      <c r="IE74">
        <v>347</v>
      </c>
      <c r="IF74" s="13">
        <v>-1.4204545454545414E-2</v>
      </c>
    </row>
    <row r="75" spans="1:240" x14ac:dyDescent="0.3">
      <c r="A75" s="23" t="s">
        <v>87</v>
      </c>
      <c r="B75" s="22">
        <v>207599.90319282303</v>
      </c>
      <c r="C75">
        <v>209</v>
      </c>
      <c r="D75" s="22">
        <v>212282.59823695652</v>
      </c>
      <c r="E75">
        <v>184</v>
      </c>
      <c r="F75" s="22">
        <v>216117.37598166673</v>
      </c>
      <c r="G75">
        <v>120</v>
      </c>
      <c r="H75" s="22">
        <v>214521.59034827654</v>
      </c>
      <c r="I75">
        <v>122</v>
      </c>
      <c r="J75" s="22">
        <v>212155.4962689245</v>
      </c>
      <c r="K75">
        <v>153</v>
      </c>
      <c r="L75" s="22">
        <v>216293.49617084011</v>
      </c>
      <c r="M75">
        <v>120</v>
      </c>
      <c r="N75" s="22">
        <v>219679.07889642782</v>
      </c>
      <c r="O75" s="28">
        <v>125</v>
      </c>
      <c r="P75" s="35">
        <v>222266.5140374953</v>
      </c>
      <c r="Q75" s="28">
        <v>130</v>
      </c>
      <c r="R75" s="35">
        <v>226722.51203111085</v>
      </c>
      <c r="S75">
        <v>122</v>
      </c>
      <c r="T75" s="46">
        <v>232239.58276547521</v>
      </c>
      <c r="U75" s="47">
        <v>123</v>
      </c>
      <c r="V75" s="56">
        <v>232402.34321961421</v>
      </c>
      <c r="W75" s="47">
        <v>111</v>
      </c>
      <c r="X75" s="56">
        <v>236048.88164389771</v>
      </c>
      <c r="Y75" s="47">
        <v>85</v>
      </c>
      <c r="Z75" s="34">
        <v>224387.65302544949</v>
      </c>
      <c r="AA75" s="81">
        <v>99</v>
      </c>
      <c r="AB75" s="1">
        <v>225554.43351096599</v>
      </c>
      <c r="AC75" s="1">
        <v>107</v>
      </c>
      <c r="AD75" s="1">
        <v>260332.6910468062</v>
      </c>
      <c r="AE75">
        <v>113</v>
      </c>
      <c r="AF75" s="13">
        <f t="shared" si="180"/>
        <v>0.10287618917654062</v>
      </c>
      <c r="AG75" s="85">
        <f t="shared" si="170"/>
        <v>3.3461652354160494E-2</v>
      </c>
      <c r="AH75" s="35">
        <f t="shared" si="171"/>
        <v>13.384660941664198</v>
      </c>
      <c r="AI75" s="87">
        <f t="shared" si="172"/>
        <v>126.38466094166419</v>
      </c>
      <c r="AL75" s="1">
        <v>269013.54959910858</v>
      </c>
      <c r="AM75">
        <v>130</v>
      </c>
      <c r="AN75" s="13">
        <f t="shared" si="173"/>
        <v>3.7334865020103386E-2</v>
      </c>
      <c r="AQ75" s="35">
        <f t="shared" si="174"/>
        <v>9.4083859850660527</v>
      </c>
      <c r="AR75" s="87">
        <f t="shared" si="175"/>
        <v>139.40838598506605</v>
      </c>
      <c r="AS75">
        <v>123</v>
      </c>
      <c r="AT75" s="1">
        <v>268723.10172150191</v>
      </c>
      <c r="AU75" s="13">
        <f t="shared" si="176"/>
        <v>-1.0796775033804495E-3</v>
      </c>
      <c r="AV75">
        <v>125</v>
      </c>
      <c r="AW75" s="1">
        <v>262929.98617037782</v>
      </c>
      <c r="AX75" s="35">
        <v>133.05047867711053</v>
      </c>
      <c r="AY75" s="121">
        <v>271909.03729997488</v>
      </c>
      <c r="AZ75" s="122">
        <v>152</v>
      </c>
      <c r="BA75" s="119">
        <v>277895.11966136948</v>
      </c>
      <c r="BB75">
        <v>158</v>
      </c>
      <c r="BC75" s="125">
        <f t="shared" si="177"/>
        <v>2.2015018039987622E-2</v>
      </c>
      <c r="BD75">
        <v>190</v>
      </c>
      <c r="BE75" s="1">
        <v>280102.82021821599</v>
      </c>
      <c r="BF75" s="13">
        <f t="shared" si="154"/>
        <v>7.9443660598887966E-3</v>
      </c>
      <c r="BG75">
        <v>156</v>
      </c>
      <c r="BH75" s="1">
        <v>279380.5266848756</v>
      </c>
      <c r="BI75" s="13">
        <f t="shared" si="123"/>
        <v>-2.5786728344172616E-3</v>
      </c>
      <c r="BJ75">
        <v>150</v>
      </c>
      <c r="BK75" s="1">
        <v>285365.25060056773</v>
      </c>
      <c r="BL75" s="13">
        <f t="shared" si="155"/>
        <v>2.1421406805645082E-2</v>
      </c>
      <c r="BM75" s="1">
        <v>286972.22028900217</v>
      </c>
      <c r="BN75" s="109">
        <f t="shared" si="156"/>
        <v>5.6312732018088951E-3</v>
      </c>
      <c r="BO75">
        <v>134</v>
      </c>
      <c r="BP75" s="13">
        <f t="shared" si="157"/>
        <v>-0.10666666666666669</v>
      </c>
      <c r="BQ75" s="1">
        <v>300471.62473405647</v>
      </c>
      <c r="BR75" s="13">
        <f t="shared" si="178"/>
        <v>4.7040805662162732E-2</v>
      </c>
      <c r="BS75">
        <v>148</v>
      </c>
      <c r="BT75" s="13">
        <f t="shared" si="179"/>
        <v>0.10447761194029859</v>
      </c>
      <c r="BU75" s="1">
        <v>310682.39723019028</v>
      </c>
      <c r="BV75" s="13">
        <f t="shared" si="158"/>
        <v>3.3982485052195033E-2</v>
      </c>
      <c r="BW75">
        <v>132</v>
      </c>
      <c r="BX75" s="13">
        <f t="shared" si="159"/>
        <v>-0.10810810810810811</v>
      </c>
      <c r="BY75" s="1">
        <v>307791.04397687927</v>
      </c>
      <c r="BZ75" s="13">
        <f t="shared" si="160"/>
        <v>-9.3064598415878441E-3</v>
      </c>
      <c r="CA75">
        <v>119</v>
      </c>
      <c r="CB75" s="13">
        <f t="shared" si="161"/>
        <v>-9.8484848484848508E-2</v>
      </c>
      <c r="CC75" s="1">
        <v>303740.25718854478</v>
      </c>
      <c r="CD75" s="13">
        <f t="shared" si="162"/>
        <v>-1.3160833843621433E-2</v>
      </c>
      <c r="CE75">
        <v>134</v>
      </c>
      <c r="CF75" s="13">
        <f t="shared" si="163"/>
        <v>0.12605042016806722</v>
      </c>
      <c r="CG75" s="1">
        <v>324943.15016657178</v>
      </c>
      <c r="CH75" s="13">
        <f t="shared" si="164"/>
        <v>6.9806001925077243E-2</v>
      </c>
      <c r="CI75">
        <v>146</v>
      </c>
      <c r="CJ75" s="13">
        <f t="shared" si="165"/>
        <v>8.9552238805970186E-2</v>
      </c>
      <c r="CK75" s="1">
        <v>312643.41229105077</v>
      </c>
      <c r="CL75" s="13">
        <f t="shared" si="166"/>
        <v>-3.7851968472688013E-2</v>
      </c>
      <c r="CM75">
        <v>144</v>
      </c>
      <c r="CN75" s="13">
        <f t="shared" si="167"/>
        <v>-1.3698630136986356E-2</v>
      </c>
      <c r="CO75" s="1">
        <v>303865.1790001404</v>
      </c>
      <c r="CP75" s="13">
        <v>-2.8077461241174051E-2</v>
      </c>
      <c r="CQ75">
        <v>152</v>
      </c>
      <c r="CR75" s="13">
        <v>5.555555555555558E-2</v>
      </c>
      <c r="CS75" s="1">
        <v>301847.68064643251</v>
      </c>
      <c r="CT75" s="13">
        <f t="shared" si="181"/>
        <v>-6.6394522740197415E-3</v>
      </c>
      <c r="CU75">
        <v>172</v>
      </c>
      <c r="CV75" s="13">
        <f t="shared" si="182"/>
        <v>0.13157894736842102</v>
      </c>
      <c r="CW75" s="1">
        <v>295806.48722806392</v>
      </c>
      <c r="CX75" s="13">
        <f t="shared" si="183"/>
        <v>-2.0014046175312217E-2</v>
      </c>
      <c r="CY75">
        <v>170</v>
      </c>
      <c r="CZ75" s="13">
        <f t="shared" si="184"/>
        <v>-1.1627906976744207E-2</v>
      </c>
      <c r="DA75" s="1">
        <v>295796.27106151008</v>
      </c>
      <c r="DB75" s="13">
        <f t="shared" si="185"/>
        <v>-3.4536654856975879E-5</v>
      </c>
      <c r="DC75">
        <v>186</v>
      </c>
      <c r="DD75" s="13">
        <f t="shared" si="186"/>
        <v>9.4117647058823639E-2</v>
      </c>
      <c r="DE75" s="1">
        <v>293313.98373958259</v>
      </c>
      <c r="DF75" s="13">
        <f t="shared" si="187"/>
        <v>-8.3918817266337431E-3</v>
      </c>
      <c r="DG75" s="1">
        <v>172</v>
      </c>
      <c r="DH75" s="13">
        <f t="shared" si="188"/>
        <v>-7.5268817204301119E-2</v>
      </c>
      <c r="DI75" s="1">
        <v>282863.12253212911</v>
      </c>
      <c r="DJ75" s="13">
        <f t="shared" si="189"/>
        <v>-3.5630286269379585E-2</v>
      </c>
      <c r="DK75" s="1">
        <v>159</v>
      </c>
      <c r="DL75" s="13">
        <f t="shared" si="190"/>
        <v>-7.5581395348837233E-2</v>
      </c>
      <c r="DM75" s="1">
        <v>289297.58207015169</v>
      </c>
      <c r="DN75" s="13">
        <f t="shared" si="191"/>
        <v>2.2747608385365714E-2</v>
      </c>
      <c r="DO75" s="1">
        <v>177</v>
      </c>
      <c r="DP75" s="13">
        <f t="shared" si="192"/>
        <v>0.1132075471698113</v>
      </c>
      <c r="DQ75" s="1">
        <v>296201.70185466262</v>
      </c>
      <c r="DR75" s="13">
        <f t="shared" si="193"/>
        <v>2.3865114029320678E-2</v>
      </c>
      <c r="DS75">
        <v>183</v>
      </c>
      <c r="DT75" s="13">
        <f t="shared" si="194"/>
        <v>3.3898305084745672E-2</v>
      </c>
      <c r="DU75" s="1">
        <v>301133.01705109287</v>
      </c>
      <c r="DV75" s="13">
        <f t="shared" si="195"/>
        <v>1.6648503926725899E-2</v>
      </c>
      <c r="DW75">
        <v>166</v>
      </c>
      <c r="DX75" s="13">
        <f t="shared" si="196"/>
        <v>-9.289617486338797E-2</v>
      </c>
      <c r="DY75" s="1">
        <v>307217.0607969361</v>
      </c>
      <c r="DZ75" s="13">
        <f t="shared" si="197"/>
        <v>2.0203841496434061E-2</v>
      </c>
      <c r="EA75" s="1">
        <v>171</v>
      </c>
      <c r="EB75" s="13">
        <f t="shared" si="198"/>
        <v>3.0120481927710774E-2</v>
      </c>
      <c r="EC75" s="1">
        <v>309646.17465959513</v>
      </c>
      <c r="ED75" s="13">
        <f t="shared" si="199"/>
        <v>7.9068325709443776E-3</v>
      </c>
      <c r="EE75" s="1">
        <f>IFERROR(VLOOKUP($A75,[1]Москва_продажа_районы!$C$2:$F$148,2,0),"")</f>
        <v>163</v>
      </c>
      <c r="EF75" s="13">
        <v>-4.6783625730994149E-2</v>
      </c>
      <c r="EG75" s="1">
        <v>312067.94163542573</v>
      </c>
      <c r="EH75" s="13">
        <f t="shared" si="200"/>
        <v>7.8210782952281566E-3</v>
      </c>
      <c r="EI75" s="1">
        <f>IFERROR(VLOOKUP($A75,[2]Москва_продажа_районы!$C$2:$F$150,2,0),"")</f>
        <v>138</v>
      </c>
      <c r="EJ75" s="13">
        <v>-0.15337423312883436</v>
      </c>
      <c r="EK75" s="1">
        <v>312617.93932929588</v>
      </c>
      <c r="EL75" s="13">
        <f t="shared" si="201"/>
        <v>1.7624293318558859E-3</v>
      </c>
      <c r="EM75">
        <v>125</v>
      </c>
      <c r="EN75" s="13">
        <f t="shared" si="202"/>
        <v>-9.4202898550724612E-2</v>
      </c>
      <c r="EO75" s="1">
        <v>318496.11721521191</v>
      </c>
      <c r="EP75" s="13">
        <f t="shared" si="203"/>
        <v>1.8803072845171132E-2</v>
      </c>
      <c r="EQ75">
        <v>130</v>
      </c>
      <c r="ER75" s="13">
        <f t="shared" si="204"/>
        <v>4.0000000000000036E-2</v>
      </c>
      <c r="ES75" s="183">
        <v>328880.90309331223</v>
      </c>
      <c r="ET75" s="13">
        <f t="shared" si="205"/>
        <v>3.2605690671836829E-2</v>
      </c>
      <c r="EU75">
        <v>117</v>
      </c>
      <c r="EV75" s="13">
        <f t="shared" si="206"/>
        <v>-9.9999999999999978E-2</v>
      </c>
      <c r="EW75" s="183">
        <v>331315.83740191412</v>
      </c>
      <c r="EX75" s="13">
        <f t="shared" si="207"/>
        <v>7.4036962490067193E-3</v>
      </c>
      <c r="EY75">
        <v>128</v>
      </c>
      <c r="EZ75" s="13">
        <f t="shared" si="208"/>
        <v>9.4017094017094127E-2</v>
      </c>
      <c r="FA75" s="1">
        <v>327740.70621363888</v>
      </c>
      <c r="FB75" s="13">
        <f t="shared" si="209"/>
        <v>-1.0790704170106746E-2</v>
      </c>
      <c r="FC75" s="1">
        <v>120</v>
      </c>
      <c r="FD75" s="13">
        <f t="shared" si="210"/>
        <v>-6.25E-2</v>
      </c>
      <c r="FE75" s="1">
        <v>338815.27468145429</v>
      </c>
      <c r="FF75" s="13">
        <f t="shared" si="211"/>
        <v>3.3790640765253066E-2</v>
      </c>
      <c r="FG75" s="1">
        <v>131</v>
      </c>
      <c r="FH75" s="13">
        <f t="shared" si="212"/>
        <v>9.1666666666666563E-2</v>
      </c>
      <c r="FI75" s="1">
        <v>334732.85530040407</v>
      </c>
      <c r="FJ75" s="13">
        <f t="shared" si="213"/>
        <v>-1.2049100752285713E-2</v>
      </c>
      <c r="FK75" s="1">
        <v>143</v>
      </c>
      <c r="FL75" s="13">
        <f t="shared" si="214"/>
        <v>9.1603053435114434E-2</v>
      </c>
      <c r="FM75" s="1">
        <v>326575.1508057742</v>
      </c>
      <c r="FN75" s="13">
        <f t="shared" si="215"/>
        <v>-2.4370791111343992E-2</v>
      </c>
      <c r="FO75" s="1">
        <v>157</v>
      </c>
      <c r="FP75" s="13">
        <f t="shared" si="216"/>
        <v>9.7902097902097918E-2</v>
      </c>
      <c r="FQ75" s="1">
        <v>327920.03775687289</v>
      </c>
      <c r="FR75" s="13">
        <f t="shared" si="217"/>
        <v>4.1181545741626469E-3</v>
      </c>
      <c r="FS75">
        <v>167</v>
      </c>
      <c r="FT75" s="13">
        <f t="shared" si="218"/>
        <v>6.3694267515923553E-2</v>
      </c>
      <c r="FU75" s="1">
        <v>337727.79142263869</v>
      </c>
      <c r="FV75" s="13">
        <f t="shared" si="219"/>
        <v>2.9908979435521621E-2</v>
      </c>
      <c r="FW75" s="1">
        <v>156</v>
      </c>
      <c r="FX75" s="13">
        <f t="shared" si="220"/>
        <v>-6.5868263473053856E-2</v>
      </c>
      <c r="FY75" s="1">
        <v>338270.87502762547</v>
      </c>
      <c r="FZ75" s="13">
        <f t="shared" si="221"/>
        <v>1.6080512731839747E-3</v>
      </c>
      <c r="GA75" s="1">
        <v>152</v>
      </c>
      <c r="GB75" s="13">
        <f t="shared" si="222"/>
        <v>-2.5641025641025661E-2</v>
      </c>
      <c r="GC75" s="1">
        <v>338981.19944307487</v>
      </c>
      <c r="GD75" s="13">
        <f t="shared" si="223"/>
        <v>2.0998686788846754E-3</v>
      </c>
      <c r="GE75" s="1">
        <v>156</v>
      </c>
      <c r="GF75" s="13">
        <f t="shared" si="224"/>
        <v>2.6315789473684292E-2</v>
      </c>
      <c r="GG75" s="1">
        <f>IFERROR(VLOOKUP(A75,[3]Москва_продажа_районы!$C$2:$F$149,3,0),"")</f>
        <v>331477.89803390292</v>
      </c>
      <c r="GH75" s="13">
        <v>-2.2134860049759175E-2</v>
      </c>
      <c r="GI75" s="1">
        <v>166</v>
      </c>
      <c r="GJ75" s="13">
        <f t="shared" si="225"/>
        <v>6.4102564102564097E-2</v>
      </c>
      <c r="GK75" s="1">
        <v>338803.60258730297</v>
      </c>
      <c r="GL75" s="13">
        <f t="shared" si="226"/>
        <v>2.2100129742740116E-2</v>
      </c>
      <c r="GM75" s="1">
        <v>160</v>
      </c>
      <c r="GN75" s="13">
        <f t="shared" si="227"/>
        <v>-3.6144578313253017E-2</v>
      </c>
      <c r="GO75" s="1">
        <v>344752.19135972578</v>
      </c>
      <c r="GP75" s="13">
        <f t="shared" si="228"/>
        <v>1.7557631403550378E-2</v>
      </c>
      <c r="GQ75" s="1">
        <v>164.78000000000003</v>
      </c>
      <c r="GR75" s="13">
        <f t="shared" si="229"/>
        <v>2.9875000000000096E-2</v>
      </c>
      <c r="GS75" s="1">
        <v>338886.49447506602</v>
      </c>
      <c r="GT75" s="13">
        <f t="shared" si="168"/>
        <v>-1.7014241045212986E-2</v>
      </c>
      <c r="GU75">
        <v>195</v>
      </c>
      <c r="GV75" s="13">
        <f t="shared" si="169"/>
        <v>0.18339604320912706</v>
      </c>
      <c r="GW75">
        <v>343631.45631509362</v>
      </c>
      <c r="GX75" s="13">
        <f t="shared" si="230"/>
        <v>1.4001625669318951E-2</v>
      </c>
      <c r="GY75">
        <v>169</v>
      </c>
      <c r="GZ75" s="13">
        <f t="shared" si="231"/>
        <v>-0.1333333333333333</v>
      </c>
      <c r="HA75">
        <v>352125.09470609971</v>
      </c>
      <c r="HB75" s="13">
        <v>2.4717290093540845E-2</v>
      </c>
      <c r="HC75">
        <v>161</v>
      </c>
      <c r="HD75" s="13">
        <v>-4.7337278106508895E-2</v>
      </c>
      <c r="HE75">
        <v>347927.42033569579</v>
      </c>
      <c r="HF75" s="13">
        <v>-1.1920974771501336E-2</v>
      </c>
      <c r="HG75">
        <v>146</v>
      </c>
      <c r="HH75" s="13">
        <v>-9.3167701863353991E-2</v>
      </c>
      <c r="HI75">
        <f>VLOOKUP(A75,[4]Москва_продажа_районы!$C$4:$F$151,3,0)</f>
        <v>344040.50662848429</v>
      </c>
      <c r="HJ75" s="13">
        <f t="shared" si="232"/>
        <v>-1.1171622240814583E-2</v>
      </c>
      <c r="HK75">
        <f>VLOOKUP(A75,[4]Москва_продажа_районы!$C$4:$F$151,2,0)</f>
        <v>162</v>
      </c>
      <c r="HL75" s="13">
        <f t="shared" si="233"/>
        <v>0.1095890410958904</v>
      </c>
      <c r="HM75" s="1">
        <f>VLOOKUP(A75,Лист3!$C$4:$F$149,3,0)</f>
        <v>343291.39980680851</v>
      </c>
      <c r="HN75" s="13">
        <f t="shared" si="234"/>
        <v>-2.1773797190826061E-3</v>
      </c>
      <c r="HO75">
        <f>VLOOKUP(A75,Лист3!$C$4:$F$149,2,0)</f>
        <v>160</v>
      </c>
      <c r="HP75" s="13">
        <f t="shared" si="235"/>
        <v>-1.2345679012345734E-2</v>
      </c>
      <c r="HQ75" s="1">
        <v>336940.12352037622</v>
      </c>
      <c r="HR75" s="13">
        <v>-1.8501122632278433E-2</v>
      </c>
      <c r="HS75">
        <v>158</v>
      </c>
      <c r="HT75" s="13">
        <v>-1.2499999999999956E-2</v>
      </c>
      <c r="HU75" s="34">
        <v>336946.32446350669</v>
      </c>
      <c r="HV75" s="13">
        <v>1.840369459626956E-5</v>
      </c>
      <c r="HW75">
        <v>144</v>
      </c>
      <c r="HX75" s="13">
        <v>-8.8607594936708889E-2</v>
      </c>
      <c r="HY75">
        <v>332625.71625487198</v>
      </c>
      <c r="HZ75" s="13">
        <v>-1.2822838223607524E-2</v>
      </c>
      <c r="IA75">
        <v>154</v>
      </c>
      <c r="IB75" s="13">
        <v>6.944444444444442E-2</v>
      </c>
      <c r="IC75" s="34">
        <v>338180.69147356262</v>
      </c>
      <c r="ID75" s="13">
        <v>1.670037807429825E-2</v>
      </c>
      <c r="IE75">
        <v>154</v>
      </c>
      <c r="IF75" s="13">
        <v>0</v>
      </c>
    </row>
    <row r="76" spans="1:240" x14ac:dyDescent="0.3">
      <c r="A76" s="23" t="s">
        <v>88</v>
      </c>
      <c r="B76" s="22">
        <v>212557.98655921573</v>
      </c>
      <c r="C76">
        <v>255</v>
      </c>
      <c r="D76" s="22">
        <v>214201.97462782249</v>
      </c>
      <c r="E76">
        <v>248</v>
      </c>
      <c r="F76" s="22">
        <v>217783.008782805</v>
      </c>
      <c r="G76">
        <v>164</v>
      </c>
      <c r="H76" s="22">
        <v>222242.26288962658</v>
      </c>
      <c r="I76">
        <v>164</v>
      </c>
      <c r="J76" s="22">
        <v>223205.77187644935</v>
      </c>
      <c r="K76">
        <v>201</v>
      </c>
      <c r="L76" s="22">
        <v>224956.20932837206</v>
      </c>
      <c r="M76">
        <v>201</v>
      </c>
      <c r="N76" s="22">
        <v>225706.46876969188</v>
      </c>
      <c r="O76" s="28">
        <v>199</v>
      </c>
      <c r="P76" s="35">
        <v>228115.65532588566</v>
      </c>
      <c r="Q76" s="28">
        <v>197</v>
      </c>
      <c r="R76" s="35">
        <v>238742.1857106734</v>
      </c>
      <c r="S76">
        <v>200</v>
      </c>
      <c r="T76" s="46">
        <v>245148.20773956866</v>
      </c>
      <c r="U76" s="47">
        <v>178</v>
      </c>
      <c r="V76" s="56">
        <v>237417.72688291411</v>
      </c>
      <c r="W76" s="47">
        <v>141</v>
      </c>
      <c r="X76" s="56">
        <v>240737.30450461109</v>
      </c>
      <c r="Y76" s="47">
        <v>130</v>
      </c>
      <c r="Z76" s="34">
        <v>241099.24591826688</v>
      </c>
      <c r="AA76" s="81">
        <v>145</v>
      </c>
      <c r="AB76" s="1">
        <v>249090.84300125801</v>
      </c>
      <c r="AC76" s="1">
        <v>158</v>
      </c>
      <c r="AD76" s="1">
        <v>262671.54016652831</v>
      </c>
      <c r="AE76">
        <v>153</v>
      </c>
      <c r="AF76" s="13">
        <f t="shared" si="180"/>
        <v>9.1112740948285698E-2</v>
      </c>
      <c r="AG76" s="85">
        <f t="shared" si="170"/>
        <v>4.530648504589873E-2</v>
      </c>
      <c r="AH76" s="35">
        <f t="shared" si="171"/>
        <v>18.122594018359493</v>
      </c>
      <c r="AI76" s="87">
        <f t="shared" si="172"/>
        <v>171.12259401835951</v>
      </c>
      <c r="AL76" s="1">
        <v>267431.15414937987</v>
      </c>
      <c r="AM76">
        <v>151</v>
      </c>
      <c r="AN76" s="13">
        <f t="shared" si="173"/>
        <v>4.3365881677197016E-2</v>
      </c>
      <c r="AQ76" s="35">
        <f t="shared" si="174"/>
        <v>10.928202182653648</v>
      </c>
      <c r="AR76" s="87">
        <f t="shared" si="175"/>
        <v>161.92820218265365</v>
      </c>
      <c r="AS76">
        <v>152</v>
      </c>
      <c r="AT76" s="1">
        <v>265989.66199885821</v>
      </c>
      <c r="AU76" s="13">
        <f t="shared" si="176"/>
        <v>-5.3901429513948385E-3</v>
      </c>
      <c r="AV76">
        <v>148</v>
      </c>
      <c r="AW76" s="1">
        <v>267397.5657123563</v>
      </c>
      <c r="AX76" s="35">
        <v>157.53176675369886</v>
      </c>
      <c r="AY76" s="121">
        <v>281381.09933439671</v>
      </c>
      <c r="AZ76" s="122">
        <v>133</v>
      </c>
      <c r="BA76" s="119">
        <v>282150.70934214751</v>
      </c>
      <c r="BB76">
        <v>151</v>
      </c>
      <c r="BC76" s="125">
        <f t="shared" si="177"/>
        <v>2.7351162163034015E-3</v>
      </c>
      <c r="BD76">
        <v>172</v>
      </c>
      <c r="BE76" s="1">
        <v>289514.62440006231</v>
      </c>
      <c r="BF76" s="13">
        <f t="shared" si="154"/>
        <v>2.6099225747417965E-2</v>
      </c>
      <c r="BG76">
        <v>172</v>
      </c>
      <c r="BH76" s="1">
        <v>297789.3488476153</v>
      </c>
      <c r="BI76" s="13">
        <f t="shared" si="123"/>
        <v>2.8581369472094886E-2</v>
      </c>
      <c r="BJ76">
        <v>167</v>
      </c>
      <c r="BK76" s="1">
        <v>297367.80707323528</v>
      </c>
      <c r="BL76" s="13">
        <f t="shared" si="155"/>
        <v>-1.4155703553915266E-3</v>
      </c>
      <c r="BM76" s="1">
        <v>303500.63248275942</v>
      </c>
      <c r="BN76" s="109">
        <f t="shared" si="156"/>
        <v>2.0623703251151815E-2</v>
      </c>
      <c r="BO76">
        <v>150</v>
      </c>
      <c r="BP76" s="13">
        <f t="shared" si="157"/>
        <v>-0.10179640718562877</v>
      </c>
      <c r="BQ76" s="1">
        <v>300489.66130978538</v>
      </c>
      <c r="BR76" s="13">
        <f t="shared" si="178"/>
        <v>-9.9208069134586463E-3</v>
      </c>
      <c r="BS76">
        <v>170</v>
      </c>
      <c r="BT76" s="13">
        <f t="shared" si="179"/>
        <v>0.1333333333333333</v>
      </c>
      <c r="BU76" s="1">
        <v>312061.55336463498</v>
      </c>
      <c r="BV76" s="13">
        <f t="shared" si="158"/>
        <v>3.8510117134844535E-2</v>
      </c>
      <c r="BW76">
        <v>153</v>
      </c>
      <c r="BX76" s="13">
        <f t="shared" si="159"/>
        <v>-9.9999999999999978E-2</v>
      </c>
      <c r="BY76" s="1">
        <v>310605.80416564731</v>
      </c>
      <c r="BZ76" s="13">
        <f t="shared" si="160"/>
        <v>-4.6649424874414258E-3</v>
      </c>
      <c r="CA76">
        <v>112</v>
      </c>
      <c r="CB76" s="13">
        <f t="shared" si="161"/>
        <v>-0.26797385620915037</v>
      </c>
      <c r="CC76" s="1">
        <v>306258.20089089143</v>
      </c>
      <c r="CD76" s="13">
        <f t="shared" si="162"/>
        <v>-1.3997173318877509E-2</v>
      </c>
      <c r="CE76">
        <v>136</v>
      </c>
      <c r="CF76" s="13">
        <f t="shared" si="163"/>
        <v>0.21428571428571419</v>
      </c>
      <c r="CG76" s="1">
        <v>304401.08554532879</v>
      </c>
      <c r="CH76" s="13">
        <f t="shared" si="164"/>
        <v>-6.0638877266319113E-3</v>
      </c>
      <c r="CI76">
        <v>162</v>
      </c>
      <c r="CJ76" s="13">
        <f t="shared" si="165"/>
        <v>0.19117647058823528</v>
      </c>
      <c r="CK76" s="1">
        <v>303061.48936179181</v>
      </c>
      <c r="CL76" s="13">
        <f t="shared" si="166"/>
        <v>-4.4007602047053673E-3</v>
      </c>
      <c r="CM76">
        <v>153</v>
      </c>
      <c r="CN76" s="13">
        <f t="shared" si="167"/>
        <v>-5.555555555555558E-2</v>
      </c>
      <c r="CO76" s="1">
        <v>300347.46277375438</v>
      </c>
      <c r="CP76" s="13">
        <v>-8.9553660999713847E-3</v>
      </c>
      <c r="CQ76">
        <v>156</v>
      </c>
      <c r="CR76" s="13">
        <v>1.9607843137254832E-2</v>
      </c>
      <c r="CS76" s="1">
        <v>301931.98889716552</v>
      </c>
      <c r="CT76" s="13">
        <f t="shared" si="181"/>
        <v>5.2756434456870949E-3</v>
      </c>
      <c r="CU76">
        <v>162</v>
      </c>
      <c r="CV76" s="13">
        <f t="shared" si="182"/>
        <v>3.8461538461538547E-2</v>
      </c>
      <c r="CW76" s="1">
        <v>295382.10279877519</v>
      </c>
      <c r="CX76" s="13">
        <f t="shared" si="183"/>
        <v>-2.1693249934577663E-2</v>
      </c>
      <c r="CY76">
        <v>188</v>
      </c>
      <c r="CZ76" s="13">
        <f t="shared" si="184"/>
        <v>0.16049382716049387</v>
      </c>
      <c r="DA76" s="1">
        <v>292276.24127868068</v>
      </c>
      <c r="DB76" s="13">
        <f t="shared" si="185"/>
        <v>-1.0514724794312702E-2</v>
      </c>
      <c r="DC76">
        <v>188</v>
      </c>
      <c r="DD76" s="13">
        <f t="shared" si="186"/>
        <v>0</v>
      </c>
      <c r="DE76" s="1">
        <v>290605.17578025139</v>
      </c>
      <c r="DF76" s="13">
        <f t="shared" si="187"/>
        <v>-5.7174181901290533E-3</v>
      </c>
      <c r="DG76" s="1">
        <v>182</v>
      </c>
      <c r="DH76" s="13">
        <f t="shared" si="188"/>
        <v>-3.1914893617021267E-2</v>
      </c>
      <c r="DI76" s="1">
        <v>288774.41346110008</v>
      </c>
      <c r="DJ76" s="13">
        <f t="shared" si="189"/>
        <v>-6.2998269533082185E-3</v>
      </c>
      <c r="DK76" s="1">
        <v>182</v>
      </c>
      <c r="DL76" s="13">
        <f t="shared" si="190"/>
        <v>0</v>
      </c>
      <c r="DM76" s="1">
        <v>286971.39389682643</v>
      </c>
      <c r="DN76" s="13">
        <f t="shared" si="191"/>
        <v>-6.2436957023428441E-3</v>
      </c>
      <c r="DO76" s="1">
        <v>168</v>
      </c>
      <c r="DP76" s="13">
        <f t="shared" si="192"/>
        <v>-7.6923076923076872E-2</v>
      </c>
      <c r="DQ76" s="1">
        <v>288838.3862037058</v>
      </c>
      <c r="DR76" s="13">
        <f t="shared" si="193"/>
        <v>6.5058481318545081E-3</v>
      </c>
      <c r="DS76">
        <v>169</v>
      </c>
      <c r="DT76" s="13">
        <f t="shared" si="194"/>
        <v>5.9523809523809312E-3</v>
      </c>
      <c r="DU76" s="1">
        <v>291072.87492330628</v>
      </c>
      <c r="DV76" s="13">
        <f t="shared" si="195"/>
        <v>7.736121050145206E-3</v>
      </c>
      <c r="DW76">
        <v>155</v>
      </c>
      <c r="DX76" s="13">
        <f t="shared" si="196"/>
        <v>-8.2840236686390512E-2</v>
      </c>
      <c r="DY76" s="1">
        <v>294076.61113246152</v>
      </c>
      <c r="DZ76" s="13">
        <f t="shared" si="197"/>
        <v>1.0319533243854151E-2</v>
      </c>
      <c r="EA76" s="1">
        <v>159</v>
      </c>
      <c r="EB76" s="13">
        <f t="shared" si="198"/>
        <v>2.5806451612903292E-2</v>
      </c>
      <c r="EC76" s="1">
        <v>301866.74734585558</v>
      </c>
      <c r="ED76" s="13">
        <f t="shared" si="199"/>
        <v>2.6490159089479937E-2</v>
      </c>
      <c r="EE76" s="1">
        <f>IFERROR(VLOOKUP($A76,[1]Москва_продажа_районы!$C$2:$F$148,2,0),"")</f>
        <v>143</v>
      </c>
      <c r="EF76" s="13">
        <v>-0.10062893081761004</v>
      </c>
      <c r="EG76" s="1">
        <v>304025.28928683582</v>
      </c>
      <c r="EH76" s="13">
        <f t="shared" si="200"/>
        <v>7.150644978153764E-3</v>
      </c>
      <c r="EI76" s="1">
        <f>IFERROR(VLOOKUP($A76,[2]Москва_продажа_районы!$C$2:$F$150,2,0),"")</f>
        <v>133</v>
      </c>
      <c r="EJ76" s="13">
        <v>-6.9930069930069894E-2</v>
      </c>
      <c r="EK76" s="1">
        <v>306061.07871967368</v>
      </c>
      <c r="EL76" s="13">
        <f t="shared" si="201"/>
        <v>6.6961187262193356E-3</v>
      </c>
      <c r="EM76">
        <v>156</v>
      </c>
      <c r="EN76" s="13">
        <f t="shared" si="202"/>
        <v>0.1729323308270676</v>
      </c>
      <c r="EO76" s="1">
        <v>311924.8277889025</v>
      </c>
      <c r="EP76" s="13">
        <f t="shared" si="203"/>
        <v>1.9158754500109287E-2</v>
      </c>
      <c r="EQ76">
        <v>132</v>
      </c>
      <c r="ER76" s="13">
        <f t="shared" si="204"/>
        <v>-0.15384615384615385</v>
      </c>
      <c r="ES76" s="183">
        <v>317035.56713916548</v>
      </c>
      <c r="ET76" s="13">
        <f t="shared" si="205"/>
        <v>1.6384522471297736E-2</v>
      </c>
      <c r="EU76">
        <v>132</v>
      </c>
      <c r="EV76" s="13">
        <f t="shared" si="206"/>
        <v>0</v>
      </c>
      <c r="EW76" s="183">
        <v>315039.22973347781</v>
      </c>
      <c r="EX76" s="13">
        <f t="shared" si="207"/>
        <v>-6.2968878340750045E-3</v>
      </c>
      <c r="EY76">
        <v>144</v>
      </c>
      <c r="EZ76" s="13">
        <f t="shared" si="208"/>
        <v>9.0909090909090828E-2</v>
      </c>
      <c r="FA76" s="1">
        <v>317190.11388819979</v>
      </c>
      <c r="FB76" s="13">
        <f t="shared" si="209"/>
        <v>6.827353395136182E-3</v>
      </c>
      <c r="FC76" s="1">
        <v>129</v>
      </c>
      <c r="FD76" s="13">
        <f t="shared" si="210"/>
        <v>-0.10416666666666663</v>
      </c>
      <c r="FE76" s="1">
        <v>318743.29480512778</v>
      </c>
      <c r="FF76" s="13">
        <f t="shared" si="211"/>
        <v>4.8966876611906685E-3</v>
      </c>
      <c r="FG76" s="1">
        <v>122</v>
      </c>
      <c r="FH76" s="13">
        <f t="shared" si="212"/>
        <v>-5.4263565891472854E-2</v>
      </c>
      <c r="FI76" s="1">
        <v>320114.46419420547</v>
      </c>
      <c r="FJ76" s="13">
        <f t="shared" si="213"/>
        <v>4.3017983795266002E-3</v>
      </c>
      <c r="FK76" s="1">
        <v>129</v>
      </c>
      <c r="FL76" s="13">
        <f t="shared" si="214"/>
        <v>5.7377049180327822E-2</v>
      </c>
      <c r="FM76" s="1">
        <v>332962.95343786263</v>
      </c>
      <c r="FN76" s="13">
        <f t="shared" si="215"/>
        <v>4.0137171795718407E-2</v>
      </c>
      <c r="FO76" s="1">
        <v>154</v>
      </c>
      <c r="FP76" s="13">
        <f t="shared" si="216"/>
        <v>0.193798449612403</v>
      </c>
      <c r="FQ76" s="1">
        <v>328680.79522897239</v>
      </c>
      <c r="FR76" s="13">
        <f t="shared" si="217"/>
        <v>-1.2860764732762875E-2</v>
      </c>
      <c r="FS76">
        <v>139</v>
      </c>
      <c r="FT76" s="13">
        <f t="shared" si="218"/>
        <v>-9.740259740259738E-2</v>
      </c>
      <c r="FU76" s="1">
        <v>325968.63809672941</v>
      </c>
      <c r="FV76" s="13">
        <f t="shared" si="219"/>
        <v>-8.2516446704882229E-3</v>
      </c>
      <c r="FW76" s="1">
        <v>138</v>
      </c>
      <c r="FX76" s="13">
        <f t="shared" si="220"/>
        <v>-7.194244604316502E-3</v>
      </c>
      <c r="FY76" s="1">
        <v>328009.54277215071</v>
      </c>
      <c r="FZ76" s="13">
        <f t="shared" si="221"/>
        <v>6.2610461157790454E-3</v>
      </c>
      <c r="GA76" s="1">
        <v>139</v>
      </c>
      <c r="GB76" s="13">
        <f t="shared" si="222"/>
        <v>7.2463768115942351E-3</v>
      </c>
      <c r="GC76" s="1">
        <v>331765.95952848467</v>
      </c>
      <c r="GD76" s="13">
        <f t="shared" si="223"/>
        <v>1.1452156923810408E-2</v>
      </c>
      <c r="GE76" s="1">
        <v>134</v>
      </c>
      <c r="GF76" s="13">
        <f t="shared" si="224"/>
        <v>-3.5971223021582732E-2</v>
      </c>
      <c r="GG76" s="1">
        <f>IFERROR(VLOOKUP(A76,[3]Москва_продажа_районы!$C$2:$F$149,3,0),"")</f>
        <v>328171.05142318079</v>
      </c>
      <c r="GH76" s="13">
        <v>-1.0835674975253839E-2</v>
      </c>
      <c r="GI76" s="1">
        <v>129</v>
      </c>
      <c r="GJ76" s="13">
        <f t="shared" si="225"/>
        <v>-3.7313432835820892E-2</v>
      </c>
      <c r="GK76" s="1">
        <v>332993.97105801449</v>
      </c>
      <c r="GL76" s="13">
        <f t="shared" si="226"/>
        <v>1.4696359151479488E-2</v>
      </c>
      <c r="GM76" s="1">
        <v>137</v>
      </c>
      <c r="GN76" s="13">
        <f t="shared" si="227"/>
        <v>6.2015503875969102E-2</v>
      </c>
      <c r="GO76" s="1">
        <v>332307.76150746102</v>
      </c>
      <c r="GP76" s="13">
        <f t="shared" si="228"/>
        <v>-2.0607266503149813E-3</v>
      </c>
      <c r="GQ76" s="1">
        <v>150.87</v>
      </c>
      <c r="GR76" s="13">
        <f t="shared" si="229"/>
        <v>0.10124087591240882</v>
      </c>
      <c r="GS76" s="1">
        <v>346443.36137150368</v>
      </c>
      <c r="GT76" s="13">
        <f t="shared" si="168"/>
        <v>4.2537675918006723E-2</v>
      </c>
      <c r="GU76">
        <v>169</v>
      </c>
      <c r="GV76" s="13">
        <f t="shared" si="169"/>
        <v>0.12016968250811955</v>
      </c>
      <c r="GW76">
        <v>356982.77024051378</v>
      </c>
      <c r="GX76" s="13">
        <f t="shared" si="230"/>
        <v>3.0421737126919091E-2</v>
      </c>
      <c r="GY76">
        <v>157</v>
      </c>
      <c r="GZ76" s="13">
        <f t="shared" si="231"/>
        <v>-7.1005917159763343E-2</v>
      </c>
      <c r="HA76">
        <v>356541.32699479308</v>
      </c>
      <c r="HB76" s="13">
        <v>-1.2365953836462884E-3</v>
      </c>
      <c r="HC76">
        <v>129</v>
      </c>
      <c r="HD76" s="13">
        <v>-0.17834394904458595</v>
      </c>
      <c r="HE76">
        <v>351831.81617193931</v>
      </c>
      <c r="HF76" s="13">
        <v>-1.3208877811021758E-2</v>
      </c>
      <c r="HG76">
        <v>114</v>
      </c>
      <c r="HH76" s="13">
        <v>-0.11627906976744184</v>
      </c>
      <c r="HI76">
        <f>VLOOKUP(A76,[4]Москва_продажа_районы!$C$4:$F$151,3,0)</f>
        <v>352436.93371995201</v>
      </c>
      <c r="HJ76" s="13">
        <f t="shared" si="232"/>
        <v>1.7199057055061751E-3</v>
      </c>
      <c r="HK76">
        <f>VLOOKUP(A76,[4]Москва_продажа_районы!$C$4:$F$151,2,0)</f>
        <v>126</v>
      </c>
      <c r="HL76" s="13">
        <f t="shared" si="233"/>
        <v>0.10526315789473695</v>
      </c>
      <c r="HM76" s="1">
        <f>VLOOKUP(A76,Лист3!$C$4:$F$149,3,0)</f>
        <v>346242.72988388583</v>
      </c>
      <c r="HN76" s="13">
        <f t="shared" si="234"/>
        <v>-1.7575353895764256E-2</v>
      </c>
      <c r="HO76">
        <f>VLOOKUP(A76,Лист3!$C$4:$F$149,2,0)</f>
        <v>124</v>
      </c>
      <c r="HP76" s="13">
        <f t="shared" si="235"/>
        <v>-1.5873015873015928E-2</v>
      </c>
      <c r="HQ76" s="1">
        <v>351018.60559157468</v>
      </c>
      <c r="HR76" s="13">
        <v>1.3793432455001975E-2</v>
      </c>
      <c r="HS76">
        <v>115</v>
      </c>
      <c r="HT76" s="13">
        <v>-7.2580645161290369E-2</v>
      </c>
      <c r="HU76" s="34">
        <v>355294.46875485103</v>
      </c>
      <c r="HV76" s="13">
        <v>1.2181300635247583E-2</v>
      </c>
      <c r="HW76">
        <v>96</v>
      </c>
      <c r="HX76" s="13">
        <v>-0.16521739130434787</v>
      </c>
      <c r="HY76">
        <v>354063.41743103409</v>
      </c>
      <c r="HZ76" s="13">
        <v>-3.4648761297388919E-3</v>
      </c>
      <c r="IA76">
        <v>100</v>
      </c>
      <c r="IB76" s="13">
        <v>4.1666666666666741E-2</v>
      </c>
      <c r="IC76" s="34">
        <v>357073.87914031098</v>
      </c>
      <c r="ID76" s="13">
        <v>8.5026059204866833E-3</v>
      </c>
      <c r="IE76">
        <v>112</v>
      </c>
      <c r="IF76" s="13">
        <v>0.12000000000000011</v>
      </c>
    </row>
    <row r="77" spans="1:240" x14ac:dyDescent="0.3">
      <c r="A77" s="23" t="s">
        <v>89</v>
      </c>
      <c r="B77" s="22">
        <v>188507.26023173335</v>
      </c>
      <c r="C77">
        <v>375</v>
      </c>
      <c r="D77" s="22">
        <v>190524.83422709489</v>
      </c>
      <c r="E77">
        <v>358</v>
      </c>
      <c r="F77" s="22">
        <v>191389.98873015275</v>
      </c>
      <c r="G77">
        <v>262</v>
      </c>
      <c r="H77" s="22">
        <v>192561.31410390674</v>
      </c>
      <c r="I77">
        <v>274</v>
      </c>
      <c r="J77" s="22">
        <v>192819.9717170787</v>
      </c>
      <c r="K77">
        <v>341</v>
      </c>
      <c r="L77" s="22">
        <v>194152.43562537988</v>
      </c>
      <c r="M77">
        <v>318</v>
      </c>
      <c r="N77" s="22">
        <v>196661.93104712112</v>
      </c>
      <c r="O77" s="28">
        <v>319</v>
      </c>
      <c r="P77" s="35">
        <v>198981.04033007746</v>
      </c>
      <c r="Q77" s="28">
        <v>295</v>
      </c>
      <c r="R77" s="35">
        <v>204881.11161056708</v>
      </c>
      <c r="S77">
        <v>279</v>
      </c>
      <c r="T77" s="46">
        <v>213266.04916414636</v>
      </c>
      <c r="U77" s="47">
        <v>253</v>
      </c>
      <c r="V77" s="56">
        <v>215176.1575974572</v>
      </c>
      <c r="W77" s="47">
        <v>210</v>
      </c>
      <c r="X77" s="56">
        <v>219950.28239412201</v>
      </c>
      <c r="Y77" s="47">
        <v>204</v>
      </c>
      <c r="Z77" s="34">
        <v>223059.54814376976</v>
      </c>
      <c r="AA77" s="81">
        <v>275</v>
      </c>
      <c r="AB77" s="1">
        <v>228318.04295731301</v>
      </c>
      <c r="AC77" s="1">
        <v>309</v>
      </c>
      <c r="AD77" s="1">
        <v>238732.1744128725</v>
      </c>
      <c r="AE77">
        <v>268</v>
      </c>
      <c r="AF77" s="13">
        <f t="shared" si="180"/>
        <v>8.5391534006288738E-2</v>
      </c>
      <c r="AG77" s="85">
        <f t="shared" si="170"/>
        <v>7.9360379034646142E-2</v>
      </c>
      <c r="AH77" s="35">
        <f t="shared" si="171"/>
        <v>31.744151613858456</v>
      </c>
      <c r="AI77" s="87">
        <f t="shared" si="172"/>
        <v>299.74415161385843</v>
      </c>
      <c r="AL77" s="1">
        <v>239947.32065318339</v>
      </c>
      <c r="AM77">
        <v>278</v>
      </c>
      <c r="AN77" s="13">
        <f t="shared" si="173"/>
        <v>7.9839172889144175E-2</v>
      </c>
      <c r="AQ77" s="35">
        <f t="shared" si="174"/>
        <v>20.119471568064331</v>
      </c>
      <c r="AR77" s="87">
        <f t="shared" si="175"/>
        <v>298.11947156806434</v>
      </c>
      <c r="AS77">
        <v>286</v>
      </c>
      <c r="AT77" s="1">
        <v>244429.55044733631</v>
      </c>
      <c r="AU77" s="13">
        <f t="shared" si="176"/>
        <v>1.8680057697462171E-2</v>
      </c>
      <c r="AV77">
        <v>275</v>
      </c>
      <c r="AW77" s="1">
        <v>246346.41876462239</v>
      </c>
      <c r="AX77" s="35">
        <v>292.71105308964314</v>
      </c>
      <c r="AY77" s="121">
        <v>246112.5969516772</v>
      </c>
      <c r="AZ77" s="122">
        <v>258</v>
      </c>
      <c r="BA77" s="119">
        <v>254025.63166842551</v>
      </c>
      <c r="BB77">
        <v>275</v>
      </c>
      <c r="BC77" s="125">
        <f t="shared" si="177"/>
        <v>3.2152091419773932E-2</v>
      </c>
      <c r="BD77">
        <v>324</v>
      </c>
      <c r="BE77" s="1">
        <v>259561.8873677917</v>
      </c>
      <c r="BF77" s="13">
        <f t="shared" si="154"/>
        <v>2.1794082994713415E-2</v>
      </c>
      <c r="BG77">
        <v>303</v>
      </c>
      <c r="BH77" s="1">
        <v>261896.1200604724</v>
      </c>
      <c r="BI77" s="13">
        <f t="shared" si="123"/>
        <v>8.9929716429175688E-3</v>
      </c>
      <c r="BJ77">
        <v>262</v>
      </c>
      <c r="BK77" s="1">
        <v>265630.06621983409</v>
      </c>
      <c r="BL77" s="13">
        <f t="shared" si="155"/>
        <v>1.4257355773348301E-2</v>
      </c>
      <c r="BM77" s="1">
        <v>266833.48775757139</v>
      </c>
      <c r="BN77" s="109">
        <f t="shared" si="156"/>
        <v>4.530441733735735E-3</v>
      </c>
      <c r="BO77">
        <v>226</v>
      </c>
      <c r="BP77" s="13">
        <f t="shared" si="157"/>
        <v>-0.13740458015267176</v>
      </c>
      <c r="BQ77" s="1">
        <v>269726.88186500792</v>
      </c>
      <c r="BR77" s="13">
        <f t="shared" si="178"/>
        <v>1.0843444470752805E-2</v>
      </c>
      <c r="BS77">
        <v>255</v>
      </c>
      <c r="BT77" s="13">
        <f t="shared" si="179"/>
        <v>0.12831858407079655</v>
      </c>
      <c r="BU77" s="1">
        <v>280794.89783518721</v>
      </c>
      <c r="BV77" s="13">
        <f t="shared" si="158"/>
        <v>4.1034159790267255E-2</v>
      </c>
      <c r="BW77">
        <v>248</v>
      </c>
      <c r="BX77" s="13">
        <f t="shared" si="159"/>
        <v>-2.7450980392156876E-2</v>
      </c>
      <c r="BY77" s="1">
        <v>284297.86943378299</v>
      </c>
      <c r="BZ77" s="13">
        <f t="shared" si="160"/>
        <v>1.2475196756074558E-2</v>
      </c>
      <c r="CA77">
        <v>210</v>
      </c>
      <c r="CB77" s="13">
        <f t="shared" si="161"/>
        <v>-0.15322580645161288</v>
      </c>
      <c r="CC77" s="1">
        <v>276309.22451411071</v>
      </c>
      <c r="CD77" s="13">
        <f t="shared" si="162"/>
        <v>-2.809955957666066E-2</v>
      </c>
      <c r="CE77">
        <v>246</v>
      </c>
      <c r="CF77" s="13">
        <f t="shared" si="163"/>
        <v>0.17142857142857149</v>
      </c>
      <c r="CG77" s="1">
        <v>277049.84742936079</v>
      </c>
      <c r="CH77" s="13">
        <f t="shared" si="164"/>
        <v>2.6804132817226378E-3</v>
      </c>
      <c r="CI77">
        <v>266</v>
      </c>
      <c r="CJ77" s="13">
        <f t="shared" si="165"/>
        <v>8.1300813008130079E-2</v>
      </c>
      <c r="CK77" s="1">
        <v>270627.18534219242</v>
      </c>
      <c r="CL77" s="13">
        <f t="shared" si="166"/>
        <v>-2.3182333961782597E-2</v>
      </c>
      <c r="CM77">
        <v>280</v>
      </c>
      <c r="CN77" s="13">
        <f t="shared" si="167"/>
        <v>5.2631578947368363E-2</v>
      </c>
      <c r="CO77" s="1">
        <v>270490.99279453373</v>
      </c>
      <c r="CP77" s="13">
        <v>-5.0324784439703674E-4</v>
      </c>
      <c r="CQ77">
        <v>303</v>
      </c>
      <c r="CR77" s="13">
        <v>8.2142857142857073E-2</v>
      </c>
      <c r="CS77" s="1">
        <v>268023.69302611199</v>
      </c>
      <c r="CT77" s="13">
        <f t="shared" si="181"/>
        <v>-9.1215598084477545E-3</v>
      </c>
      <c r="CU77">
        <v>331</v>
      </c>
      <c r="CV77" s="13">
        <f t="shared" si="182"/>
        <v>9.2409240924092417E-2</v>
      </c>
      <c r="CW77" s="1">
        <v>265251.02915662498</v>
      </c>
      <c r="CX77" s="13">
        <f t="shared" si="183"/>
        <v>-1.0344846152153031E-2</v>
      </c>
      <c r="CY77">
        <v>349</v>
      </c>
      <c r="CZ77" s="13">
        <f t="shared" si="184"/>
        <v>5.4380664652567967E-2</v>
      </c>
      <c r="DA77" s="1">
        <v>262200.63925730571</v>
      </c>
      <c r="DB77" s="13">
        <f t="shared" si="185"/>
        <v>-1.1500011551390021E-2</v>
      </c>
      <c r="DC77">
        <v>332</v>
      </c>
      <c r="DD77" s="13">
        <f t="shared" si="186"/>
        <v>-4.8710601719197721E-2</v>
      </c>
      <c r="DE77" s="1">
        <v>259220.81342886921</v>
      </c>
      <c r="DF77" s="13">
        <f t="shared" si="187"/>
        <v>-1.1364677969043058E-2</v>
      </c>
      <c r="DG77" s="1">
        <v>330</v>
      </c>
      <c r="DH77" s="13">
        <f t="shared" si="188"/>
        <v>-6.0240963855421326E-3</v>
      </c>
      <c r="DI77" s="1">
        <v>257378.84883620171</v>
      </c>
      <c r="DJ77" s="13">
        <f t="shared" si="189"/>
        <v>-7.1057742945203062E-3</v>
      </c>
      <c r="DK77" s="1">
        <v>319</v>
      </c>
      <c r="DL77" s="13">
        <f t="shared" si="190"/>
        <v>-3.3333333333333326E-2</v>
      </c>
      <c r="DM77" s="1">
        <v>257765.46186832961</v>
      </c>
      <c r="DN77" s="13">
        <f t="shared" si="191"/>
        <v>1.5021165642634671E-3</v>
      </c>
      <c r="DO77" s="1">
        <v>352</v>
      </c>
      <c r="DP77" s="13">
        <f t="shared" si="192"/>
        <v>0.10344827586206895</v>
      </c>
      <c r="DQ77" s="1">
        <v>257513.02011496871</v>
      </c>
      <c r="DR77" s="13">
        <f t="shared" si="193"/>
        <v>-9.7934669575650002E-4</v>
      </c>
      <c r="DS77">
        <v>382</v>
      </c>
      <c r="DT77" s="13">
        <f t="shared" si="194"/>
        <v>8.5227272727272707E-2</v>
      </c>
      <c r="DU77" s="1">
        <v>256830.7896084348</v>
      </c>
      <c r="DV77" s="13">
        <f t="shared" si="195"/>
        <v>-2.649304902056282E-3</v>
      </c>
      <c r="DW77">
        <v>343</v>
      </c>
      <c r="DX77" s="13">
        <f t="shared" si="196"/>
        <v>-0.10209424083769636</v>
      </c>
      <c r="DY77" s="1">
        <v>258681.99607701699</v>
      </c>
      <c r="DZ77" s="13">
        <f t="shared" si="197"/>
        <v>7.2078837253295447E-3</v>
      </c>
      <c r="EA77" s="1">
        <v>363</v>
      </c>
      <c r="EB77" s="13">
        <f t="shared" si="198"/>
        <v>5.8309037900874605E-2</v>
      </c>
      <c r="EC77" s="1">
        <v>257939.25188341801</v>
      </c>
      <c r="ED77" s="13">
        <f t="shared" si="199"/>
        <v>-2.871263577917671E-3</v>
      </c>
      <c r="EE77" s="1">
        <f>IFERROR(VLOOKUP($A77,[1]Москва_продажа_районы!$C$2:$F$148,2,0),"")</f>
        <v>335</v>
      </c>
      <c r="EF77" s="13">
        <v>-7.7134986225895319E-2</v>
      </c>
      <c r="EG77" s="1">
        <v>260520.7072571099</v>
      </c>
      <c r="EH77" s="13">
        <f t="shared" si="200"/>
        <v>1.0007997444524852E-2</v>
      </c>
      <c r="EI77" s="1">
        <f>IFERROR(VLOOKUP($A77,[2]Москва_продажа_районы!$C$2:$F$150,2,0),"")</f>
        <v>277</v>
      </c>
      <c r="EJ77" s="13">
        <v>-0.17313432835820897</v>
      </c>
      <c r="EK77" s="1">
        <v>269472.26743174111</v>
      </c>
      <c r="EL77" s="13">
        <f t="shared" si="201"/>
        <v>3.436026360007105E-2</v>
      </c>
      <c r="EM77">
        <v>266</v>
      </c>
      <c r="EN77" s="13">
        <f t="shared" si="202"/>
        <v>-3.9711191335740081E-2</v>
      </c>
      <c r="EO77" s="1">
        <v>282527.14895069902</v>
      </c>
      <c r="EP77" s="13">
        <f t="shared" si="203"/>
        <v>4.8446104095905884E-2</v>
      </c>
      <c r="EQ77">
        <v>258</v>
      </c>
      <c r="ER77" s="13">
        <f t="shared" si="204"/>
        <v>-3.007518796992481E-2</v>
      </c>
      <c r="ES77" s="183">
        <v>284891.8408363724</v>
      </c>
      <c r="ET77" s="13">
        <f t="shared" si="205"/>
        <v>8.3697863885145996E-3</v>
      </c>
      <c r="EU77">
        <v>265</v>
      </c>
      <c r="EV77" s="13">
        <f t="shared" si="206"/>
        <v>2.7131782945736482E-2</v>
      </c>
      <c r="EW77" s="183">
        <v>283360.78760768939</v>
      </c>
      <c r="EX77" s="13">
        <f t="shared" si="207"/>
        <v>-5.3741561154865281E-3</v>
      </c>
      <c r="EY77">
        <v>274</v>
      </c>
      <c r="EZ77" s="13">
        <f t="shared" si="208"/>
        <v>3.3962264150943389E-2</v>
      </c>
      <c r="FA77" s="1">
        <v>282891.92867115972</v>
      </c>
      <c r="FB77" s="13">
        <f t="shared" si="209"/>
        <v>-1.6546359165926505E-3</v>
      </c>
      <c r="FC77" s="1">
        <v>245</v>
      </c>
      <c r="FD77" s="13">
        <f t="shared" si="210"/>
        <v>-0.1058394160583942</v>
      </c>
      <c r="FE77" s="1">
        <v>281709.02918789518</v>
      </c>
      <c r="FF77" s="13">
        <f t="shared" si="211"/>
        <v>-4.181453634329646E-3</v>
      </c>
      <c r="FG77" s="1">
        <v>227</v>
      </c>
      <c r="FH77" s="13">
        <f t="shared" si="212"/>
        <v>-7.3469387755102034E-2</v>
      </c>
      <c r="FI77" s="1">
        <v>282632.39636906242</v>
      </c>
      <c r="FJ77" s="13">
        <f t="shared" si="213"/>
        <v>3.2777337092428915E-3</v>
      </c>
      <c r="FK77" s="1">
        <v>271</v>
      </c>
      <c r="FL77" s="13">
        <f t="shared" si="214"/>
        <v>0.19383259911894268</v>
      </c>
      <c r="FM77" s="1">
        <v>286887.18532648991</v>
      </c>
      <c r="FN77" s="13">
        <f t="shared" si="215"/>
        <v>1.5054144578215967E-2</v>
      </c>
      <c r="FO77" s="1">
        <v>301</v>
      </c>
      <c r="FP77" s="13">
        <f t="shared" si="216"/>
        <v>0.11070110701107017</v>
      </c>
      <c r="FQ77" s="1">
        <v>287695.54513608379</v>
      </c>
      <c r="FR77" s="13">
        <f t="shared" si="217"/>
        <v>2.8176922879072919E-3</v>
      </c>
      <c r="FS77">
        <v>313</v>
      </c>
      <c r="FT77" s="13">
        <f t="shared" si="218"/>
        <v>3.9867109634551534E-2</v>
      </c>
      <c r="FU77" s="1">
        <v>285310.56796376163</v>
      </c>
      <c r="FV77" s="13">
        <f t="shared" si="219"/>
        <v>-8.2899343164803962E-3</v>
      </c>
      <c r="FW77" s="1">
        <v>322</v>
      </c>
      <c r="FX77" s="13">
        <f t="shared" si="220"/>
        <v>2.8753993610223683E-2</v>
      </c>
      <c r="FY77" s="1">
        <v>284387.49406372348</v>
      </c>
      <c r="FZ77" s="13">
        <f t="shared" si="221"/>
        <v>-3.2353302109559001E-3</v>
      </c>
      <c r="GA77" s="1">
        <v>338</v>
      </c>
      <c r="GB77" s="13">
        <f t="shared" si="222"/>
        <v>4.9689440993788914E-2</v>
      </c>
      <c r="GC77" s="1">
        <v>284668.78579630679</v>
      </c>
      <c r="GD77" s="13">
        <f t="shared" si="223"/>
        <v>9.8911428404901969E-4</v>
      </c>
      <c r="GE77" s="1">
        <v>317</v>
      </c>
      <c r="GF77" s="13">
        <f t="shared" si="224"/>
        <v>-6.2130177514792884E-2</v>
      </c>
      <c r="GG77" s="1">
        <f>IFERROR(VLOOKUP(A77,[3]Москва_продажа_районы!$C$2:$F$149,3,0),"")</f>
        <v>285382.62397850922</v>
      </c>
      <c r="GH77" s="13">
        <v>2.5076096074445609E-3</v>
      </c>
      <c r="GI77" s="1">
        <v>352</v>
      </c>
      <c r="GJ77" s="13">
        <f t="shared" si="225"/>
        <v>0.11041009463722395</v>
      </c>
      <c r="GK77" s="1">
        <v>284487.38355225121</v>
      </c>
      <c r="GL77" s="13">
        <f t="shared" si="226"/>
        <v>-3.1369829521415982E-3</v>
      </c>
      <c r="GM77" s="1">
        <v>361</v>
      </c>
      <c r="GN77" s="13">
        <f t="shared" si="227"/>
        <v>2.5568181818181879E-2</v>
      </c>
      <c r="GO77" s="1">
        <v>284933.7678172664</v>
      </c>
      <c r="GP77" s="13">
        <f t="shared" si="228"/>
        <v>1.5690828164027781E-3</v>
      </c>
      <c r="GQ77" s="1">
        <v>377.71000000000004</v>
      </c>
      <c r="GR77" s="13">
        <f t="shared" si="229"/>
        <v>4.628808864265932E-2</v>
      </c>
      <c r="GS77" s="1">
        <v>284059.2732040984</v>
      </c>
      <c r="GT77" s="13">
        <f t="shared" si="168"/>
        <v>-3.0691153943145366E-3</v>
      </c>
      <c r="GU77">
        <v>370</v>
      </c>
      <c r="GV77" s="13">
        <f t="shared" si="169"/>
        <v>-2.0412485769505828E-2</v>
      </c>
      <c r="GW77">
        <v>281323.6107820014</v>
      </c>
      <c r="GX77" s="13">
        <f t="shared" si="230"/>
        <v>-9.6306041736979875E-3</v>
      </c>
      <c r="GY77">
        <v>304</v>
      </c>
      <c r="GZ77" s="13">
        <f t="shared" si="231"/>
        <v>-0.17837837837837833</v>
      </c>
      <c r="HA77">
        <v>283307.68160251947</v>
      </c>
      <c r="HB77" s="13">
        <v>7.0526281637111055E-3</v>
      </c>
      <c r="HC77">
        <v>275</v>
      </c>
      <c r="HD77" s="13">
        <v>-9.539473684210531E-2</v>
      </c>
      <c r="HE77">
        <v>285971.10805276898</v>
      </c>
      <c r="HF77" s="13">
        <v>9.4011797886450754E-3</v>
      </c>
      <c r="HG77">
        <v>268</v>
      </c>
      <c r="HH77" s="13">
        <v>-2.5454545454545507E-2</v>
      </c>
      <c r="HI77">
        <f>VLOOKUP(A77,[4]Москва_продажа_районы!$C$4:$F$151,3,0)</f>
        <v>289889.48423714261</v>
      </c>
      <c r="HJ77" s="13">
        <f t="shared" si="232"/>
        <v>1.3702000216226695E-2</v>
      </c>
      <c r="HK77">
        <f>VLOOKUP(A77,[4]Москва_продажа_районы!$C$4:$F$151,2,0)</f>
        <v>263</v>
      </c>
      <c r="HL77" s="13">
        <f t="shared" si="233"/>
        <v>-1.8656716417910446E-2</v>
      </c>
      <c r="HM77" s="1">
        <f>VLOOKUP(A77,Лист3!$C$4:$F$149,3,0)</f>
        <v>286708.00808859977</v>
      </c>
      <c r="HN77" s="13">
        <f t="shared" si="234"/>
        <v>-1.0974789778646299E-2</v>
      </c>
      <c r="HO77">
        <f>VLOOKUP(A77,Лист3!$C$4:$F$149,2,0)</f>
        <v>263</v>
      </c>
      <c r="HP77" s="13">
        <f t="shared" si="235"/>
        <v>0</v>
      </c>
      <c r="HQ77" s="1">
        <v>286296.43040413712</v>
      </c>
      <c r="HR77" s="13">
        <v>-1.4355290848222513E-3</v>
      </c>
      <c r="HS77">
        <v>271</v>
      </c>
      <c r="HT77" s="13">
        <v>3.041825095057038E-2</v>
      </c>
      <c r="HU77" s="34">
        <v>289888.72032090812</v>
      </c>
      <c r="HV77" s="13">
        <v>1.2547449200467131E-2</v>
      </c>
      <c r="HW77">
        <v>259</v>
      </c>
      <c r="HX77" s="13">
        <v>-4.4280442804428E-2</v>
      </c>
      <c r="HY77">
        <v>291169.31745426549</v>
      </c>
      <c r="HZ77" s="13">
        <v>4.417547298631419E-3</v>
      </c>
      <c r="IA77">
        <v>273</v>
      </c>
      <c r="IB77" s="13">
        <v>5.4054054054053946E-2</v>
      </c>
      <c r="IC77" s="34">
        <v>296618.06800758722</v>
      </c>
      <c r="ID77" s="13">
        <v>1.8713340406059764E-2</v>
      </c>
      <c r="IE77">
        <v>240</v>
      </c>
      <c r="IF77" s="13">
        <v>-0.12087912087912089</v>
      </c>
    </row>
    <row r="78" spans="1:240" x14ac:dyDescent="0.3">
      <c r="A78" s="23" t="s">
        <v>90</v>
      </c>
      <c r="B78" s="22">
        <v>159499.38171360985</v>
      </c>
      <c r="C78">
        <v>410</v>
      </c>
      <c r="D78" s="22">
        <v>161435.56047331265</v>
      </c>
      <c r="E78">
        <v>323</v>
      </c>
      <c r="F78" s="22">
        <v>172013.88696939006</v>
      </c>
      <c r="G78">
        <v>164</v>
      </c>
      <c r="H78" s="22">
        <v>175324.87327232942</v>
      </c>
      <c r="I78">
        <v>200</v>
      </c>
      <c r="J78" s="22">
        <v>176275.53265669037</v>
      </c>
      <c r="K78">
        <v>217</v>
      </c>
      <c r="L78" s="22">
        <v>173151.68196928766</v>
      </c>
      <c r="M78">
        <v>197</v>
      </c>
      <c r="N78" s="22">
        <v>176258.97986316792</v>
      </c>
      <c r="O78" s="28">
        <v>187</v>
      </c>
      <c r="P78" s="35">
        <v>180905.1917010631</v>
      </c>
      <c r="Q78" s="28">
        <v>146</v>
      </c>
      <c r="R78" s="35">
        <v>188222.24779341961</v>
      </c>
      <c r="S78">
        <v>144</v>
      </c>
      <c r="T78" s="46">
        <v>197547.07985913672</v>
      </c>
      <c r="U78" s="47">
        <v>123</v>
      </c>
      <c r="V78" s="56">
        <v>200244.81892926421</v>
      </c>
      <c r="W78" s="47">
        <v>112</v>
      </c>
      <c r="X78" s="56">
        <v>205095.79092235261</v>
      </c>
      <c r="Y78" s="47">
        <v>99</v>
      </c>
      <c r="Z78" s="34">
        <v>205731</v>
      </c>
      <c r="AA78" s="81">
        <v>124</v>
      </c>
      <c r="AB78" s="1">
        <v>213585.07740534609</v>
      </c>
      <c r="AC78" s="1">
        <v>130</v>
      </c>
      <c r="AD78" s="1">
        <v>216019.06696046659</v>
      </c>
      <c r="AE78">
        <v>95</v>
      </c>
      <c r="AF78" s="13">
        <f t="shared" si="180"/>
        <v>5.3259386694334721E-2</v>
      </c>
      <c r="AG78" s="85">
        <f t="shared" si="170"/>
        <v>2.8131477642878294E-2</v>
      </c>
      <c r="AH78" s="35">
        <f t="shared" si="171"/>
        <v>11.252591057151317</v>
      </c>
      <c r="AI78" s="87">
        <f t="shared" si="172"/>
        <v>106.25259105715132</v>
      </c>
      <c r="AL78" s="1">
        <v>221923.9509841589</v>
      </c>
      <c r="AM78">
        <v>98</v>
      </c>
      <c r="AN78" s="13">
        <f t="shared" si="173"/>
        <v>2.8144744399770247E-2</v>
      </c>
      <c r="AQ78" s="35">
        <f t="shared" si="174"/>
        <v>7.0924755887421025</v>
      </c>
      <c r="AR78" s="87">
        <f t="shared" si="175"/>
        <v>105.0924755887421</v>
      </c>
      <c r="AS78">
        <v>101</v>
      </c>
      <c r="AT78" s="1">
        <v>230242.44436549681</v>
      </c>
      <c r="AU78" s="13">
        <f t="shared" si="176"/>
        <v>3.7483531382927149E-2</v>
      </c>
      <c r="AV78">
        <v>116</v>
      </c>
      <c r="AW78" s="1">
        <v>234615.00894419351</v>
      </c>
      <c r="AX78" s="35">
        <v>123.47084421235857</v>
      </c>
      <c r="AY78" s="121">
        <v>222339.4666326365</v>
      </c>
      <c r="AZ78" s="122">
        <v>158</v>
      </c>
      <c r="BA78" s="119">
        <v>224680.54685149301</v>
      </c>
      <c r="BB78">
        <v>161</v>
      </c>
      <c r="BC78" s="125">
        <f t="shared" si="177"/>
        <v>1.0529305724766402E-2</v>
      </c>
      <c r="BD78">
        <v>173</v>
      </c>
      <c r="BE78" s="1">
        <v>234275.65253760299</v>
      </c>
      <c r="BF78" s="13">
        <f t="shared" si="154"/>
        <v>4.2705547144907152E-2</v>
      </c>
      <c r="BG78">
        <v>171</v>
      </c>
      <c r="BH78" s="1">
        <v>239667.10856941319</v>
      </c>
      <c r="BI78" s="13">
        <f t="shared" si="123"/>
        <v>2.3013300671288706E-2</v>
      </c>
      <c r="BJ78">
        <v>150</v>
      </c>
      <c r="BK78" s="1">
        <v>241722.13209745241</v>
      </c>
      <c r="BL78" s="13">
        <f t="shared" si="155"/>
        <v>8.574491261257311E-3</v>
      </c>
      <c r="BM78" s="1">
        <v>245188.87178539479</v>
      </c>
      <c r="BN78" s="109">
        <f t="shared" si="156"/>
        <v>1.4341838117432726E-2</v>
      </c>
      <c r="BO78">
        <v>147</v>
      </c>
      <c r="BP78" s="13">
        <f t="shared" si="157"/>
        <v>-2.0000000000000018E-2</v>
      </c>
      <c r="BQ78" s="1">
        <v>245513.28534608419</v>
      </c>
      <c r="BR78" s="13">
        <f t="shared" si="178"/>
        <v>1.3231169845806523E-3</v>
      </c>
      <c r="BS78">
        <v>146</v>
      </c>
      <c r="BT78" s="13">
        <f t="shared" si="179"/>
        <v>-6.8027210884353817E-3</v>
      </c>
      <c r="BU78" s="1">
        <v>252890.51377013299</v>
      </c>
      <c r="BV78" s="13">
        <f t="shared" si="158"/>
        <v>3.0048184209867213E-2</v>
      </c>
      <c r="BW78">
        <v>128</v>
      </c>
      <c r="BX78" s="13">
        <f t="shared" si="159"/>
        <v>-0.12328767123287676</v>
      </c>
      <c r="BY78" s="1">
        <v>253961.78113263519</v>
      </c>
      <c r="BZ78" s="13">
        <f t="shared" si="160"/>
        <v>4.2360915264536558E-3</v>
      </c>
      <c r="CA78">
        <v>88</v>
      </c>
      <c r="CB78" s="13">
        <f t="shared" si="161"/>
        <v>-0.3125</v>
      </c>
      <c r="CC78" s="1">
        <v>255881.35726237891</v>
      </c>
      <c r="CD78" s="13">
        <f t="shared" si="162"/>
        <v>7.5585236533728395E-3</v>
      </c>
      <c r="CE78">
        <v>93</v>
      </c>
      <c r="CF78" s="13">
        <f t="shared" si="163"/>
        <v>5.6818181818181879E-2</v>
      </c>
      <c r="CG78" s="1">
        <v>252546.93511449869</v>
      </c>
      <c r="CH78" s="13">
        <f t="shared" si="164"/>
        <v>-1.3031125766857388E-2</v>
      </c>
      <c r="CI78">
        <v>111</v>
      </c>
      <c r="CJ78" s="13">
        <f t="shared" si="165"/>
        <v>0.19354838709677424</v>
      </c>
      <c r="CK78" s="1">
        <v>255706.9575889729</v>
      </c>
      <c r="CL78" s="13">
        <f t="shared" si="166"/>
        <v>1.2512614627619767E-2</v>
      </c>
      <c r="CM78">
        <v>125</v>
      </c>
      <c r="CN78" s="13">
        <f t="shared" si="167"/>
        <v>0.12612612612612617</v>
      </c>
      <c r="CO78" s="1">
        <v>253080.09125777279</v>
      </c>
      <c r="CP78" s="13">
        <v>-1.0272956027354452E-2</v>
      </c>
      <c r="CQ78">
        <v>126</v>
      </c>
      <c r="CR78" s="13">
        <v>8.0000000000000071E-3</v>
      </c>
      <c r="CS78" s="1">
        <v>253870.70491061301</v>
      </c>
      <c r="CT78" s="13">
        <f t="shared" si="181"/>
        <v>3.1239662073416774E-3</v>
      </c>
      <c r="CU78">
        <v>166</v>
      </c>
      <c r="CV78" s="13">
        <f t="shared" si="182"/>
        <v>0.31746031746031744</v>
      </c>
      <c r="CW78" s="1">
        <v>248480.40466137609</v>
      </c>
      <c r="CX78" s="13">
        <f t="shared" si="183"/>
        <v>-2.1232462607825631E-2</v>
      </c>
      <c r="CY78">
        <v>167</v>
      </c>
      <c r="CZ78" s="13">
        <f t="shared" si="184"/>
        <v>6.0240963855422436E-3</v>
      </c>
      <c r="DA78" s="1">
        <v>245778.53767890489</v>
      </c>
      <c r="DB78" s="13">
        <f t="shared" si="185"/>
        <v>-1.0873561583873204E-2</v>
      </c>
      <c r="DC78">
        <v>166</v>
      </c>
      <c r="DD78" s="13">
        <f t="shared" si="186"/>
        <v>-5.9880239520958556E-3</v>
      </c>
      <c r="DE78" s="1">
        <v>239504.01625085709</v>
      </c>
      <c r="DF78" s="13">
        <f t="shared" si="187"/>
        <v>-2.552916738501021E-2</v>
      </c>
      <c r="DG78" s="1">
        <v>158</v>
      </c>
      <c r="DH78" s="13">
        <f t="shared" si="188"/>
        <v>-4.8192771084337394E-2</v>
      </c>
      <c r="DI78" s="1">
        <v>242877.33780789899</v>
      </c>
      <c r="DJ78" s="13">
        <f t="shared" si="189"/>
        <v>1.4084613735698914E-2</v>
      </c>
      <c r="DK78" s="1">
        <v>170</v>
      </c>
      <c r="DL78" s="13">
        <f t="shared" si="190"/>
        <v>7.5949367088607556E-2</v>
      </c>
      <c r="DM78" s="1">
        <v>247191.86634707829</v>
      </c>
      <c r="DN78" s="13">
        <f t="shared" si="191"/>
        <v>1.7764228553064143E-2</v>
      </c>
      <c r="DO78" s="1">
        <v>180</v>
      </c>
      <c r="DP78" s="13">
        <f t="shared" si="192"/>
        <v>5.8823529411764719E-2</v>
      </c>
      <c r="DQ78" s="1">
        <v>250002.68449124109</v>
      </c>
      <c r="DR78" s="13">
        <f t="shared" si="193"/>
        <v>1.1370997701907193E-2</v>
      </c>
      <c r="DS78">
        <v>179</v>
      </c>
      <c r="DT78" s="13">
        <f t="shared" si="194"/>
        <v>-5.5555555555555358E-3</v>
      </c>
      <c r="DU78" s="1">
        <v>252249.04533727391</v>
      </c>
      <c r="DV78" s="13">
        <f t="shared" si="195"/>
        <v>8.9853468997911357E-3</v>
      </c>
      <c r="DW78">
        <v>173</v>
      </c>
      <c r="DX78" s="13">
        <f t="shared" si="196"/>
        <v>-3.3519553072625663E-2</v>
      </c>
      <c r="DY78" s="1">
        <v>251331.43673340531</v>
      </c>
      <c r="DZ78" s="13">
        <f t="shared" si="197"/>
        <v>-3.6377089262783491E-3</v>
      </c>
      <c r="EA78" s="1">
        <v>175</v>
      </c>
      <c r="EB78" s="13">
        <f t="shared" si="198"/>
        <v>1.1560693641618602E-2</v>
      </c>
      <c r="EC78" s="1">
        <v>252777.53302576669</v>
      </c>
      <c r="ED78" s="13">
        <f t="shared" si="199"/>
        <v>5.7537421945959011E-3</v>
      </c>
      <c r="EE78" s="1">
        <f>IFERROR(VLOOKUP($A78,[1]Москва_продажа_районы!$C$2:$F$148,2,0),"")</f>
        <v>156</v>
      </c>
      <c r="EF78" s="13">
        <v>-0.10857142857142854</v>
      </c>
      <c r="EG78" s="1">
        <v>256494.40772667681</v>
      </c>
      <c r="EH78" s="13">
        <f t="shared" si="200"/>
        <v>1.4704133933181707E-2</v>
      </c>
      <c r="EI78" s="1">
        <f>IFERROR(VLOOKUP($A78,[2]Москва_продажа_районы!$C$2:$F$150,2,0),"")</f>
        <v>140</v>
      </c>
      <c r="EJ78" s="13">
        <v>-0.10256410256410253</v>
      </c>
      <c r="EK78" s="1">
        <v>270879.25989207608</v>
      </c>
      <c r="EL78" s="13">
        <f t="shared" si="201"/>
        <v>5.6082517716050662E-2</v>
      </c>
      <c r="EM78">
        <v>158</v>
      </c>
      <c r="EN78" s="13">
        <f t="shared" si="202"/>
        <v>0.12857142857142856</v>
      </c>
      <c r="EO78" s="1">
        <v>267372.46748574032</v>
      </c>
      <c r="EP78" s="13">
        <f t="shared" si="203"/>
        <v>-1.2945961266037642E-2</v>
      </c>
      <c r="EQ78">
        <v>146</v>
      </c>
      <c r="ER78" s="13">
        <f t="shared" si="204"/>
        <v>-7.5949367088607556E-2</v>
      </c>
      <c r="ES78" s="183">
        <v>270763.31946018437</v>
      </c>
      <c r="ET78" s="13">
        <f t="shared" si="205"/>
        <v>1.2682128441758422E-2</v>
      </c>
      <c r="EU78">
        <v>152</v>
      </c>
      <c r="EV78" s="13">
        <f t="shared" si="206"/>
        <v>4.1095890410958846E-2</v>
      </c>
      <c r="EW78" s="183">
        <v>268765.32099374238</v>
      </c>
      <c r="EX78" s="13">
        <f t="shared" si="207"/>
        <v>-7.3791327068428725E-3</v>
      </c>
      <c r="EY78">
        <v>149</v>
      </c>
      <c r="EZ78" s="13">
        <f t="shared" si="208"/>
        <v>-1.9736842105263164E-2</v>
      </c>
      <c r="FA78" s="1">
        <v>273008.15284097038</v>
      </c>
      <c r="FB78" s="13">
        <f t="shared" si="209"/>
        <v>1.5786381336477584E-2</v>
      </c>
      <c r="FC78" s="1">
        <v>140</v>
      </c>
      <c r="FD78" s="13">
        <f t="shared" si="210"/>
        <v>-6.0402684563758413E-2</v>
      </c>
      <c r="FE78" s="1">
        <v>277595.2110962997</v>
      </c>
      <c r="FF78" s="13">
        <f t="shared" si="211"/>
        <v>1.6801909421369166E-2</v>
      </c>
      <c r="FG78" s="1">
        <v>141</v>
      </c>
      <c r="FH78" s="13">
        <f t="shared" si="212"/>
        <v>7.1428571428571175E-3</v>
      </c>
      <c r="FI78" s="1">
        <v>279001.05909176217</v>
      </c>
      <c r="FJ78" s="13">
        <f t="shared" si="213"/>
        <v>5.064381297899212E-3</v>
      </c>
      <c r="FK78" s="1">
        <v>159</v>
      </c>
      <c r="FL78" s="13">
        <f t="shared" si="214"/>
        <v>0.12765957446808507</v>
      </c>
      <c r="FM78" s="1">
        <v>279901.84231648652</v>
      </c>
      <c r="FN78" s="13">
        <f t="shared" si="215"/>
        <v>3.228601452828439E-3</v>
      </c>
      <c r="FO78" s="1">
        <v>143</v>
      </c>
      <c r="FP78" s="13">
        <f t="shared" si="216"/>
        <v>-0.10062893081761004</v>
      </c>
      <c r="FQ78" s="1">
        <v>279066.81577097328</v>
      </c>
      <c r="FR78" s="13">
        <f t="shared" si="217"/>
        <v>-2.9832834918216422E-3</v>
      </c>
      <c r="FS78">
        <v>164</v>
      </c>
      <c r="FT78" s="13">
        <f t="shared" si="218"/>
        <v>0.14685314685314688</v>
      </c>
      <c r="FU78" s="1">
        <v>277253.15091614728</v>
      </c>
      <c r="FV78" s="13">
        <f t="shared" si="219"/>
        <v>-6.4990344689153101E-3</v>
      </c>
      <c r="FW78" s="1">
        <v>161</v>
      </c>
      <c r="FX78" s="13">
        <f t="shared" si="220"/>
        <v>-1.8292682926829285E-2</v>
      </c>
      <c r="FY78" s="1">
        <v>280765.92791651102</v>
      </c>
      <c r="FZ78" s="13">
        <f t="shared" si="221"/>
        <v>1.2669926342608662E-2</v>
      </c>
      <c r="GA78" s="1">
        <v>170</v>
      </c>
      <c r="GB78" s="13">
        <f t="shared" si="222"/>
        <v>5.5900621118012417E-2</v>
      </c>
      <c r="GC78" s="1">
        <v>280510.5722385004</v>
      </c>
      <c r="GD78" s="13">
        <f t="shared" si="223"/>
        <v>-9.0949667541762036E-4</v>
      </c>
      <c r="GE78" s="1">
        <v>166</v>
      </c>
      <c r="GF78" s="13">
        <f t="shared" si="224"/>
        <v>-2.352941176470591E-2</v>
      </c>
      <c r="GG78" s="1">
        <f>IFERROR(VLOOKUP(A78,[3]Москва_продажа_районы!$C$2:$F$149,3,0),"")</f>
        <v>278908.85039152863</v>
      </c>
      <c r="GH78" s="13">
        <v>-5.7100230989152179E-3</v>
      </c>
      <c r="GI78" s="1">
        <v>172</v>
      </c>
      <c r="GJ78" s="13">
        <f t="shared" si="225"/>
        <v>3.6144578313253017E-2</v>
      </c>
      <c r="GK78" s="1">
        <v>271444.1940650781</v>
      </c>
      <c r="GL78" s="13">
        <f t="shared" si="226"/>
        <v>-2.6763784354536413E-2</v>
      </c>
      <c r="GM78" s="1">
        <v>155</v>
      </c>
      <c r="GN78" s="13">
        <f t="shared" si="227"/>
        <v>-9.8837209302325535E-2</v>
      </c>
      <c r="GO78" s="1">
        <v>273057.55737444328</v>
      </c>
      <c r="GP78" s="13">
        <f t="shared" si="228"/>
        <v>5.943627989252187E-3</v>
      </c>
      <c r="GQ78" s="1">
        <v>161.57000000000002</v>
      </c>
      <c r="GR78" s="13">
        <f t="shared" si="229"/>
        <v>4.2387096774193722E-2</v>
      </c>
      <c r="GS78" s="1">
        <v>274469.93947261042</v>
      </c>
      <c r="GT78" s="13">
        <f t="shared" si="168"/>
        <v>5.1724702723767724E-3</v>
      </c>
      <c r="GU78">
        <v>173</v>
      </c>
      <c r="GV78" s="13">
        <f t="shared" si="169"/>
        <v>7.0743331063934933E-2</v>
      </c>
      <c r="GW78">
        <v>272052.86988293403</v>
      </c>
      <c r="GX78" s="13">
        <f t="shared" si="230"/>
        <v>-8.806318077384967E-3</v>
      </c>
      <c r="GY78">
        <v>126</v>
      </c>
      <c r="GZ78" s="13">
        <f t="shared" si="231"/>
        <v>-0.27167630057803471</v>
      </c>
      <c r="HA78">
        <v>279374.39463593741</v>
      </c>
      <c r="HB78" s="13">
        <v>2.69121393799443E-2</v>
      </c>
      <c r="HC78">
        <v>120</v>
      </c>
      <c r="HD78" s="13">
        <v>-4.7619047619047672E-2</v>
      </c>
      <c r="HE78">
        <v>277183.62377651379</v>
      </c>
      <c r="HF78" s="13">
        <v>-7.8417023946610875E-3</v>
      </c>
      <c r="HG78">
        <v>135</v>
      </c>
      <c r="HH78" s="13">
        <v>0.125</v>
      </c>
      <c r="HI78">
        <f>VLOOKUP(A78,[4]Москва_продажа_районы!$C$4:$F$151,3,0)</f>
        <v>281099.69244420441</v>
      </c>
      <c r="HJ78" s="13">
        <f t="shared" si="232"/>
        <v>1.4128066493740876E-2</v>
      </c>
      <c r="HK78">
        <f>VLOOKUP(A78,[4]Москва_продажа_районы!$C$4:$F$151,2,0)</f>
        <v>141</v>
      </c>
      <c r="HL78" s="13">
        <f t="shared" si="233"/>
        <v>4.4444444444444509E-2</v>
      </c>
      <c r="HM78" s="1">
        <f>VLOOKUP(A78,Лист3!$C$4:$F$149,3,0)</f>
        <v>279418.07344221591</v>
      </c>
      <c r="HN78" s="13">
        <f t="shared" si="234"/>
        <v>-5.9822868796709505E-3</v>
      </c>
      <c r="HO78">
        <f>VLOOKUP(A78,Лист3!$C$4:$F$149,2,0)</f>
        <v>150</v>
      </c>
      <c r="HP78" s="13">
        <f t="shared" si="235"/>
        <v>6.3829787234042534E-2</v>
      </c>
      <c r="HQ78" s="1">
        <v>271139.69807515049</v>
      </c>
      <c r="HR78" s="13">
        <v>-2.9627200792998853E-2</v>
      </c>
      <c r="HS78">
        <v>167</v>
      </c>
      <c r="HT78" s="13">
        <v>0.11333333333333329</v>
      </c>
      <c r="HU78" s="34">
        <v>269684.02629787452</v>
      </c>
      <c r="HV78" s="13">
        <v>-5.3687150484047486E-3</v>
      </c>
      <c r="HW78">
        <v>159</v>
      </c>
      <c r="HX78" s="13">
        <v>-4.7904191616766512E-2</v>
      </c>
      <c r="HY78">
        <v>276438.79273838631</v>
      </c>
      <c r="HZ78" s="13">
        <v>2.5046965269833743E-2</v>
      </c>
      <c r="IA78">
        <v>180</v>
      </c>
      <c r="IB78" s="13">
        <v>0.13207547169811318</v>
      </c>
      <c r="IC78" s="34">
        <v>274885.23410718353</v>
      </c>
      <c r="ID78" s="13">
        <v>-5.6199009401441957E-3</v>
      </c>
      <c r="IE78">
        <v>200</v>
      </c>
      <c r="IF78" s="13">
        <v>0.11111111111111116</v>
      </c>
    </row>
    <row r="79" spans="1:240" x14ac:dyDescent="0.3">
      <c r="A79" s="23" t="s">
        <v>91</v>
      </c>
      <c r="B79" s="22">
        <v>186510.82764953029</v>
      </c>
      <c r="C79">
        <v>298</v>
      </c>
      <c r="D79" s="22">
        <v>189581.15555464686</v>
      </c>
      <c r="E79">
        <v>269</v>
      </c>
      <c r="F79" s="22">
        <v>189349.63730055245</v>
      </c>
      <c r="G79">
        <v>181</v>
      </c>
      <c r="H79" s="22">
        <v>190699.77368327376</v>
      </c>
      <c r="I79">
        <v>199</v>
      </c>
      <c r="J79" s="22">
        <v>189619.38642768387</v>
      </c>
      <c r="K79">
        <v>236</v>
      </c>
      <c r="L79" s="22">
        <v>189037.89949296118</v>
      </c>
      <c r="M79">
        <v>241</v>
      </c>
      <c r="N79" s="22">
        <v>191431.12194299931</v>
      </c>
      <c r="O79" s="28">
        <v>220</v>
      </c>
      <c r="P79" s="35">
        <v>196701.6716307645</v>
      </c>
      <c r="Q79" s="28">
        <v>212</v>
      </c>
      <c r="R79" s="35">
        <v>203443.89621085723</v>
      </c>
      <c r="S79">
        <v>194</v>
      </c>
      <c r="T79" s="46">
        <v>207005.24206161083</v>
      </c>
      <c r="U79" s="47">
        <v>165</v>
      </c>
      <c r="V79" s="56">
        <v>211939.98037203611</v>
      </c>
      <c r="W79" s="47">
        <v>161</v>
      </c>
      <c r="X79" s="56">
        <v>217160.231733808</v>
      </c>
      <c r="Y79" s="47">
        <v>144</v>
      </c>
      <c r="Z79" s="34">
        <v>217032.37271566398</v>
      </c>
      <c r="AA79" s="81">
        <v>180</v>
      </c>
      <c r="AB79" s="1">
        <v>220351.28476562299</v>
      </c>
      <c r="AC79" s="1">
        <v>187</v>
      </c>
      <c r="AD79" s="1">
        <v>230009.3949775896</v>
      </c>
      <c r="AE79">
        <v>190</v>
      </c>
      <c r="AF79" s="13">
        <f t="shared" si="180"/>
        <v>5.9169043711152058E-2</v>
      </c>
      <c r="AG79" s="85">
        <f t="shared" si="170"/>
        <v>5.6262955285756588E-2</v>
      </c>
      <c r="AH79" s="35">
        <f t="shared" si="171"/>
        <v>22.505182114302634</v>
      </c>
      <c r="AI79" s="87">
        <f t="shared" si="172"/>
        <v>212.50518211430264</v>
      </c>
      <c r="AL79" s="1">
        <v>232620.11591662929</v>
      </c>
      <c r="AM79">
        <v>182</v>
      </c>
      <c r="AN79" s="13">
        <f t="shared" si="173"/>
        <v>5.2268811028144742E-2</v>
      </c>
      <c r="AQ79" s="35">
        <f t="shared" si="174"/>
        <v>13.171740379092475</v>
      </c>
      <c r="AR79" s="87">
        <f t="shared" si="175"/>
        <v>195.17174037909248</v>
      </c>
      <c r="AS79">
        <v>162</v>
      </c>
      <c r="AT79" s="1">
        <v>238128.36916892501</v>
      </c>
      <c r="AU79" s="13">
        <f t="shared" si="176"/>
        <v>2.3679178520699784E-2</v>
      </c>
      <c r="AV79">
        <v>156</v>
      </c>
      <c r="AW79" s="1">
        <v>241002.37600734021</v>
      </c>
      <c r="AX79" s="35">
        <v>166.04699738903395</v>
      </c>
      <c r="AY79" s="121">
        <v>250312.89109750139</v>
      </c>
      <c r="AZ79" s="122">
        <v>145</v>
      </c>
      <c r="BA79" s="119">
        <v>253869.17634808191</v>
      </c>
      <c r="BB79">
        <v>161</v>
      </c>
      <c r="BC79" s="125">
        <f t="shared" si="177"/>
        <v>1.420735957699959E-2</v>
      </c>
      <c r="BD79">
        <v>191</v>
      </c>
      <c r="BE79" s="1">
        <v>256474.6611376834</v>
      </c>
      <c r="BF79" s="13">
        <f t="shared" si="154"/>
        <v>1.0263100180500473E-2</v>
      </c>
      <c r="BG79">
        <v>195</v>
      </c>
      <c r="BH79" s="1">
        <v>263915.04795918567</v>
      </c>
      <c r="BI79" s="13">
        <f t="shared" si="123"/>
        <v>2.9010221861675678E-2</v>
      </c>
      <c r="BJ79">
        <v>177</v>
      </c>
      <c r="BK79" s="1">
        <v>268576.28397230047</v>
      </c>
      <c r="BL79" s="13">
        <f t="shared" si="155"/>
        <v>1.7661880401134367E-2</v>
      </c>
      <c r="BM79" s="1">
        <v>270577.01657653681</v>
      </c>
      <c r="BN79" s="109">
        <f t="shared" si="156"/>
        <v>7.4494016174662114E-3</v>
      </c>
      <c r="BO79">
        <v>175</v>
      </c>
      <c r="BP79" s="13">
        <f t="shared" si="157"/>
        <v>-1.1299435028248594E-2</v>
      </c>
      <c r="BQ79" s="1">
        <v>273874.10167423869</v>
      </c>
      <c r="BR79" s="13">
        <f t="shared" si="178"/>
        <v>1.2185384920781805E-2</v>
      </c>
      <c r="BS79">
        <v>186</v>
      </c>
      <c r="BT79" s="13">
        <f t="shared" si="179"/>
        <v>6.2857142857142945E-2</v>
      </c>
      <c r="BU79" s="1">
        <v>282936.20384008792</v>
      </c>
      <c r="BV79" s="13">
        <f t="shared" si="158"/>
        <v>3.3088569201874529E-2</v>
      </c>
      <c r="BW79">
        <v>171</v>
      </c>
      <c r="BX79" s="13">
        <f t="shared" si="159"/>
        <v>-8.064516129032262E-2</v>
      </c>
      <c r="BY79" s="1">
        <v>288567.33016231871</v>
      </c>
      <c r="BZ79" s="13">
        <f t="shared" si="160"/>
        <v>1.9902459444226528E-2</v>
      </c>
      <c r="CA79">
        <v>166</v>
      </c>
      <c r="CB79" s="13">
        <f t="shared" si="161"/>
        <v>-2.9239766081871399E-2</v>
      </c>
      <c r="CC79" s="1">
        <v>279961.62454408238</v>
      </c>
      <c r="CD79" s="13">
        <f t="shared" si="162"/>
        <v>-2.9822175689103947E-2</v>
      </c>
      <c r="CE79">
        <v>185</v>
      </c>
      <c r="CF79" s="13">
        <f t="shared" si="163"/>
        <v>0.1144578313253013</v>
      </c>
      <c r="CG79" s="1">
        <v>275959.78225455951</v>
      </c>
      <c r="CH79" s="13">
        <f t="shared" si="164"/>
        <v>-1.4294252992851697E-2</v>
      </c>
      <c r="CI79">
        <v>205</v>
      </c>
      <c r="CJ79" s="13">
        <f t="shared" si="165"/>
        <v>0.10810810810810811</v>
      </c>
      <c r="CK79" s="1">
        <v>273303.22875388968</v>
      </c>
      <c r="CL79" s="13">
        <f t="shared" si="166"/>
        <v>-9.6265965966710887E-3</v>
      </c>
      <c r="CM79">
        <v>220</v>
      </c>
      <c r="CN79" s="13">
        <f t="shared" si="167"/>
        <v>7.3170731707317138E-2</v>
      </c>
      <c r="CO79" s="1">
        <v>275067.59743662272</v>
      </c>
      <c r="CP79" s="13">
        <v>6.4557184003188883E-3</v>
      </c>
      <c r="CQ79">
        <v>251</v>
      </c>
      <c r="CR79" s="13">
        <v>0.14090909090909087</v>
      </c>
      <c r="CS79" s="1">
        <v>270771.53531167418</v>
      </c>
      <c r="CT79" s="13">
        <f t="shared" si="181"/>
        <v>-1.561820499754929E-2</v>
      </c>
      <c r="CU79">
        <v>269</v>
      </c>
      <c r="CV79" s="13">
        <f t="shared" si="182"/>
        <v>7.1713147410358502E-2</v>
      </c>
      <c r="CW79" s="1">
        <v>263843.64453417622</v>
      </c>
      <c r="CX79" s="13">
        <f t="shared" si="183"/>
        <v>-2.5585742495139119E-2</v>
      </c>
      <c r="CY79">
        <v>259</v>
      </c>
      <c r="CZ79" s="13">
        <f t="shared" si="184"/>
        <v>-3.7174721189591087E-2</v>
      </c>
      <c r="DA79" s="1">
        <v>266264.60197218898</v>
      </c>
      <c r="DB79" s="13">
        <f t="shared" si="185"/>
        <v>9.1757277014841154E-3</v>
      </c>
      <c r="DC79">
        <v>279</v>
      </c>
      <c r="DD79" s="13">
        <f t="shared" si="186"/>
        <v>7.7220077220077288E-2</v>
      </c>
      <c r="DE79" s="1">
        <v>260770.24604954731</v>
      </c>
      <c r="DF79" s="13">
        <f t="shared" si="187"/>
        <v>-2.0634946898482442E-2</v>
      </c>
      <c r="DG79" s="1">
        <v>233</v>
      </c>
      <c r="DH79" s="13">
        <f t="shared" si="188"/>
        <v>-0.16487455197132617</v>
      </c>
      <c r="DI79" s="1">
        <v>262785.37822106539</v>
      </c>
      <c r="DJ79" s="13">
        <f t="shared" si="189"/>
        <v>7.7276154087579929E-3</v>
      </c>
      <c r="DK79" s="1">
        <v>221</v>
      </c>
      <c r="DL79" s="13">
        <f t="shared" si="190"/>
        <v>-5.1502145922746823E-2</v>
      </c>
      <c r="DM79" s="1">
        <v>261679.5889258633</v>
      </c>
      <c r="DN79" s="13">
        <f t="shared" si="191"/>
        <v>-4.2079559475027839E-3</v>
      </c>
      <c r="DO79" s="1">
        <v>238</v>
      </c>
      <c r="DP79" s="13">
        <f t="shared" si="192"/>
        <v>7.6923076923076872E-2</v>
      </c>
      <c r="DQ79" s="1">
        <v>263336.08675340418</v>
      </c>
      <c r="DR79" s="13">
        <f t="shared" si="193"/>
        <v>6.3302523301127511E-3</v>
      </c>
      <c r="DS79">
        <v>277</v>
      </c>
      <c r="DT79" s="13">
        <f t="shared" si="194"/>
        <v>0.16386554621848748</v>
      </c>
      <c r="DU79" s="1">
        <v>263961.0621768001</v>
      </c>
      <c r="DV79" s="13">
        <f t="shared" si="195"/>
        <v>2.3732995773615428E-3</v>
      </c>
      <c r="DW79">
        <v>258</v>
      </c>
      <c r="DX79" s="13">
        <f t="shared" si="196"/>
        <v>-6.8592057761732828E-2</v>
      </c>
      <c r="DY79" s="1">
        <v>264955.44651003089</v>
      </c>
      <c r="DZ79" s="13">
        <f t="shared" si="197"/>
        <v>3.7671629483166935E-3</v>
      </c>
      <c r="EA79" s="1">
        <v>253</v>
      </c>
      <c r="EB79" s="13">
        <f t="shared" si="198"/>
        <v>-1.9379844961240345E-2</v>
      </c>
      <c r="EC79" s="1">
        <v>264977.81483080488</v>
      </c>
      <c r="ED79" s="13">
        <f t="shared" si="199"/>
        <v>8.4422951362794763E-5</v>
      </c>
      <c r="EE79" s="1">
        <f>IFERROR(VLOOKUP($A79,[1]Москва_продажа_районы!$C$2:$F$148,2,0),"")</f>
        <v>251</v>
      </c>
      <c r="EF79" s="13">
        <v>-7.905138339920903E-3</v>
      </c>
      <c r="EG79" s="1">
        <v>265596.53338772611</v>
      </c>
      <c r="EH79" s="13">
        <f t="shared" si="200"/>
        <v>2.3349824864256075E-3</v>
      </c>
      <c r="EI79" s="1">
        <f>IFERROR(VLOOKUP($A79,[2]Москва_продажа_районы!$C$2:$F$150,2,0),"")</f>
        <v>212</v>
      </c>
      <c r="EJ79" s="13">
        <v>-0.15537848605577687</v>
      </c>
      <c r="EK79" s="1">
        <v>268934.21817028488</v>
      </c>
      <c r="EL79" s="13">
        <f t="shared" si="201"/>
        <v>1.2566748292931695E-2</v>
      </c>
      <c r="EM79">
        <v>205</v>
      </c>
      <c r="EN79" s="13">
        <f t="shared" si="202"/>
        <v>-3.301886792452835E-2</v>
      </c>
      <c r="EO79" s="1">
        <v>270225.57699585363</v>
      </c>
      <c r="EP79" s="13">
        <f t="shared" si="203"/>
        <v>4.8017646633240485E-3</v>
      </c>
      <c r="EQ79">
        <v>204</v>
      </c>
      <c r="ER79" s="13">
        <f t="shared" si="204"/>
        <v>-4.8780487804878092E-3</v>
      </c>
      <c r="ES79" s="183">
        <v>271783.44831643999</v>
      </c>
      <c r="ET79" s="13">
        <f t="shared" si="205"/>
        <v>5.7650772288304619E-3</v>
      </c>
      <c r="EU79">
        <v>196</v>
      </c>
      <c r="EV79" s="13">
        <f t="shared" si="206"/>
        <v>-3.9215686274509776E-2</v>
      </c>
      <c r="EW79" s="183">
        <v>278304.6134637068</v>
      </c>
      <c r="EX79" s="13">
        <f t="shared" si="207"/>
        <v>2.3993974569320287E-2</v>
      </c>
      <c r="EY79">
        <v>205</v>
      </c>
      <c r="EZ79" s="13">
        <f t="shared" si="208"/>
        <v>4.5918367346938771E-2</v>
      </c>
      <c r="FA79" s="1">
        <v>280650.5110134845</v>
      </c>
      <c r="FB79" s="13">
        <f t="shared" si="209"/>
        <v>8.4292442032536385E-3</v>
      </c>
      <c r="FC79" s="1">
        <v>180</v>
      </c>
      <c r="FD79" s="13">
        <f t="shared" si="210"/>
        <v>-0.12195121951219512</v>
      </c>
      <c r="FE79" s="1">
        <v>282173.51763648028</v>
      </c>
      <c r="FF79" s="13">
        <f t="shared" si="211"/>
        <v>5.4267017633280457E-3</v>
      </c>
      <c r="FG79" s="1">
        <v>190</v>
      </c>
      <c r="FH79" s="13">
        <f t="shared" si="212"/>
        <v>5.555555555555558E-2</v>
      </c>
      <c r="FI79" s="1">
        <v>283306.8718400207</v>
      </c>
      <c r="FJ79" s="13">
        <f t="shared" si="213"/>
        <v>4.0165151323678927E-3</v>
      </c>
      <c r="FK79" s="1">
        <v>226</v>
      </c>
      <c r="FL79" s="13">
        <f t="shared" si="214"/>
        <v>0.18947368421052624</v>
      </c>
      <c r="FM79" s="1">
        <v>280200.41605760192</v>
      </c>
      <c r="FN79" s="13">
        <f t="shared" si="215"/>
        <v>-1.0964985643457825E-2</v>
      </c>
      <c r="FO79" s="1">
        <v>244</v>
      </c>
      <c r="FP79" s="13">
        <f t="shared" si="216"/>
        <v>7.9646017699114946E-2</v>
      </c>
      <c r="FQ79" s="1">
        <v>277901.27991570462</v>
      </c>
      <c r="FR79" s="13">
        <f t="shared" si="217"/>
        <v>-8.2053273661972792E-3</v>
      </c>
      <c r="FS79">
        <v>240</v>
      </c>
      <c r="FT79" s="13">
        <f t="shared" si="218"/>
        <v>-1.6393442622950838E-2</v>
      </c>
      <c r="FU79" s="1">
        <v>278543.35974841448</v>
      </c>
      <c r="FV79" s="13">
        <f t="shared" si="219"/>
        <v>2.3104601493906252E-3</v>
      </c>
      <c r="FW79" s="1">
        <v>235</v>
      </c>
      <c r="FX79" s="13">
        <f t="shared" si="220"/>
        <v>-2.083333333333337E-2</v>
      </c>
      <c r="FY79" s="1">
        <v>277876.41251244862</v>
      </c>
      <c r="FZ79" s="13">
        <f t="shared" si="221"/>
        <v>-2.3944108255471441E-3</v>
      </c>
      <c r="GA79" s="1">
        <v>243</v>
      </c>
      <c r="GB79" s="13">
        <f t="shared" si="222"/>
        <v>3.4042553191489411E-2</v>
      </c>
      <c r="GC79" s="1">
        <v>279872.18000028591</v>
      </c>
      <c r="GD79" s="13">
        <f t="shared" si="223"/>
        <v>7.1822126599101477E-3</v>
      </c>
      <c r="GE79" s="1">
        <v>237</v>
      </c>
      <c r="GF79" s="13">
        <f t="shared" si="224"/>
        <v>-2.4691358024691357E-2</v>
      </c>
      <c r="GG79" s="1">
        <f>IFERROR(VLOOKUP(A79,[3]Москва_продажа_районы!$C$2:$F$149,3,0),"")</f>
        <v>280366.89108433528</v>
      </c>
      <c r="GH79" s="13">
        <v>1.7676322242849984E-3</v>
      </c>
      <c r="GI79" s="1">
        <v>241</v>
      </c>
      <c r="GJ79" s="13">
        <f t="shared" si="225"/>
        <v>1.6877637130801704E-2</v>
      </c>
      <c r="GK79" s="1">
        <v>281658.37342340691</v>
      </c>
      <c r="GL79" s="13">
        <f t="shared" si="226"/>
        <v>4.6064010414237355E-3</v>
      </c>
      <c r="GM79" s="1">
        <v>253</v>
      </c>
      <c r="GN79" s="13">
        <f t="shared" si="227"/>
        <v>4.9792531120331995E-2</v>
      </c>
      <c r="GO79" s="1">
        <v>284330.68683027691</v>
      </c>
      <c r="GP79" s="13">
        <f t="shared" si="228"/>
        <v>9.4877825728716392E-3</v>
      </c>
      <c r="GQ79" s="1">
        <v>265.36</v>
      </c>
      <c r="GR79" s="13">
        <f t="shared" si="229"/>
        <v>4.8853754940711536E-2</v>
      </c>
      <c r="GS79" s="1">
        <v>285717.19882007327</v>
      </c>
      <c r="GT79" s="13">
        <f t="shared" si="168"/>
        <v>4.8764064310229394E-3</v>
      </c>
      <c r="GU79">
        <v>255</v>
      </c>
      <c r="GV79" s="13">
        <f t="shared" si="169"/>
        <v>-3.9041302381670251E-2</v>
      </c>
      <c r="GW79">
        <v>285998.6188730406</v>
      </c>
      <c r="GX79" s="13">
        <f t="shared" si="230"/>
        <v>9.8496014285975875E-4</v>
      </c>
      <c r="GY79">
        <v>227</v>
      </c>
      <c r="GZ79" s="13">
        <f t="shared" si="231"/>
        <v>-0.1098039215686275</v>
      </c>
      <c r="HA79">
        <v>290589.57828531758</v>
      </c>
      <c r="HB79" s="13">
        <v>1.6052383156140326E-2</v>
      </c>
      <c r="HC79">
        <v>217</v>
      </c>
      <c r="HD79" s="13">
        <v>-4.4052863436123357E-2</v>
      </c>
      <c r="HE79">
        <v>296606.59072731377</v>
      </c>
      <c r="HF79" s="13">
        <v>2.0706222423738652E-2</v>
      </c>
      <c r="HG79">
        <v>225</v>
      </c>
      <c r="HH79" s="13">
        <v>3.6866359447004671E-2</v>
      </c>
      <c r="HI79">
        <f>VLOOKUP(A79,[4]Москва_продажа_районы!$C$4:$F$151,3,0)</f>
        <v>300345.54335606541</v>
      </c>
      <c r="HJ79" s="13">
        <f t="shared" si="232"/>
        <v>1.2605763815238591E-2</v>
      </c>
      <c r="HK79">
        <f>VLOOKUP(A79,[4]Москва_продажа_районы!$C$4:$F$151,2,0)</f>
        <v>179</v>
      </c>
      <c r="HL79" s="13">
        <f t="shared" si="233"/>
        <v>-0.20444444444444443</v>
      </c>
      <c r="HM79" s="1">
        <f>VLOOKUP(A79,Лист3!$C$4:$F$149,3,0)</f>
        <v>303295.98909332871</v>
      </c>
      <c r="HN79" s="13">
        <f t="shared" si="234"/>
        <v>9.8235043020615809E-3</v>
      </c>
      <c r="HO79">
        <f>VLOOKUP(A79,Лист3!$C$4:$F$149,2,0)</f>
        <v>166</v>
      </c>
      <c r="HP79" s="13">
        <f t="shared" si="235"/>
        <v>-7.2625698324022325E-2</v>
      </c>
      <c r="HQ79" s="1">
        <v>305539.8612676037</v>
      </c>
      <c r="HR79" s="13">
        <v>7.398291619295172E-3</v>
      </c>
      <c r="HS79">
        <v>182</v>
      </c>
      <c r="HT79" s="13">
        <v>9.6385542168674787E-2</v>
      </c>
      <c r="HU79" s="34">
        <v>302399.22956958727</v>
      </c>
      <c r="HV79" s="13">
        <v>-1.0278958971136509E-2</v>
      </c>
      <c r="HW79">
        <v>185</v>
      </c>
      <c r="HX79" s="13">
        <v>1.6483516483516425E-2</v>
      </c>
      <c r="HY79">
        <v>299706.65048996691</v>
      </c>
      <c r="HZ79" s="13">
        <v>-8.90405403298411E-3</v>
      </c>
      <c r="IA79">
        <v>197</v>
      </c>
      <c r="IB79" s="13">
        <v>6.4864864864864868E-2</v>
      </c>
      <c r="IC79" s="34">
        <v>299253.82714345289</v>
      </c>
      <c r="ID79" s="13">
        <v>-1.5108885497659985E-3</v>
      </c>
      <c r="IE79">
        <v>197</v>
      </c>
      <c r="IF79" s="13">
        <v>0</v>
      </c>
    </row>
    <row r="80" spans="1:240" ht="15" thickBot="1" x14ac:dyDescent="0.35">
      <c r="A80" s="29" t="s">
        <v>92</v>
      </c>
      <c r="B80" s="30">
        <v>168614.93943623174</v>
      </c>
      <c r="C80" s="31">
        <v>345</v>
      </c>
      <c r="D80" s="30">
        <v>167505.78651571897</v>
      </c>
      <c r="E80" s="31">
        <v>299</v>
      </c>
      <c r="F80" s="30">
        <v>171539.67285545447</v>
      </c>
      <c r="G80" s="31">
        <v>220</v>
      </c>
      <c r="H80" s="30">
        <v>170959.13240392006</v>
      </c>
      <c r="I80" s="31">
        <v>242</v>
      </c>
      <c r="J80" s="30">
        <v>172166.76775866747</v>
      </c>
      <c r="K80" s="31">
        <v>276</v>
      </c>
      <c r="L80" s="30">
        <v>172968.06900193432</v>
      </c>
      <c r="M80" s="31">
        <v>292</v>
      </c>
      <c r="N80" s="30">
        <v>173625.71415226915</v>
      </c>
      <c r="O80" s="32">
        <v>267</v>
      </c>
      <c r="P80" s="37">
        <v>175206.51528633025</v>
      </c>
      <c r="Q80" s="32">
        <v>290</v>
      </c>
      <c r="R80" s="37">
        <v>178682.68782682717</v>
      </c>
      <c r="S80" s="31">
        <v>253</v>
      </c>
      <c r="T80" s="48">
        <v>184015.74334853052</v>
      </c>
      <c r="U80" s="49">
        <v>218</v>
      </c>
      <c r="V80" s="57">
        <v>189240.87182771039</v>
      </c>
      <c r="W80" s="49">
        <v>199</v>
      </c>
      <c r="X80" s="57">
        <v>194114.81902408949</v>
      </c>
      <c r="Y80" s="49">
        <v>200</v>
      </c>
      <c r="Z80" s="34">
        <v>199277.98854018489</v>
      </c>
      <c r="AA80" s="81">
        <v>245</v>
      </c>
      <c r="AB80" s="1">
        <v>203960.59673840899</v>
      </c>
      <c r="AC80" s="1">
        <v>290</v>
      </c>
      <c r="AD80" s="1">
        <v>211120.13142647521</v>
      </c>
      <c r="AE80">
        <v>236</v>
      </c>
      <c r="AF80" s="13">
        <f t="shared" si="180"/>
        <v>8.7604400776199354E-2</v>
      </c>
      <c r="AG80" s="85">
        <f>AE80/$AJ$64</f>
        <v>6.988451288125555E-2</v>
      </c>
      <c r="AH80" s="35">
        <f t="shared" si="171"/>
        <v>27.95380515250222</v>
      </c>
      <c r="AI80" s="88">
        <f t="shared" si="172"/>
        <v>263.95380515250224</v>
      </c>
      <c r="AL80" s="1">
        <v>215275.95075327429</v>
      </c>
      <c r="AM80">
        <v>235</v>
      </c>
      <c r="AN80" s="13">
        <f t="shared" si="173"/>
        <v>6.7489948305571507E-2</v>
      </c>
      <c r="AQ80" s="35">
        <f t="shared" si="174"/>
        <v>17.007466973004021</v>
      </c>
      <c r="AR80" s="88">
        <f t="shared" si="175"/>
        <v>252.00746697300403</v>
      </c>
      <c r="AS80">
        <v>245</v>
      </c>
      <c r="AT80" s="1">
        <v>217023.96489193969</v>
      </c>
      <c r="AU80" s="13">
        <f t="shared" si="176"/>
        <v>8.1198765238239545E-3</v>
      </c>
      <c r="AV80">
        <v>245</v>
      </c>
      <c r="AW80" s="1">
        <v>221230.1022375818</v>
      </c>
      <c r="AX80" s="35">
        <v>260.77893820713666</v>
      </c>
      <c r="AY80" s="123">
        <v>224418.36733888049</v>
      </c>
      <c r="AZ80" s="124">
        <v>266</v>
      </c>
      <c r="BA80" s="119">
        <v>228842.34131755109</v>
      </c>
      <c r="BB80">
        <v>292</v>
      </c>
      <c r="BC80" s="125">
        <f t="shared" si="177"/>
        <v>1.9713065517450445E-2</v>
      </c>
      <c r="BD80">
        <v>294</v>
      </c>
      <c r="BE80" s="1">
        <v>233014.90910186971</v>
      </c>
      <c r="BF80" s="13">
        <f t="shared" si="154"/>
        <v>1.8233373073772929E-2</v>
      </c>
      <c r="BG80">
        <v>289</v>
      </c>
      <c r="BH80" s="1">
        <v>235749.02086996721</v>
      </c>
      <c r="BI80" s="13">
        <f t="shared" si="123"/>
        <v>1.1733634464145881E-2</v>
      </c>
      <c r="BJ80">
        <v>273</v>
      </c>
      <c r="BK80" s="1">
        <v>237777.58255749149</v>
      </c>
      <c r="BL80" s="13">
        <f t="shared" si="155"/>
        <v>8.6047512733602449E-3</v>
      </c>
      <c r="BM80" s="1">
        <v>240800.27266946589</v>
      </c>
      <c r="BN80" s="109">
        <f t="shared" si="156"/>
        <v>1.2712258571488944E-2</v>
      </c>
      <c r="BO80">
        <v>237</v>
      </c>
      <c r="BP80" s="13">
        <f t="shared" si="157"/>
        <v>-0.13186813186813184</v>
      </c>
      <c r="BQ80" s="1">
        <v>242962.63442349061</v>
      </c>
      <c r="BR80" s="13">
        <f t="shared" si="178"/>
        <v>8.979897448010199E-3</v>
      </c>
      <c r="BS80">
        <v>246</v>
      </c>
      <c r="BT80" s="13">
        <f t="shared" si="179"/>
        <v>3.7974683544303778E-2</v>
      </c>
      <c r="BU80" s="1">
        <v>254559.7061617013</v>
      </c>
      <c r="BV80" s="13">
        <f t="shared" si="158"/>
        <v>4.7731914686093946E-2</v>
      </c>
      <c r="BW80">
        <v>267</v>
      </c>
      <c r="BX80" s="13">
        <f t="shared" si="159"/>
        <v>8.5365853658536661E-2</v>
      </c>
      <c r="BY80" s="1">
        <v>256323.1662295392</v>
      </c>
      <c r="BZ80" s="13">
        <f t="shared" si="160"/>
        <v>6.9274909781587013E-3</v>
      </c>
      <c r="CA80">
        <v>237</v>
      </c>
      <c r="CB80" s="13">
        <f t="shared" si="161"/>
        <v>-0.11235955056179781</v>
      </c>
      <c r="CC80" s="1">
        <v>247110.49088418231</v>
      </c>
      <c r="CD80" s="13">
        <f t="shared" si="162"/>
        <v>-3.5941641486696096E-2</v>
      </c>
      <c r="CE80">
        <v>252</v>
      </c>
      <c r="CF80" s="13">
        <f t="shared" si="163"/>
        <v>6.3291139240506222E-2</v>
      </c>
      <c r="CG80" s="1">
        <v>241771.264371572</v>
      </c>
      <c r="CH80" s="13">
        <f t="shared" si="164"/>
        <v>-2.1606636341120478E-2</v>
      </c>
      <c r="CI80">
        <v>256</v>
      </c>
      <c r="CJ80" s="13">
        <f t="shared" si="165"/>
        <v>1.5873015873015817E-2</v>
      </c>
      <c r="CK80" s="1">
        <v>240251.90317382771</v>
      </c>
      <c r="CL80" s="13">
        <f t="shared" si="166"/>
        <v>-6.2842918975235529E-3</v>
      </c>
      <c r="CM80">
        <v>267</v>
      </c>
      <c r="CN80" s="13">
        <f t="shared" si="167"/>
        <v>4.296875E-2</v>
      </c>
      <c r="CO80" s="1">
        <v>241409.85860416811</v>
      </c>
      <c r="CP80" s="13">
        <v>4.8197554943096854E-3</v>
      </c>
      <c r="CQ80">
        <v>280</v>
      </c>
      <c r="CR80" s="13">
        <v>4.8689138576778923E-2</v>
      </c>
      <c r="CS80" s="1">
        <v>240143.9898257498</v>
      </c>
      <c r="CT80" s="13">
        <f t="shared" si="181"/>
        <v>-5.2436498896009098E-3</v>
      </c>
      <c r="CU80">
        <v>315</v>
      </c>
      <c r="CV80" s="13">
        <f t="shared" si="182"/>
        <v>0.125</v>
      </c>
      <c r="CW80" s="1">
        <v>236969.9849286325</v>
      </c>
      <c r="CX80" s="13">
        <f t="shared" si="183"/>
        <v>-1.3217090710537338E-2</v>
      </c>
      <c r="CY80">
        <v>324</v>
      </c>
      <c r="CZ80" s="13">
        <f t="shared" si="184"/>
        <v>2.857142857142847E-2</v>
      </c>
      <c r="DA80" s="1">
        <v>233525.0654525696</v>
      </c>
      <c r="DB80" s="13">
        <f t="shared" si="185"/>
        <v>-1.4537366312870392E-2</v>
      </c>
      <c r="DC80">
        <v>308</v>
      </c>
      <c r="DD80" s="13">
        <f t="shared" si="186"/>
        <v>-4.9382716049382713E-2</v>
      </c>
      <c r="DE80" s="1">
        <v>232295.70248126399</v>
      </c>
      <c r="DF80" s="13">
        <f t="shared" si="187"/>
        <v>-5.2643726656199652E-3</v>
      </c>
      <c r="DG80" s="1">
        <v>293</v>
      </c>
      <c r="DH80" s="13">
        <f t="shared" si="188"/>
        <v>-4.870129870129869E-2</v>
      </c>
      <c r="DI80" s="1">
        <v>232654.02006352239</v>
      </c>
      <c r="DJ80" s="13">
        <f t="shared" si="189"/>
        <v>1.5425062901768261E-3</v>
      </c>
      <c r="DK80" s="1">
        <v>311</v>
      </c>
      <c r="DL80" s="13">
        <f t="shared" si="190"/>
        <v>6.1433447098976135E-2</v>
      </c>
      <c r="DM80" s="1">
        <v>232336.464609321</v>
      </c>
      <c r="DN80" s="13">
        <f t="shared" si="191"/>
        <v>-1.3649257129306758E-3</v>
      </c>
      <c r="DO80" s="1">
        <v>297</v>
      </c>
      <c r="DP80" s="13">
        <f t="shared" si="192"/>
        <v>-4.5016077170418001E-2</v>
      </c>
      <c r="DQ80" s="1">
        <v>232190.68040561539</v>
      </c>
      <c r="DR80" s="13">
        <f t="shared" si="193"/>
        <v>-6.2747018187936376E-4</v>
      </c>
      <c r="DS80">
        <v>298</v>
      </c>
      <c r="DT80" s="13">
        <f t="shared" si="194"/>
        <v>3.3670033670034627E-3</v>
      </c>
      <c r="DU80" s="1">
        <v>229763.74079639651</v>
      </c>
      <c r="DV80" s="13">
        <f t="shared" si="195"/>
        <v>-1.0452355817982206E-2</v>
      </c>
      <c r="DW80">
        <v>279</v>
      </c>
      <c r="DX80" s="13">
        <f t="shared" si="196"/>
        <v>-6.375838926174493E-2</v>
      </c>
      <c r="DY80" s="1">
        <v>240848.9850499212</v>
      </c>
      <c r="DZ80" s="13">
        <f t="shared" si="197"/>
        <v>4.8246273389793926E-2</v>
      </c>
      <c r="EA80" s="1">
        <v>303</v>
      </c>
      <c r="EB80" s="13">
        <f t="shared" si="198"/>
        <v>8.602150537634401E-2</v>
      </c>
      <c r="EC80" s="1">
        <v>244315.62521419791</v>
      </c>
      <c r="ED80" s="13">
        <f t="shared" si="199"/>
        <v>1.4393418197540475E-2</v>
      </c>
      <c r="EE80" s="1">
        <f>IFERROR(VLOOKUP($A80,[1]Москва_продажа_районы!$C$2:$F$148,2,0),"")</f>
        <v>314</v>
      </c>
      <c r="EF80" s="13">
        <v>3.630363036303641E-2</v>
      </c>
      <c r="EG80" s="1">
        <v>243765.0171436854</v>
      </c>
      <c r="EH80" s="13">
        <f t="shared" si="200"/>
        <v>-2.2536752204439514E-3</v>
      </c>
      <c r="EI80" s="1">
        <f>IFERROR(VLOOKUP($A80,[2]Москва_продажа_районы!$C$2:$F$150,2,0),"")</f>
        <v>271</v>
      </c>
      <c r="EJ80" s="13">
        <v>-0.13694267515923564</v>
      </c>
      <c r="EK80" s="1">
        <v>243431.83673776171</v>
      </c>
      <c r="EL80" s="13">
        <f t="shared" si="201"/>
        <v>-1.3668097655181732E-3</v>
      </c>
      <c r="EM80">
        <v>239</v>
      </c>
      <c r="EN80" s="13">
        <f t="shared" si="202"/>
        <v>-0.11808118081180807</v>
      </c>
      <c r="EO80" s="1">
        <v>244418.4464363679</v>
      </c>
      <c r="EP80" s="13">
        <f t="shared" si="203"/>
        <v>4.0529197488208268E-3</v>
      </c>
      <c r="EQ80">
        <v>229</v>
      </c>
      <c r="ER80" s="13">
        <f t="shared" si="204"/>
        <v>-4.1841004184100417E-2</v>
      </c>
      <c r="ES80" s="183">
        <v>250738.21239245019</v>
      </c>
      <c r="ET80" s="13">
        <f t="shared" si="205"/>
        <v>2.5856337965586285E-2</v>
      </c>
      <c r="EU80">
        <v>218</v>
      </c>
      <c r="EV80" s="13">
        <f t="shared" si="206"/>
        <v>-4.8034934497816595E-2</v>
      </c>
      <c r="EW80" s="183">
        <v>251953.92803588539</v>
      </c>
      <c r="EX80" s="13">
        <f t="shared" si="207"/>
        <v>4.8485455481048767E-3</v>
      </c>
      <c r="EY80">
        <v>228</v>
      </c>
      <c r="EZ80" s="13">
        <f t="shared" si="208"/>
        <v>4.587155963302747E-2</v>
      </c>
      <c r="FA80" s="1">
        <v>254434.64593178159</v>
      </c>
      <c r="FB80" s="13">
        <f t="shared" si="209"/>
        <v>9.8459187171031637E-3</v>
      </c>
      <c r="FC80" s="1">
        <v>169</v>
      </c>
      <c r="FD80" s="13">
        <f t="shared" si="210"/>
        <v>-0.25877192982456143</v>
      </c>
      <c r="FE80" s="1">
        <v>258566.371384144</v>
      </c>
      <c r="FF80" s="13">
        <f t="shared" si="211"/>
        <v>1.6238847650764443E-2</v>
      </c>
      <c r="FG80" s="1">
        <v>190</v>
      </c>
      <c r="FH80" s="13">
        <f t="shared" si="212"/>
        <v>0.12426035502958577</v>
      </c>
      <c r="FI80" s="1">
        <v>258240.43301019419</v>
      </c>
      <c r="FJ80" s="13">
        <f t="shared" si="213"/>
        <v>-1.2605598021313558E-3</v>
      </c>
      <c r="FK80" s="1">
        <v>230</v>
      </c>
      <c r="FL80" s="13">
        <f t="shared" si="214"/>
        <v>0.21052631578947367</v>
      </c>
      <c r="FM80" s="1">
        <v>256884.09132601391</v>
      </c>
      <c r="FN80" s="13">
        <f t="shared" si="215"/>
        <v>-5.2522436876750733E-3</v>
      </c>
      <c r="FO80" s="1">
        <v>223</v>
      </c>
      <c r="FP80" s="13">
        <f t="shared" si="216"/>
        <v>-3.0434782608695699E-2</v>
      </c>
      <c r="FQ80" s="1">
        <v>258197.6772017272</v>
      </c>
      <c r="FR80" s="13">
        <f t="shared" si="217"/>
        <v>5.1135353261180239E-3</v>
      </c>
      <c r="FS80">
        <v>239</v>
      </c>
      <c r="FT80" s="13">
        <f t="shared" si="218"/>
        <v>7.1748878923766801E-2</v>
      </c>
      <c r="FU80" s="1">
        <v>258449.28778831579</v>
      </c>
      <c r="FV80" s="13">
        <f t="shared" si="219"/>
        <v>9.7448818794765302E-4</v>
      </c>
      <c r="FW80" s="1">
        <v>254</v>
      </c>
      <c r="FX80" s="13">
        <f t="shared" si="220"/>
        <v>6.2761506276150625E-2</v>
      </c>
      <c r="FY80" s="1">
        <v>255868.3239667539</v>
      </c>
      <c r="FZ80" s="13">
        <f t="shared" si="221"/>
        <v>-9.9863452658296437E-3</v>
      </c>
      <c r="GA80" s="1">
        <v>254</v>
      </c>
      <c r="GB80" s="13">
        <f t="shared" si="222"/>
        <v>0</v>
      </c>
      <c r="GC80" s="1">
        <v>257607.2055146856</v>
      </c>
      <c r="GD80" s="13">
        <f t="shared" si="223"/>
        <v>6.796001634644E-3</v>
      </c>
      <c r="GE80" s="1">
        <v>256</v>
      </c>
      <c r="GF80" s="13">
        <f t="shared" si="224"/>
        <v>7.8740157480314821E-3</v>
      </c>
      <c r="GG80" s="1">
        <f>IFERROR(VLOOKUP(A80,[3]Москва_продажа_районы!$C$2:$F$149,3,0),"")</f>
        <v>257313.48157150051</v>
      </c>
      <c r="GH80" s="13">
        <v>-1.1402008053239543E-3</v>
      </c>
      <c r="GI80" s="1">
        <v>259</v>
      </c>
      <c r="GJ80" s="13">
        <f t="shared" si="225"/>
        <v>1.171875E-2</v>
      </c>
      <c r="GK80" s="1">
        <v>257329.80439915849</v>
      </c>
      <c r="GL80" s="13">
        <f t="shared" si="226"/>
        <v>6.3435571110659339E-5</v>
      </c>
      <c r="GM80" s="1">
        <v>279</v>
      </c>
      <c r="GN80" s="13">
        <f t="shared" si="227"/>
        <v>7.7220077220077288E-2</v>
      </c>
      <c r="GO80" s="1">
        <v>260551.4622018729</v>
      </c>
      <c r="GP80" s="13">
        <f t="shared" si="228"/>
        <v>1.2519567293173495E-2</v>
      </c>
      <c r="GQ80" s="1">
        <v>281.41000000000003</v>
      </c>
      <c r="GR80" s="13">
        <f t="shared" si="229"/>
        <v>8.637992831541208E-3</v>
      </c>
      <c r="GS80" s="1">
        <v>262217.55455684097</v>
      </c>
      <c r="GT80" s="13">
        <f t="shared" si="168"/>
        <v>6.394484762772823E-3</v>
      </c>
      <c r="GU80">
        <v>290</v>
      </c>
      <c r="GV80" s="13">
        <f t="shared" si="169"/>
        <v>3.0524856970256753E-2</v>
      </c>
      <c r="GW80">
        <v>260162.26122138739</v>
      </c>
      <c r="GX80" s="13">
        <f t="shared" si="230"/>
        <v>-7.8381225807978572E-3</v>
      </c>
      <c r="GY80">
        <v>240</v>
      </c>
      <c r="GZ80" s="13">
        <f t="shared" si="231"/>
        <v>-0.17241379310344829</v>
      </c>
      <c r="HA80">
        <v>259561.51832738539</v>
      </c>
      <c r="HB80" s="13">
        <v>-2.3091085201277783E-3</v>
      </c>
      <c r="HC80">
        <v>206</v>
      </c>
      <c r="HD80" s="13">
        <v>-0.14166666666666672</v>
      </c>
      <c r="HE80">
        <v>262965.79299047083</v>
      </c>
      <c r="HF80" s="13">
        <v>1.3115482930684763E-2</v>
      </c>
      <c r="HG80">
        <v>206</v>
      </c>
      <c r="HH80" s="13">
        <v>0</v>
      </c>
      <c r="HI80">
        <f>VLOOKUP(A80,[4]Москва_продажа_районы!$C$4:$F$151,3,0)</f>
        <v>267620.0197000099</v>
      </c>
      <c r="HJ80" s="13">
        <f t="shared" si="232"/>
        <v>1.7698981516229839E-2</v>
      </c>
      <c r="HK80">
        <f>VLOOKUP(A80,[4]Москва_продажа_районы!$C$4:$F$151,2,0)</f>
        <v>229</v>
      </c>
      <c r="HL80" s="13">
        <f t="shared" si="233"/>
        <v>0.11165048543689315</v>
      </c>
      <c r="HM80" s="1">
        <f>VLOOKUP(A80,Лист3!$C$4:$F$149,3,0)</f>
        <v>263249.23985876917</v>
      </c>
      <c r="HN80" s="13">
        <f t="shared" si="234"/>
        <v>-1.6332036168819397E-2</v>
      </c>
      <c r="HO80">
        <f>VLOOKUP(A80,Лист3!$C$4:$F$149,2,0)</f>
        <v>252</v>
      </c>
      <c r="HP80" s="13">
        <f t="shared" si="235"/>
        <v>0.10043668122270732</v>
      </c>
      <c r="HQ80" s="1">
        <v>267087.87558236689</v>
      </c>
      <c r="HR80" s="13">
        <v>1.4581754255613921E-2</v>
      </c>
      <c r="HS80">
        <v>227</v>
      </c>
      <c r="HT80" s="13">
        <v>-9.9206349206349187E-2</v>
      </c>
      <c r="HU80" s="34">
        <v>264412.05657038739</v>
      </c>
      <c r="HV80" s="13">
        <v>-1.0018496744358285E-2</v>
      </c>
      <c r="HW80">
        <v>190</v>
      </c>
      <c r="HX80" s="13">
        <v>-0.16299559471365643</v>
      </c>
      <c r="HY80">
        <v>267105.89245058352</v>
      </c>
      <c r="HZ80" s="13">
        <v>1.0188022116453865E-2</v>
      </c>
      <c r="IA80">
        <v>206</v>
      </c>
      <c r="IB80" s="13">
        <v>8.4210526315789513E-2</v>
      </c>
      <c r="IC80" s="34">
        <v>270616.8958573612</v>
      </c>
      <c r="ID80" s="13">
        <v>1.3144612327963712E-2</v>
      </c>
      <c r="IE80">
        <v>209</v>
      </c>
      <c r="IF80" s="13">
        <v>1.4563106796116498E-2</v>
      </c>
    </row>
    <row r="81" spans="1:240" ht="15.6" thickTop="1" thickBot="1" x14ac:dyDescent="0.35">
      <c r="A81" s="229" t="s">
        <v>165</v>
      </c>
      <c r="B81" s="228"/>
      <c r="C81" s="228"/>
      <c r="D81" s="228"/>
      <c r="E81" s="228"/>
      <c r="F81" s="228"/>
      <c r="G81" s="228"/>
      <c r="H81" s="228"/>
      <c r="I81" s="228"/>
      <c r="J81" s="228"/>
      <c r="K81" s="228"/>
      <c r="L81" s="228"/>
      <c r="M81" s="228"/>
      <c r="N81" s="228"/>
      <c r="O81" s="228"/>
      <c r="P81" s="228"/>
      <c r="Q81" s="230"/>
      <c r="U81" s="13"/>
      <c r="V81" s="1"/>
      <c r="AA81" s="81"/>
      <c r="AF81" s="13"/>
      <c r="AK81" s="35">
        <f>AK82-AJ82</f>
        <v>100</v>
      </c>
      <c r="AL81" s="35"/>
      <c r="BA81" s="119"/>
      <c r="BI81" s="13"/>
      <c r="BL81" s="13"/>
      <c r="BM81" s="34"/>
      <c r="BN81" s="109"/>
      <c r="BP81" s="13"/>
      <c r="BR81" s="13" t="str">
        <f t="shared" si="178"/>
        <v/>
      </c>
      <c r="BT81" s="13" t="str">
        <f t="shared" si="179"/>
        <v/>
      </c>
      <c r="BV81" s="13"/>
      <c r="BX81" s="13"/>
      <c r="BZ81" s="13"/>
      <c r="CB81" s="13"/>
      <c r="CC81" s="1"/>
      <c r="CD81" s="13"/>
      <c r="CF81" s="13"/>
      <c r="CG81" s="1"/>
      <c r="CH81" s="13"/>
      <c r="CJ81" s="13"/>
      <c r="CK81" s="1"/>
      <c r="CL81" s="13"/>
      <c r="CN81" s="13"/>
      <c r="CO81" s="1" t="s">
        <v>184</v>
      </c>
      <c r="CP81" s="13" t="s">
        <v>184</v>
      </c>
      <c r="CQ81" t="s">
        <v>184</v>
      </c>
      <c r="CR81" s="13" t="s">
        <v>184</v>
      </c>
      <c r="CS81" s="1" t="s">
        <v>184</v>
      </c>
      <c r="CT81" s="13" t="str">
        <f t="shared" si="181"/>
        <v/>
      </c>
      <c r="CU81" t="s">
        <v>184</v>
      </c>
      <c r="CV81" s="13" t="str">
        <f t="shared" si="182"/>
        <v/>
      </c>
      <c r="CW81" s="1" t="s">
        <v>184</v>
      </c>
      <c r="CX81" s="13" t="str">
        <f t="shared" si="183"/>
        <v/>
      </c>
      <c r="CY81" t="s">
        <v>184</v>
      </c>
      <c r="CZ81" s="13" t="str">
        <f t="shared" si="184"/>
        <v/>
      </c>
      <c r="DA81" s="1" t="s">
        <v>184</v>
      </c>
      <c r="DB81" s="13" t="str">
        <f t="shared" si="185"/>
        <v/>
      </c>
      <c r="DC81" t="s">
        <v>184</v>
      </c>
      <c r="DD81" s="13" t="str">
        <f t="shared" si="186"/>
        <v/>
      </c>
      <c r="DE81" s="1" t="s">
        <v>184</v>
      </c>
      <c r="DF81" s="13" t="str">
        <f t="shared" si="187"/>
        <v/>
      </c>
      <c r="DG81" s="1" t="s">
        <v>184</v>
      </c>
      <c r="DH81" s="13" t="str">
        <f t="shared" si="188"/>
        <v/>
      </c>
      <c r="DI81" s="1" t="s">
        <v>184</v>
      </c>
      <c r="DJ81" s="13" t="str">
        <f t="shared" si="189"/>
        <v/>
      </c>
      <c r="DK81" s="1" t="s">
        <v>184</v>
      </c>
      <c r="DL81" s="13" t="str">
        <f t="shared" si="190"/>
        <v/>
      </c>
      <c r="DM81" s="1" t="s">
        <v>184</v>
      </c>
      <c r="DN81" s="13" t="str">
        <f t="shared" si="191"/>
        <v/>
      </c>
      <c r="DO81" s="1" t="s">
        <v>184</v>
      </c>
      <c r="DP81" s="13" t="str">
        <f t="shared" si="192"/>
        <v/>
      </c>
      <c r="DQ81" s="1" t="s">
        <v>184</v>
      </c>
      <c r="DR81" s="13" t="str">
        <f t="shared" si="193"/>
        <v/>
      </c>
      <c r="DS81" t="s">
        <v>184</v>
      </c>
      <c r="DT81" s="13" t="str">
        <f t="shared" si="194"/>
        <v/>
      </c>
      <c r="DU81" s="1" t="s">
        <v>184</v>
      </c>
      <c r="DV81" s="13" t="str">
        <f t="shared" si="195"/>
        <v/>
      </c>
      <c r="DW81" t="s">
        <v>184</v>
      </c>
      <c r="DX81" s="13" t="str">
        <f t="shared" si="196"/>
        <v/>
      </c>
      <c r="DY81" s="1" t="s">
        <v>184</v>
      </c>
      <c r="DZ81" s="13" t="str">
        <f t="shared" si="197"/>
        <v/>
      </c>
      <c r="EA81" s="1" t="s">
        <v>184</v>
      </c>
      <c r="EB81" s="13" t="str">
        <f t="shared" si="198"/>
        <v/>
      </c>
      <c r="EC81" s="1" t="s">
        <v>184</v>
      </c>
      <c r="ED81" s="13" t="str">
        <f t="shared" si="199"/>
        <v/>
      </c>
      <c r="EE81" s="1" t="str">
        <f>IFERROR(VLOOKUP($A81,[1]Москва_продажа_районы!$C$2:$F$148,2,0),"")</f>
        <v/>
      </c>
      <c r="EF81" s="13" t="s">
        <v>184</v>
      </c>
      <c r="EG81" s="1" t="s">
        <v>184</v>
      </c>
      <c r="EH81" s="13" t="str">
        <f t="shared" si="200"/>
        <v/>
      </c>
      <c r="EI81" s="1" t="str">
        <f>IFERROR(VLOOKUP($A81,[2]Москва_продажа_районы!$C$2:$F$150,2,0),"")</f>
        <v/>
      </c>
      <c r="EJ81" s="13" t="s">
        <v>184</v>
      </c>
      <c r="EK81" s="1" t="s">
        <v>184</v>
      </c>
      <c r="EL81" s="13" t="str">
        <f t="shared" si="201"/>
        <v/>
      </c>
      <c r="EM81" t="s">
        <v>184</v>
      </c>
      <c r="EN81" s="13" t="str">
        <f t="shared" si="202"/>
        <v/>
      </c>
      <c r="EO81" s="1" t="s">
        <v>184</v>
      </c>
      <c r="EP81" s="13" t="str">
        <f t="shared" si="203"/>
        <v/>
      </c>
      <c r="EQ81" t="s">
        <v>184</v>
      </c>
      <c r="ER81" s="13" t="str">
        <f t="shared" si="204"/>
        <v/>
      </c>
      <c r="ES81" s="183" t="s">
        <v>184</v>
      </c>
      <c r="ET81" s="13" t="str">
        <f t="shared" si="205"/>
        <v/>
      </c>
      <c r="EU81" t="s">
        <v>184</v>
      </c>
      <c r="EV81" s="13" t="str">
        <f t="shared" si="206"/>
        <v/>
      </c>
      <c r="EW81" s="183" t="s">
        <v>184</v>
      </c>
      <c r="EX81" s="13" t="str">
        <f t="shared" si="207"/>
        <v/>
      </c>
      <c r="EY81" t="s">
        <v>184</v>
      </c>
      <c r="EZ81" s="13" t="str">
        <f t="shared" si="208"/>
        <v/>
      </c>
      <c r="FA81" s="1" t="s">
        <v>184</v>
      </c>
      <c r="FB81" s="13" t="str">
        <f t="shared" si="209"/>
        <v/>
      </c>
      <c r="FC81" s="1" t="s">
        <v>184</v>
      </c>
      <c r="FD81" s="13" t="str">
        <f t="shared" si="210"/>
        <v/>
      </c>
      <c r="FE81" s="1" t="s">
        <v>184</v>
      </c>
      <c r="FF81" s="13" t="str">
        <f t="shared" si="211"/>
        <v/>
      </c>
      <c r="FG81" s="1" t="s">
        <v>184</v>
      </c>
      <c r="FH81" s="13" t="str">
        <f t="shared" si="212"/>
        <v/>
      </c>
      <c r="FI81" s="1" t="s">
        <v>184</v>
      </c>
      <c r="FJ81" s="13" t="str">
        <f t="shared" si="213"/>
        <v/>
      </c>
      <c r="FK81" s="1" t="s">
        <v>184</v>
      </c>
      <c r="FL81" s="13" t="str">
        <f t="shared" si="214"/>
        <v/>
      </c>
      <c r="FM81" s="1" t="s">
        <v>184</v>
      </c>
      <c r="FN81" s="13" t="str">
        <f t="shared" si="215"/>
        <v/>
      </c>
      <c r="FO81" s="1" t="s">
        <v>184</v>
      </c>
      <c r="FP81" s="13" t="str">
        <f t="shared" si="216"/>
        <v/>
      </c>
      <c r="FQ81" s="1" t="s">
        <v>184</v>
      </c>
      <c r="FR81" s="13" t="str">
        <f t="shared" si="217"/>
        <v/>
      </c>
      <c r="FS81" t="s">
        <v>184</v>
      </c>
      <c r="FT81" s="13" t="str">
        <f t="shared" si="218"/>
        <v/>
      </c>
      <c r="FU81" s="1" t="s">
        <v>184</v>
      </c>
      <c r="FV81" s="13" t="str">
        <f t="shared" si="219"/>
        <v/>
      </c>
      <c r="FW81" s="1" t="s">
        <v>184</v>
      </c>
      <c r="FX81" s="13" t="str">
        <f t="shared" si="220"/>
        <v/>
      </c>
      <c r="FY81" s="1" t="s">
        <v>184</v>
      </c>
      <c r="FZ81" s="13" t="str">
        <f t="shared" si="221"/>
        <v/>
      </c>
      <c r="GA81" s="1" t="s">
        <v>184</v>
      </c>
      <c r="GB81" s="13" t="str">
        <f t="shared" si="222"/>
        <v/>
      </c>
      <c r="GC81" s="1" t="s">
        <v>184</v>
      </c>
      <c r="GD81" s="13" t="str">
        <f t="shared" si="223"/>
        <v/>
      </c>
      <c r="GE81" s="1" t="s">
        <v>184</v>
      </c>
      <c r="GF81" s="13" t="str">
        <f t="shared" si="224"/>
        <v/>
      </c>
      <c r="GG81" s="1" t="str">
        <f>IFERROR(VLOOKUP(A81,[3]Москва_продажа_районы!$C$2:$F$149,3,0),"")</f>
        <v/>
      </c>
      <c r="GH81" s="13" t="s">
        <v>184</v>
      </c>
      <c r="GI81" s="1" t="s">
        <v>184</v>
      </c>
      <c r="GJ81" s="13" t="str">
        <f t="shared" si="225"/>
        <v/>
      </c>
      <c r="GK81" s="1" t="s">
        <v>184</v>
      </c>
      <c r="GL81" s="13" t="str">
        <f t="shared" si="226"/>
        <v/>
      </c>
      <c r="GM81" s="1" t="s">
        <v>184</v>
      </c>
      <c r="GN81" s="13" t="str">
        <f t="shared" si="227"/>
        <v/>
      </c>
      <c r="GO81" s="1" t="s">
        <v>184</v>
      </c>
      <c r="GP81" s="13" t="str">
        <f t="shared" si="228"/>
        <v/>
      </c>
      <c r="GQ81" s="1" t="s">
        <v>184</v>
      </c>
      <c r="GR81" s="13" t="str">
        <f t="shared" si="229"/>
        <v/>
      </c>
      <c r="GT81" s="13"/>
      <c r="GV81" s="13"/>
      <c r="GX81" s="13"/>
      <c r="GZ81" s="13"/>
      <c r="HB81" s="13"/>
      <c r="HD81" s="13"/>
      <c r="HE81" t="e">
        <v>#N/A</v>
      </c>
      <c r="HF81" s="13" t="e">
        <v>#N/A</v>
      </c>
      <c r="HG81" t="e">
        <v>#N/A</v>
      </c>
      <c r="HH81" s="13" t="e">
        <v>#N/A</v>
      </c>
      <c r="HI81" t="e">
        <f>VLOOKUP(A81,[4]Москва_продажа_районы!$C$4:$F$151,3,0)</f>
        <v>#N/A</v>
      </c>
      <c r="HJ81" s="13" t="e">
        <f t="shared" si="232"/>
        <v>#N/A</v>
      </c>
      <c r="HK81" t="e">
        <f>VLOOKUP(A81,[4]Москва_продажа_районы!$C$4:$F$151,2,0)</f>
        <v>#N/A</v>
      </c>
      <c r="HL81" s="13" t="e">
        <f t="shared" si="233"/>
        <v>#N/A</v>
      </c>
      <c r="HM81" s="1" t="e">
        <f>VLOOKUP(A81,Лист3!$C$4:$F$149,3,0)</f>
        <v>#N/A</v>
      </c>
      <c r="HN81" s="13" t="e">
        <f t="shared" si="234"/>
        <v>#N/A</v>
      </c>
      <c r="HO81" t="e">
        <f>VLOOKUP(A81,Лист3!$C$4:$F$149,2,0)</f>
        <v>#N/A</v>
      </c>
      <c r="HP81" s="13" t="e">
        <f t="shared" si="235"/>
        <v>#N/A</v>
      </c>
      <c r="HQ81" s="1" t="e">
        <v>#N/A</v>
      </c>
      <c r="HR81" s="13" t="e">
        <v>#N/A</v>
      </c>
      <c r="HS81" t="e">
        <v>#N/A</v>
      </c>
      <c r="HT81" s="13" t="e">
        <v>#N/A</v>
      </c>
      <c r="HU81" s="34" t="e">
        <v>#N/A</v>
      </c>
      <c r="HV81" s="13" t="e">
        <v>#N/A</v>
      </c>
      <c r="HW81" t="e">
        <v>#N/A</v>
      </c>
      <c r="HX81" s="13" t="e">
        <v>#N/A</v>
      </c>
      <c r="HY81" t="e">
        <v>#N/A</v>
      </c>
      <c r="HZ81" s="13" t="e">
        <v>#N/A</v>
      </c>
      <c r="IA81" t="e">
        <v>#N/A</v>
      </c>
      <c r="IB81" s="13" t="e">
        <v>#N/A</v>
      </c>
      <c r="IC81" s="34" t="e">
        <v>#N/A</v>
      </c>
      <c r="ID81" s="13" t="e">
        <v>#N/A</v>
      </c>
      <c r="IE81" t="e">
        <v>#N/A</v>
      </c>
      <c r="IF81" s="13" t="e">
        <v>#N/A</v>
      </c>
    </row>
    <row r="82" spans="1:240" ht="15" thickTop="1" x14ac:dyDescent="0.3">
      <c r="A82" s="24" t="s">
        <v>93</v>
      </c>
      <c r="B82" s="25">
        <v>199322.26472534562</v>
      </c>
      <c r="C82" s="26">
        <v>217</v>
      </c>
      <c r="D82" s="25">
        <v>200110.01509950004</v>
      </c>
      <c r="E82" s="26">
        <v>200</v>
      </c>
      <c r="F82" s="25">
        <v>201711.54703562497</v>
      </c>
      <c r="G82" s="26">
        <v>160</v>
      </c>
      <c r="H82" s="25">
        <v>201219.68335646519</v>
      </c>
      <c r="I82" s="26">
        <v>186</v>
      </c>
      <c r="J82" s="25">
        <v>200885.08135003111</v>
      </c>
      <c r="K82" s="26">
        <v>230</v>
      </c>
      <c r="L82" s="25">
        <v>204240.31693230677</v>
      </c>
      <c r="M82" s="26">
        <v>208</v>
      </c>
      <c r="N82" s="25">
        <v>204776.05018694475</v>
      </c>
      <c r="O82" s="27">
        <v>200</v>
      </c>
      <c r="P82" s="38">
        <v>209010.19652236757</v>
      </c>
      <c r="Q82" s="27">
        <v>170</v>
      </c>
      <c r="R82" s="38">
        <v>210710.38297114469</v>
      </c>
      <c r="S82" s="26">
        <v>150</v>
      </c>
      <c r="T82" s="50">
        <v>218207.25643768418</v>
      </c>
      <c r="U82" s="45">
        <v>151</v>
      </c>
      <c r="V82" s="55">
        <v>223092.85028139871</v>
      </c>
      <c r="W82" s="45">
        <v>127</v>
      </c>
      <c r="X82" s="55">
        <v>232933.24674707171</v>
      </c>
      <c r="Y82" s="45">
        <v>126</v>
      </c>
      <c r="Z82" s="34">
        <v>236276.734079299</v>
      </c>
      <c r="AA82" s="81">
        <v>149</v>
      </c>
      <c r="AB82" s="1">
        <v>234124.62319299439</v>
      </c>
      <c r="AC82">
        <v>127</v>
      </c>
      <c r="AD82" s="1">
        <v>239695.28422856849</v>
      </c>
      <c r="AE82">
        <v>135</v>
      </c>
      <c r="AF82" s="13">
        <f t="shared" si="180"/>
        <v>2.9029937013840268E-2</v>
      </c>
      <c r="AG82" s="85">
        <f>AE82/$AJ$82</f>
        <v>6.0267857142857144E-2</v>
      </c>
      <c r="AH82" s="35">
        <f>AG82*AK$81</f>
        <v>6.0267857142857144</v>
      </c>
      <c r="AI82" s="86">
        <f>AH82+AE82</f>
        <v>141.02678571428572</v>
      </c>
      <c r="AJ82">
        <f>SUM(AE82:AE89)</f>
        <v>2240</v>
      </c>
      <c r="AK82" s="1">
        <v>2340</v>
      </c>
      <c r="AL82" s="1">
        <v>245937.62394038649</v>
      </c>
      <c r="AM82">
        <v>136</v>
      </c>
      <c r="AN82" s="13">
        <f>AM82/SUM($AM$82:$AM$89)</f>
        <v>6.0525144637294172E-2</v>
      </c>
      <c r="AO82">
        <f>SUM(AM82:AM89)</f>
        <v>2247</v>
      </c>
      <c r="AP82">
        <f>2330-AO82</f>
        <v>83</v>
      </c>
      <c r="AQ82" s="35">
        <f>$AP$82*AN82</f>
        <v>5.0235870048954165</v>
      </c>
      <c r="AR82" s="86">
        <f>AQ82+AM82</f>
        <v>141.0235870048954</v>
      </c>
      <c r="AS82">
        <v>130</v>
      </c>
      <c r="AT82" s="1">
        <v>250901.7727347344</v>
      </c>
      <c r="AU82" s="13">
        <f>AT82/AL82-1</f>
        <v>2.0184584671563588E-2</v>
      </c>
      <c r="AV82">
        <v>132</v>
      </c>
      <c r="AW82" s="1">
        <v>255933.93519518801</v>
      </c>
      <c r="AX82" s="35">
        <v>136.64748819235723</v>
      </c>
      <c r="AY82" s="119">
        <v>256320.3945709067</v>
      </c>
      <c r="AZ82" s="120">
        <v>130</v>
      </c>
      <c r="BA82" s="119">
        <v>261628.16539576199</v>
      </c>
      <c r="BB82">
        <v>141</v>
      </c>
      <c r="BC82" s="125">
        <f>BA82/AY82-1</f>
        <v>2.0707563413909114E-2</v>
      </c>
      <c r="BD82">
        <v>138</v>
      </c>
      <c r="BE82" s="1">
        <v>263491.47881993331</v>
      </c>
      <c r="BF82" s="13">
        <f t="shared" ref="BF82:BF89" si="236">BE82/BA82-1</f>
        <v>7.1219909421935679E-3</v>
      </c>
      <c r="BG82">
        <v>133</v>
      </c>
      <c r="BH82" s="1">
        <v>271834.00022145512</v>
      </c>
      <c r="BI82" s="13">
        <f t="shared" si="123"/>
        <v>3.1661446658102221E-2</v>
      </c>
      <c r="BJ82">
        <v>134</v>
      </c>
      <c r="BK82" s="1">
        <v>272226.78024104133</v>
      </c>
      <c r="BL82" s="13">
        <f t="shared" ref="BL82:BL89" si="237">BK82/BH82-1</f>
        <v>1.4449260183282409E-3</v>
      </c>
      <c r="BM82" s="1">
        <v>279612.43467048247</v>
      </c>
      <c r="BN82" s="109">
        <f t="shared" ref="BN82:BN89" si="238">BM82/BK82-1</f>
        <v>2.7130521188626577E-2</v>
      </c>
      <c r="BO82">
        <v>118</v>
      </c>
      <c r="BP82" s="13">
        <f t="shared" ref="BP82:BP89" si="239">BO82/BJ82-1</f>
        <v>-0.11940298507462688</v>
      </c>
      <c r="BQ82" s="1">
        <v>285745.51179327589</v>
      </c>
      <c r="BR82" s="13">
        <f t="shared" si="178"/>
        <v>2.1934207361060665E-2</v>
      </c>
      <c r="BS82">
        <v>135</v>
      </c>
      <c r="BT82" s="13">
        <f t="shared" si="179"/>
        <v>0.14406779661016955</v>
      </c>
      <c r="BU82" s="1">
        <v>299763.02831228479</v>
      </c>
      <c r="BV82" s="13">
        <f t="shared" ref="BV82:BV89" si="240">BU82/BQ82-1</f>
        <v>4.9055946429527708E-2</v>
      </c>
      <c r="BW82">
        <v>127</v>
      </c>
      <c r="BX82" s="13">
        <f t="shared" ref="BX82:BX89" si="241">BW82/BS82-1</f>
        <v>-5.9259259259259234E-2</v>
      </c>
      <c r="BY82" s="1">
        <v>304669.65631846501</v>
      </c>
      <c r="BZ82" s="13">
        <f t="shared" ref="BZ82:BZ89" si="242">BY82/BU82-1</f>
        <v>1.6368356143869223E-2</v>
      </c>
      <c r="CA82">
        <v>120</v>
      </c>
      <c r="CB82" s="13">
        <f t="shared" ref="CB82:CB89" si="243">CA82/BW82-1</f>
        <v>-5.5118110236220486E-2</v>
      </c>
      <c r="CC82" s="1">
        <v>296599.31601096853</v>
      </c>
      <c r="CD82" s="13">
        <f t="shared" ref="CD82:CD89" si="244">CC82/BY82-1</f>
        <v>-2.6488822040947602E-2</v>
      </c>
      <c r="CE82">
        <v>151</v>
      </c>
      <c r="CF82" s="13">
        <f t="shared" ref="CF82:CF89" si="245">CE82/CA82-1</f>
        <v>0.2583333333333333</v>
      </c>
      <c r="CG82" s="1">
        <v>289808.06005554949</v>
      </c>
      <c r="CH82" s="13">
        <f t="shared" ref="CH82:CH89" si="246">CG82/CC82-1</f>
        <v>-2.2897072207570091E-2</v>
      </c>
      <c r="CI82">
        <v>164</v>
      </c>
      <c r="CJ82" s="13">
        <f t="shared" ref="CJ82:CJ89" si="247">CI82/CE82-1</f>
        <v>8.6092715231788075E-2</v>
      </c>
      <c r="CK82" s="1">
        <v>294130.99624414882</v>
      </c>
      <c r="CL82" s="13">
        <f t="shared" ref="CL82:CL89" si="248">CK82/CG82-1</f>
        <v>1.4916549207674601E-2</v>
      </c>
      <c r="CM82">
        <v>170</v>
      </c>
      <c r="CN82" s="13">
        <f t="shared" ref="CN82:CN89" si="249">CM82/CI82-1</f>
        <v>3.6585365853658569E-2</v>
      </c>
      <c r="CO82" s="1">
        <v>295479.01043883641</v>
      </c>
      <c r="CP82" s="13">
        <v>4.5830402504354328E-3</v>
      </c>
      <c r="CQ82">
        <v>157</v>
      </c>
      <c r="CR82" s="13">
        <v>-7.6470588235294068E-2</v>
      </c>
      <c r="CS82" s="1">
        <v>294560.79935645312</v>
      </c>
      <c r="CT82" s="13">
        <f t="shared" si="181"/>
        <v>-3.1075340377633154E-3</v>
      </c>
      <c r="CU82">
        <v>198</v>
      </c>
      <c r="CV82" s="13">
        <f t="shared" si="182"/>
        <v>0.26114649681528657</v>
      </c>
      <c r="CW82" s="1">
        <v>291172.20009771723</v>
      </c>
      <c r="CX82" s="13">
        <f t="shared" si="183"/>
        <v>-1.1503904342122895E-2</v>
      </c>
      <c r="CY82">
        <v>194</v>
      </c>
      <c r="CZ82" s="13">
        <f t="shared" si="184"/>
        <v>-2.0202020202020221E-2</v>
      </c>
      <c r="DA82" s="1">
        <v>282143.8436605513</v>
      </c>
      <c r="DB82" s="13">
        <f t="shared" si="185"/>
        <v>-3.1006931410814675E-2</v>
      </c>
      <c r="DC82">
        <v>190</v>
      </c>
      <c r="DD82" s="13">
        <f t="shared" si="186"/>
        <v>-2.0618556701030966E-2</v>
      </c>
      <c r="DE82" s="1">
        <v>284313.88842131512</v>
      </c>
      <c r="DF82" s="13">
        <f t="shared" si="187"/>
        <v>7.691270993580801E-3</v>
      </c>
      <c r="DG82" s="1">
        <v>185</v>
      </c>
      <c r="DH82" s="13">
        <f t="shared" si="188"/>
        <v>-2.6315789473684181E-2</v>
      </c>
      <c r="DI82" s="1">
        <v>284925.85257152811</v>
      </c>
      <c r="DJ82" s="13">
        <f t="shared" si="189"/>
        <v>2.1524243982979918E-3</v>
      </c>
      <c r="DK82" s="1">
        <v>182</v>
      </c>
      <c r="DL82" s="13">
        <f t="shared" si="190"/>
        <v>-1.6216216216216162E-2</v>
      </c>
      <c r="DM82" s="1">
        <v>283088.58233579819</v>
      </c>
      <c r="DN82" s="13">
        <f t="shared" si="191"/>
        <v>-6.448239846079562E-3</v>
      </c>
      <c r="DO82" s="1">
        <v>182</v>
      </c>
      <c r="DP82" s="13">
        <f t="shared" si="192"/>
        <v>0</v>
      </c>
      <c r="DQ82" s="1">
        <v>281662.02221220703</v>
      </c>
      <c r="DR82" s="13">
        <f t="shared" si="193"/>
        <v>-5.0392711419883218E-3</v>
      </c>
      <c r="DS82">
        <v>196</v>
      </c>
      <c r="DT82" s="13">
        <f t="shared" si="194"/>
        <v>7.6923076923076872E-2</v>
      </c>
      <c r="DU82" s="1">
        <v>280921.78707900719</v>
      </c>
      <c r="DV82" s="13">
        <f t="shared" si="195"/>
        <v>-2.6280970625217615E-3</v>
      </c>
      <c r="DW82">
        <v>179</v>
      </c>
      <c r="DX82" s="13">
        <f t="shared" si="196"/>
        <v>-8.6734693877551061E-2</v>
      </c>
      <c r="DY82" s="1">
        <v>279631.76489030849</v>
      </c>
      <c r="DZ82" s="13">
        <f t="shared" si="197"/>
        <v>-4.5921044505383701E-3</v>
      </c>
      <c r="EA82" s="1">
        <v>177</v>
      </c>
      <c r="EB82" s="13">
        <f t="shared" si="198"/>
        <v>-1.1173184357541888E-2</v>
      </c>
      <c r="EC82" s="1">
        <v>282305.15370973363</v>
      </c>
      <c r="ED82" s="13">
        <f t="shared" si="199"/>
        <v>9.5603903243031141E-3</v>
      </c>
      <c r="EE82" s="1">
        <f>IFERROR(VLOOKUP($A82,[1]Москва_продажа_районы!$C$2:$F$148,2,0),"")</f>
        <v>181</v>
      </c>
      <c r="EF82" s="13">
        <v>2.2598870056497189E-2</v>
      </c>
      <c r="EG82" s="1">
        <v>288021.28055523703</v>
      </c>
      <c r="EH82" s="13">
        <f t="shared" si="200"/>
        <v>2.0248042837293534E-2</v>
      </c>
      <c r="EI82" s="1">
        <f>IFERROR(VLOOKUP($A82,[2]Москва_продажа_районы!$C$2:$F$150,2,0),"")</f>
        <v>168</v>
      </c>
      <c r="EJ82" s="13">
        <v>-7.1823204419889541E-2</v>
      </c>
      <c r="EK82" s="1">
        <v>292003.68386797758</v>
      </c>
      <c r="EL82" s="13">
        <f t="shared" si="201"/>
        <v>1.3826767609196766E-2</v>
      </c>
      <c r="EM82">
        <v>158</v>
      </c>
      <c r="EN82" s="13">
        <f t="shared" si="202"/>
        <v>-5.9523809523809534E-2</v>
      </c>
      <c r="EO82" s="1">
        <v>295822.68975495722</v>
      </c>
      <c r="EP82" s="13">
        <f t="shared" si="203"/>
        <v>1.307862228445833E-2</v>
      </c>
      <c r="EQ82">
        <v>153</v>
      </c>
      <c r="ER82" s="13">
        <f t="shared" si="204"/>
        <v>-3.1645569620253111E-2</v>
      </c>
      <c r="ES82" s="183">
        <v>297204.14132366842</v>
      </c>
      <c r="ET82" s="13">
        <f t="shared" si="205"/>
        <v>4.6698634572470699E-3</v>
      </c>
      <c r="EU82">
        <v>122</v>
      </c>
      <c r="EV82" s="13">
        <f t="shared" si="206"/>
        <v>-0.20261437908496727</v>
      </c>
      <c r="EW82" s="183">
        <v>299168.42623662372</v>
      </c>
      <c r="EX82" s="13">
        <f t="shared" si="207"/>
        <v>6.6092111106086371E-3</v>
      </c>
      <c r="EY82">
        <v>134</v>
      </c>
      <c r="EZ82" s="13">
        <f t="shared" si="208"/>
        <v>9.8360655737705027E-2</v>
      </c>
      <c r="FA82" s="1">
        <v>298146.47589825821</v>
      </c>
      <c r="FB82" s="13">
        <f t="shared" si="209"/>
        <v>-3.4159698976964359E-3</v>
      </c>
      <c r="FC82" s="1">
        <v>133</v>
      </c>
      <c r="FD82" s="13">
        <f t="shared" si="210"/>
        <v>-7.4626865671642006E-3</v>
      </c>
      <c r="FE82" s="1">
        <v>300174.49673198629</v>
      </c>
      <c r="FF82" s="13">
        <f t="shared" si="211"/>
        <v>6.8020956062553317E-3</v>
      </c>
      <c r="FG82" s="1">
        <v>130</v>
      </c>
      <c r="FH82" s="13">
        <f t="shared" si="212"/>
        <v>-2.2556390977443663E-2</v>
      </c>
      <c r="FI82" s="1">
        <v>305657.14628693962</v>
      </c>
      <c r="FJ82" s="13">
        <f t="shared" si="213"/>
        <v>1.8264874646724438E-2</v>
      </c>
      <c r="FK82" s="1">
        <v>146</v>
      </c>
      <c r="FL82" s="13">
        <f t="shared" si="214"/>
        <v>0.12307692307692308</v>
      </c>
      <c r="FM82" s="1">
        <v>303384.09511983831</v>
      </c>
      <c r="FN82" s="13">
        <f t="shared" si="215"/>
        <v>-7.4366040340095863E-3</v>
      </c>
      <c r="FO82" s="1">
        <v>152</v>
      </c>
      <c r="FP82" s="13">
        <f t="shared" si="216"/>
        <v>4.1095890410958846E-2</v>
      </c>
      <c r="FQ82" s="1">
        <v>304616.03015378758</v>
      </c>
      <c r="FR82" s="13">
        <f t="shared" si="217"/>
        <v>4.060644752859055E-3</v>
      </c>
      <c r="FS82">
        <v>153</v>
      </c>
      <c r="FT82" s="13">
        <f t="shared" si="218"/>
        <v>6.5789473684210176E-3</v>
      </c>
      <c r="FU82" s="1">
        <v>304796.70915304509</v>
      </c>
      <c r="FV82" s="13">
        <f t="shared" si="219"/>
        <v>5.9313687190498676E-4</v>
      </c>
      <c r="FW82" s="1">
        <v>162</v>
      </c>
      <c r="FX82" s="13">
        <f t="shared" si="220"/>
        <v>5.8823529411764719E-2</v>
      </c>
      <c r="FY82" s="1">
        <v>305580.67469682143</v>
      </c>
      <c r="FZ82" s="13">
        <f t="shared" si="221"/>
        <v>2.5720932025636856E-3</v>
      </c>
      <c r="GA82" s="1">
        <v>172</v>
      </c>
      <c r="GB82" s="13">
        <f t="shared" si="222"/>
        <v>6.1728395061728447E-2</v>
      </c>
      <c r="GC82" s="1">
        <v>310758.02447264281</v>
      </c>
      <c r="GD82" s="13">
        <f t="shared" si="223"/>
        <v>1.6942660987832481E-2</v>
      </c>
      <c r="GE82" s="1">
        <v>162</v>
      </c>
      <c r="GF82" s="13">
        <f t="shared" si="224"/>
        <v>-5.8139534883720922E-2</v>
      </c>
      <c r="GG82" s="1">
        <f>IFERROR(VLOOKUP(A82,[3]Москва_продажа_районы!$C$2:$F$149,3,0),"")</f>
        <v>316401.56087095581</v>
      </c>
      <c r="GH82" s="13">
        <v>1.8160549217965061E-2</v>
      </c>
      <c r="GI82" s="1">
        <v>155</v>
      </c>
      <c r="GJ82" s="13">
        <f t="shared" si="225"/>
        <v>-4.3209876543209846E-2</v>
      </c>
      <c r="GK82" s="1">
        <v>314121.07825463929</v>
      </c>
      <c r="GL82" s="13">
        <f t="shared" si="226"/>
        <v>-7.2075580475616796E-3</v>
      </c>
      <c r="GM82" s="1">
        <v>154</v>
      </c>
      <c r="GN82" s="13">
        <f t="shared" si="227"/>
        <v>-6.4516129032258229E-3</v>
      </c>
      <c r="GO82" s="1">
        <v>309798.81960725482</v>
      </c>
      <c r="GP82" s="13">
        <f t="shared" si="228"/>
        <v>-1.3759849136518842E-2</v>
      </c>
      <c r="GQ82" s="1">
        <v>166.92000000000002</v>
      </c>
      <c r="GR82" s="13">
        <f t="shared" si="229"/>
        <v>8.3896103896103913E-2</v>
      </c>
      <c r="GS82" s="1">
        <v>312149.59133829712</v>
      </c>
      <c r="GT82" s="13">
        <f t="shared" ref="GT82:GT89" si="250">GS82/GO82-1</f>
        <v>7.5880590314143515E-3</v>
      </c>
      <c r="GU82">
        <v>168</v>
      </c>
      <c r="GV82" s="13">
        <f t="shared" ref="GV82:GV89" si="251">GU82/GQ82-1</f>
        <v>6.4701653486698429E-3</v>
      </c>
      <c r="GW82">
        <v>312741.70748158032</v>
      </c>
      <c r="GX82" s="13">
        <f t="shared" si="230"/>
        <v>1.8968986656191511E-3</v>
      </c>
      <c r="GY82">
        <v>157</v>
      </c>
      <c r="GZ82" s="13">
        <f t="shared" si="231"/>
        <v>-6.5476190476190466E-2</v>
      </c>
      <c r="HA82">
        <v>322956.53539725143</v>
      </c>
      <c r="HB82" s="13">
        <v>3.2662186306803065E-2</v>
      </c>
      <c r="HC82">
        <v>138</v>
      </c>
      <c r="HD82" s="13">
        <v>-0.12101910828025475</v>
      </c>
      <c r="HE82">
        <v>326563.26459582709</v>
      </c>
      <c r="HF82" s="13">
        <v>1.1167847073102921E-2</v>
      </c>
      <c r="HG82">
        <v>144</v>
      </c>
      <c r="HH82" s="13">
        <v>4.3478260869565188E-2</v>
      </c>
      <c r="HI82">
        <f>VLOOKUP(A82,[4]Москва_продажа_районы!$C$4:$F$151,3,0)</f>
        <v>325222.80800760398</v>
      </c>
      <c r="HJ82" s="13">
        <f t="shared" si="232"/>
        <v>-4.1047378365786091E-3</v>
      </c>
      <c r="HK82">
        <f>VLOOKUP(A82,[4]Москва_продажа_районы!$C$4:$F$151,2,0)</f>
        <v>159</v>
      </c>
      <c r="HL82" s="13">
        <f t="shared" si="233"/>
        <v>0.10416666666666674</v>
      </c>
      <c r="HM82" s="1">
        <f>VLOOKUP(A82,Лист3!$C$4:$F$149,3,0)</f>
        <v>326180.14076134341</v>
      </c>
      <c r="HN82" s="13">
        <f t="shared" si="234"/>
        <v>2.9436212041962229E-3</v>
      </c>
      <c r="HO82">
        <f>VLOOKUP(A82,Лист3!$C$4:$F$149,2,0)</f>
        <v>155</v>
      </c>
      <c r="HP82" s="13">
        <f t="shared" si="235"/>
        <v>-2.515723270440251E-2</v>
      </c>
      <c r="HQ82" s="1">
        <v>321177.63672512397</v>
      </c>
      <c r="HR82" s="13">
        <v>-1.5336629705729465E-2</v>
      </c>
      <c r="HS82">
        <v>153</v>
      </c>
      <c r="HT82" s="13">
        <v>-1.2903225806451646E-2</v>
      </c>
      <c r="HU82" s="34">
        <v>321880.0144002515</v>
      </c>
      <c r="HV82" s="13">
        <v>2.1868822570876301E-3</v>
      </c>
      <c r="HW82">
        <v>143</v>
      </c>
      <c r="HX82" s="13">
        <v>-6.5359477124182996E-2</v>
      </c>
      <c r="HY82">
        <v>321847.25427551498</v>
      </c>
      <c r="HZ82" s="13">
        <v>-1.01777442745421E-4</v>
      </c>
      <c r="IA82">
        <v>155</v>
      </c>
      <c r="IB82" s="13">
        <v>8.3916083916083961E-2</v>
      </c>
      <c r="IC82" s="34">
        <v>324717.72952752141</v>
      </c>
      <c r="ID82" s="13">
        <v>8.918750164477629E-3</v>
      </c>
      <c r="IE82">
        <v>163</v>
      </c>
      <c r="IF82" s="13">
        <v>5.1612903225806361E-2</v>
      </c>
    </row>
    <row r="83" spans="1:240" x14ac:dyDescent="0.3">
      <c r="A83" s="23" t="s">
        <v>94</v>
      </c>
      <c r="B83" s="22">
        <v>177479.80645151189</v>
      </c>
      <c r="C83">
        <v>635</v>
      </c>
      <c r="D83" s="22">
        <v>177387.83924880251</v>
      </c>
      <c r="E83">
        <v>618</v>
      </c>
      <c r="F83" s="22">
        <v>180258.10397791266</v>
      </c>
      <c r="G83">
        <v>412</v>
      </c>
      <c r="H83" s="22">
        <v>180101.46368293068</v>
      </c>
      <c r="I83">
        <v>419</v>
      </c>
      <c r="J83" s="22">
        <v>180158.07981386496</v>
      </c>
      <c r="K83">
        <v>505</v>
      </c>
      <c r="L83" s="22">
        <v>181780.90838410286</v>
      </c>
      <c r="M83">
        <v>514</v>
      </c>
      <c r="N83" s="22">
        <v>184335.64342072658</v>
      </c>
      <c r="O83" s="28">
        <v>458</v>
      </c>
      <c r="P83" s="35">
        <v>186519.56010115705</v>
      </c>
      <c r="Q83" s="28">
        <v>446</v>
      </c>
      <c r="R83" s="35">
        <v>190378.0839554508</v>
      </c>
      <c r="S83">
        <v>417</v>
      </c>
      <c r="T83" s="46">
        <v>197311.93958639036</v>
      </c>
      <c r="U83" s="47">
        <v>377</v>
      </c>
      <c r="V83" s="56">
        <v>204582.52320344601</v>
      </c>
      <c r="W83" s="47">
        <v>334</v>
      </c>
      <c r="X83" s="56">
        <v>211090.89768069921</v>
      </c>
      <c r="Y83" s="47">
        <v>336</v>
      </c>
      <c r="Z83" s="34">
        <v>214737.51304556013</v>
      </c>
      <c r="AA83" s="81">
        <v>369</v>
      </c>
      <c r="AB83" s="1">
        <v>220039.73750966549</v>
      </c>
      <c r="AC83">
        <v>378</v>
      </c>
      <c r="AD83" s="1">
        <v>223028.09972223299</v>
      </c>
      <c r="AE83">
        <v>404</v>
      </c>
      <c r="AF83" s="13">
        <f t="shared" si="180"/>
        <v>5.6550055794401199E-2</v>
      </c>
      <c r="AG83" s="85">
        <f t="shared" ref="AG83:AG89" si="252">AE83/$AJ$82</f>
        <v>0.18035714285714285</v>
      </c>
      <c r="AH83" s="35">
        <f t="shared" ref="AH83:AH89" si="253">AG83*AK$81</f>
        <v>18.035714285714285</v>
      </c>
      <c r="AI83" s="87">
        <f t="shared" ref="AI83:AI89" si="254">AH83+AE83</f>
        <v>422.03571428571428</v>
      </c>
      <c r="AL83" s="1">
        <v>228582.87353519659</v>
      </c>
      <c r="AM83">
        <v>385</v>
      </c>
      <c r="AN83" s="13">
        <f t="shared" ref="AN83:AN89" si="255">AM83/SUM($AM$82:$AM$89)</f>
        <v>0.17133956386292834</v>
      </c>
      <c r="AQ83" s="35">
        <f t="shared" ref="AQ83:AQ89" si="256">$AP$82*AN83</f>
        <v>14.221183800623052</v>
      </c>
      <c r="AR83" s="87">
        <f t="shared" ref="AR83:AR89" si="257">AQ83+AM83</f>
        <v>399.22118380062307</v>
      </c>
      <c r="AS83">
        <v>403</v>
      </c>
      <c r="AT83" s="1">
        <v>225032.9613380424</v>
      </c>
      <c r="AU83" s="13">
        <f t="shared" ref="AU83:AU89" si="258">AT83/AL83-1</f>
        <v>-1.5530088244374074E-2</v>
      </c>
      <c r="AV83">
        <v>397</v>
      </c>
      <c r="AW83" s="1">
        <v>226957.14831250501</v>
      </c>
      <c r="AX83" s="35">
        <v>410.97767282095322</v>
      </c>
      <c r="AY83" s="121">
        <v>228969.86404020549</v>
      </c>
      <c r="AZ83" s="122">
        <v>375</v>
      </c>
      <c r="BA83" s="119">
        <v>229725.09661292</v>
      </c>
      <c r="BB83">
        <v>403</v>
      </c>
      <c r="BC83" s="125">
        <f t="shared" ref="BC83:BC89" si="259">BA83/AY83-1</f>
        <v>3.2983928949790187E-3</v>
      </c>
      <c r="BD83">
        <v>390</v>
      </c>
      <c r="BE83" s="1">
        <v>243599.55677949861</v>
      </c>
      <c r="BF83" s="13">
        <f t="shared" si="236"/>
        <v>6.0395927006428263E-2</v>
      </c>
      <c r="BG83">
        <v>370</v>
      </c>
      <c r="BH83" s="1">
        <v>248104.27895773211</v>
      </c>
      <c r="BI83" s="13">
        <f t="shared" si="123"/>
        <v>1.8492325018107714E-2</v>
      </c>
      <c r="BJ83">
        <v>326</v>
      </c>
      <c r="BK83" s="1">
        <v>252022.1590786915</v>
      </c>
      <c r="BL83" s="13">
        <f t="shared" si="237"/>
        <v>1.5791263808178302E-2</v>
      </c>
      <c r="BM83" s="1">
        <v>259832.24890214929</v>
      </c>
      <c r="BN83" s="109">
        <f t="shared" si="238"/>
        <v>3.0989694922100686E-2</v>
      </c>
      <c r="BO83">
        <v>318</v>
      </c>
      <c r="BP83" s="13">
        <f t="shared" si="239"/>
        <v>-2.4539877300613466E-2</v>
      </c>
      <c r="BQ83" s="1">
        <v>263125.50017692341</v>
      </c>
      <c r="BR83" s="13">
        <f t="shared" si="178"/>
        <v>1.2674528618710212E-2</v>
      </c>
      <c r="BS83">
        <v>387</v>
      </c>
      <c r="BT83" s="13">
        <f t="shared" si="179"/>
        <v>0.21698113207547176</v>
      </c>
      <c r="BU83" s="1">
        <v>270421.12849401019</v>
      </c>
      <c r="BV83" s="13">
        <f t="shared" si="240"/>
        <v>2.7726800755461856E-2</v>
      </c>
      <c r="BW83">
        <v>370</v>
      </c>
      <c r="BX83" s="13">
        <f t="shared" si="241"/>
        <v>-4.3927648578811374E-2</v>
      </c>
      <c r="BY83" s="1">
        <v>275020.0317257783</v>
      </c>
      <c r="BZ83" s="13">
        <f t="shared" si="242"/>
        <v>1.7006449375385868E-2</v>
      </c>
      <c r="CA83">
        <v>333</v>
      </c>
      <c r="CB83" s="13">
        <f t="shared" si="243"/>
        <v>-9.9999999999999978E-2</v>
      </c>
      <c r="CC83" s="1">
        <v>274730.95153341821</v>
      </c>
      <c r="CD83" s="13">
        <f t="shared" si="244"/>
        <v>-1.0511241328352572E-3</v>
      </c>
      <c r="CE83">
        <v>379</v>
      </c>
      <c r="CF83" s="13">
        <f t="shared" si="245"/>
        <v>0.13813813813813813</v>
      </c>
      <c r="CG83" s="1">
        <v>267597.43745291821</v>
      </c>
      <c r="CH83" s="13">
        <f t="shared" si="246"/>
        <v>-2.5965454713726688E-2</v>
      </c>
      <c r="CI83">
        <v>419</v>
      </c>
      <c r="CJ83" s="13">
        <f t="shared" si="247"/>
        <v>0.10554089709762526</v>
      </c>
      <c r="CK83" s="1">
        <v>265372.38780874881</v>
      </c>
      <c r="CL83" s="13">
        <f t="shared" si="248"/>
        <v>-8.314913869684859E-3</v>
      </c>
      <c r="CM83">
        <v>457</v>
      </c>
      <c r="CN83" s="13">
        <f t="shared" si="249"/>
        <v>9.069212410501204E-2</v>
      </c>
      <c r="CO83" s="1">
        <v>263943.6119979911</v>
      </c>
      <c r="CP83" s="13">
        <v>-5.3840409793780575E-3</v>
      </c>
      <c r="CQ83">
        <v>480</v>
      </c>
      <c r="CR83" s="13">
        <v>5.032822757111588E-2</v>
      </c>
      <c r="CS83" s="1">
        <v>261278.2583312488</v>
      </c>
      <c r="CT83" s="13">
        <f t="shared" si="181"/>
        <v>-1.0098193498854546E-2</v>
      </c>
      <c r="CU83">
        <v>545</v>
      </c>
      <c r="CV83" s="13">
        <f t="shared" si="182"/>
        <v>0.13541666666666674</v>
      </c>
      <c r="CW83" s="1">
        <v>255806.81446672909</v>
      </c>
      <c r="CX83" s="13">
        <f t="shared" si="183"/>
        <v>-2.0941060689339874E-2</v>
      </c>
      <c r="CY83">
        <v>547</v>
      </c>
      <c r="CZ83" s="13">
        <f t="shared" si="184"/>
        <v>3.669724770642091E-3</v>
      </c>
      <c r="DA83" s="1">
        <v>250992.10648201729</v>
      </c>
      <c r="DB83" s="13">
        <f t="shared" si="185"/>
        <v>-1.8821656470523807E-2</v>
      </c>
      <c r="DC83">
        <v>551</v>
      </c>
      <c r="DD83" s="13">
        <f t="shared" si="186"/>
        <v>7.3126142595978383E-3</v>
      </c>
      <c r="DE83" s="1">
        <v>248817.96715189851</v>
      </c>
      <c r="DF83" s="13">
        <f t="shared" si="187"/>
        <v>-8.66218209246572E-3</v>
      </c>
      <c r="DG83" s="1">
        <v>535</v>
      </c>
      <c r="DH83" s="13">
        <f t="shared" si="188"/>
        <v>-2.9038112522686066E-2</v>
      </c>
      <c r="DI83" s="1">
        <v>247128.3873550698</v>
      </c>
      <c r="DJ83" s="13">
        <f t="shared" si="189"/>
        <v>-6.7904252099176832E-3</v>
      </c>
      <c r="DK83" s="1">
        <v>492</v>
      </c>
      <c r="DL83" s="13">
        <f t="shared" si="190"/>
        <v>-8.0373831775700899E-2</v>
      </c>
      <c r="DM83" s="1">
        <v>246624.4821077415</v>
      </c>
      <c r="DN83" s="13">
        <f t="shared" si="191"/>
        <v>-2.0390423484789588E-3</v>
      </c>
      <c r="DO83" s="1">
        <v>506</v>
      </c>
      <c r="DP83" s="13">
        <f t="shared" si="192"/>
        <v>2.8455284552845628E-2</v>
      </c>
      <c r="DQ83" s="1">
        <v>248975.15198584419</v>
      </c>
      <c r="DR83" s="13">
        <f t="shared" si="193"/>
        <v>9.5313727899721812E-3</v>
      </c>
      <c r="DS83">
        <v>521</v>
      </c>
      <c r="DT83" s="13">
        <f t="shared" si="194"/>
        <v>2.9644268774703608E-2</v>
      </c>
      <c r="DU83" s="1">
        <v>249893.0552249373</v>
      </c>
      <c r="DV83" s="13">
        <f t="shared" si="195"/>
        <v>3.6867262928523825E-3</v>
      </c>
      <c r="DW83">
        <v>496</v>
      </c>
      <c r="DX83" s="13">
        <f t="shared" si="196"/>
        <v>-4.7984644913627639E-2</v>
      </c>
      <c r="DY83" s="1">
        <v>251543.11469129869</v>
      </c>
      <c r="DZ83" s="13">
        <f t="shared" si="197"/>
        <v>6.6030625175881319E-3</v>
      </c>
      <c r="EA83" s="1">
        <v>474</v>
      </c>
      <c r="EB83" s="13">
        <f t="shared" si="198"/>
        <v>-4.435483870967738E-2</v>
      </c>
      <c r="EC83" s="1">
        <v>252964.81269784109</v>
      </c>
      <c r="ED83" s="13">
        <f t="shared" si="199"/>
        <v>5.6519058702406699E-3</v>
      </c>
      <c r="EE83" s="1">
        <f>IFERROR(VLOOKUP($A83,[1]Москва_продажа_районы!$C$2:$F$148,2,0),"")</f>
        <v>454</v>
      </c>
      <c r="EF83" s="13">
        <v>-4.2194092827004259E-2</v>
      </c>
      <c r="EG83" s="1">
        <v>253667.0122850484</v>
      </c>
      <c r="EH83" s="13">
        <f t="shared" si="200"/>
        <v>2.775878509419627E-3</v>
      </c>
      <c r="EI83" s="1">
        <f>IFERROR(VLOOKUP($A83,[2]Москва_продажа_районы!$C$2:$F$150,2,0),"")</f>
        <v>413</v>
      </c>
      <c r="EJ83" s="13">
        <v>-9.0308370044052899E-2</v>
      </c>
      <c r="EK83" s="1">
        <v>258393.0863915853</v>
      </c>
      <c r="EL83" s="13">
        <f t="shared" si="201"/>
        <v>1.8631015771282566E-2</v>
      </c>
      <c r="EM83">
        <v>353</v>
      </c>
      <c r="EN83" s="13">
        <f t="shared" si="202"/>
        <v>-0.14527845036319609</v>
      </c>
      <c r="EO83" s="1">
        <v>264509.38259565632</v>
      </c>
      <c r="EP83" s="13">
        <f t="shared" si="203"/>
        <v>2.3670510265905609E-2</v>
      </c>
      <c r="EQ83">
        <v>370</v>
      </c>
      <c r="ER83" s="13">
        <f t="shared" si="204"/>
        <v>4.8158640226628968E-2</v>
      </c>
      <c r="ES83" s="183">
        <v>268954.30750410951</v>
      </c>
      <c r="ET83" s="13">
        <f t="shared" si="205"/>
        <v>1.6804413003556729E-2</v>
      </c>
      <c r="EU83">
        <v>370</v>
      </c>
      <c r="EV83" s="13">
        <f t="shared" si="206"/>
        <v>0</v>
      </c>
      <c r="EW83" s="183">
        <v>276518.46053260268</v>
      </c>
      <c r="EX83" s="13">
        <f t="shared" si="207"/>
        <v>2.8124305197742894E-2</v>
      </c>
      <c r="EY83">
        <v>407</v>
      </c>
      <c r="EZ83" s="13">
        <f t="shared" si="208"/>
        <v>0.10000000000000009</v>
      </c>
      <c r="FA83" s="1">
        <v>279659.41022029292</v>
      </c>
      <c r="FB83" s="13">
        <f t="shared" si="209"/>
        <v>1.1358914994826996E-2</v>
      </c>
      <c r="FC83" s="1">
        <v>385</v>
      </c>
      <c r="FD83" s="13">
        <f t="shared" si="210"/>
        <v>-5.4054054054054057E-2</v>
      </c>
      <c r="FE83" s="1">
        <v>275600.69400452799</v>
      </c>
      <c r="FF83" s="13">
        <f t="shared" si="211"/>
        <v>-1.4513068637911353E-2</v>
      </c>
      <c r="FG83" s="1">
        <v>376</v>
      </c>
      <c r="FH83" s="13">
        <f t="shared" si="212"/>
        <v>-2.3376623376623384E-2</v>
      </c>
      <c r="FI83" s="1">
        <v>277219.66007389792</v>
      </c>
      <c r="FJ83" s="13">
        <f t="shared" si="213"/>
        <v>5.8743178249882622E-3</v>
      </c>
      <c r="FK83" s="1">
        <v>420</v>
      </c>
      <c r="FL83" s="13">
        <f t="shared" si="214"/>
        <v>0.11702127659574457</v>
      </c>
      <c r="FM83" s="1">
        <v>280853.92532726598</v>
      </c>
      <c r="FN83" s="13">
        <f t="shared" si="215"/>
        <v>1.3109695222911943E-2</v>
      </c>
      <c r="FO83" s="1">
        <v>430</v>
      </c>
      <c r="FP83" s="13">
        <f t="shared" si="216"/>
        <v>2.3809523809523725E-2</v>
      </c>
      <c r="FQ83" s="1">
        <v>282757.8057935955</v>
      </c>
      <c r="FR83" s="13">
        <f t="shared" si="217"/>
        <v>6.7788992591468755E-3</v>
      </c>
      <c r="FS83">
        <v>399</v>
      </c>
      <c r="FT83" s="13">
        <f t="shared" si="218"/>
        <v>-7.2093023255813904E-2</v>
      </c>
      <c r="FU83" s="1">
        <v>282989.27031736373</v>
      </c>
      <c r="FV83" s="13">
        <f t="shared" si="219"/>
        <v>8.1859640662651501E-4</v>
      </c>
      <c r="FW83" s="1">
        <v>402</v>
      </c>
      <c r="FX83" s="13">
        <f t="shared" si="220"/>
        <v>7.5187969924812581E-3</v>
      </c>
      <c r="FY83" s="1">
        <v>285013.42080156109</v>
      </c>
      <c r="FZ83" s="13">
        <f t="shared" si="221"/>
        <v>7.1527463989264906E-3</v>
      </c>
      <c r="GA83" s="1">
        <v>420</v>
      </c>
      <c r="GB83" s="13">
        <f t="shared" si="222"/>
        <v>4.4776119402984982E-2</v>
      </c>
      <c r="GC83" s="1">
        <v>285787.89431014587</v>
      </c>
      <c r="GD83" s="13">
        <f t="shared" si="223"/>
        <v>2.71732294713245E-3</v>
      </c>
      <c r="GE83" s="1">
        <v>429</v>
      </c>
      <c r="GF83" s="13">
        <f t="shared" si="224"/>
        <v>2.1428571428571352E-2</v>
      </c>
      <c r="GG83" s="1">
        <f>IFERROR(VLOOKUP(A83,[3]Москва_продажа_районы!$C$2:$F$149,3,0),"")</f>
        <v>286004.46639948402</v>
      </c>
      <c r="GH83" s="13">
        <v>7.5780707878103648E-4</v>
      </c>
      <c r="GI83" s="1">
        <v>430</v>
      </c>
      <c r="GJ83" s="13">
        <f t="shared" si="225"/>
        <v>2.3310023310023631E-3</v>
      </c>
      <c r="GK83" s="1">
        <v>285615.24932396697</v>
      </c>
      <c r="GL83" s="13">
        <f t="shared" si="226"/>
        <v>-1.3608776129160338E-3</v>
      </c>
      <c r="GM83" s="1">
        <v>448</v>
      </c>
      <c r="GN83" s="13">
        <f t="shared" si="227"/>
        <v>4.1860465116279055E-2</v>
      </c>
      <c r="GO83" s="1">
        <v>285893.5720777472</v>
      </c>
      <c r="GP83" s="13">
        <f t="shared" si="228"/>
        <v>9.7446741530426984E-4</v>
      </c>
      <c r="GQ83" s="1">
        <v>508.25</v>
      </c>
      <c r="GR83" s="13">
        <f t="shared" si="229"/>
        <v>0.13448660714285721</v>
      </c>
      <c r="GS83" s="1">
        <v>285489.21252602228</v>
      </c>
      <c r="GT83" s="13">
        <f t="shared" si="250"/>
        <v>-1.414370910077567E-3</v>
      </c>
      <c r="GU83">
        <v>488</v>
      </c>
      <c r="GV83" s="13">
        <f t="shared" si="251"/>
        <v>-3.9842597147073278E-2</v>
      </c>
      <c r="GW83">
        <v>284271.0874354564</v>
      </c>
      <c r="GX83" s="13">
        <f t="shared" si="230"/>
        <v>-4.2667990141829204E-3</v>
      </c>
      <c r="GY83">
        <v>422</v>
      </c>
      <c r="GZ83" s="13">
        <f t="shared" si="231"/>
        <v>-0.13524590163934425</v>
      </c>
      <c r="HA83">
        <v>287954.62937369011</v>
      </c>
      <c r="HB83" s="13">
        <v>1.2957849394620746E-2</v>
      </c>
      <c r="HC83">
        <v>401</v>
      </c>
      <c r="HD83" s="13">
        <v>-4.9763033175355464E-2</v>
      </c>
      <c r="HE83">
        <v>290612.14833014132</v>
      </c>
      <c r="HF83" s="13">
        <v>9.2289502767550768E-3</v>
      </c>
      <c r="HG83">
        <v>430</v>
      </c>
      <c r="HH83" s="13">
        <v>7.2319201995012516E-2</v>
      </c>
      <c r="HI83">
        <f>VLOOKUP(A83,[4]Москва_продажа_районы!$C$4:$F$151,3,0)</f>
        <v>293729.61041273858</v>
      </c>
      <c r="HJ83" s="13">
        <f t="shared" si="232"/>
        <v>1.0727225618440972E-2</v>
      </c>
      <c r="HK83">
        <f>VLOOKUP(A83,[4]Москва_продажа_районы!$C$4:$F$151,2,0)</f>
        <v>428</v>
      </c>
      <c r="HL83" s="13">
        <f t="shared" si="233"/>
        <v>-4.6511627906976605E-3</v>
      </c>
      <c r="HM83" s="1">
        <f>VLOOKUP(A83,Лист3!$C$4:$F$149,3,0)</f>
        <v>294373.12846310338</v>
      </c>
      <c r="HN83" s="13">
        <f t="shared" si="234"/>
        <v>2.1908518159288182E-3</v>
      </c>
      <c r="HO83">
        <f>VLOOKUP(A83,Лист3!$C$4:$F$149,2,0)</f>
        <v>422</v>
      </c>
      <c r="HP83" s="13">
        <f t="shared" si="235"/>
        <v>-1.4018691588784993E-2</v>
      </c>
      <c r="HQ83" s="1">
        <v>291393.78633140231</v>
      </c>
      <c r="HR83" s="13">
        <v>-1.0120971799484346E-2</v>
      </c>
      <c r="HS83">
        <v>421</v>
      </c>
      <c r="HT83" s="13">
        <v>-2.3696682464454666E-3</v>
      </c>
      <c r="HU83" s="34">
        <v>290689.27911051823</v>
      </c>
      <c r="HV83" s="13">
        <v>-2.417715318345337E-3</v>
      </c>
      <c r="HW83">
        <v>358</v>
      </c>
      <c r="HX83" s="13">
        <v>-0.14964370546318295</v>
      </c>
      <c r="HY83">
        <v>292980.45865104039</v>
      </c>
      <c r="HZ83" s="13">
        <v>7.881885247137177E-3</v>
      </c>
      <c r="IA83">
        <v>364</v>
      </c>
      <c r="IB83" s="13">
        <v>1.6759776536312776E-2</v>
      </c>
      <c r="IC83" s="34">
        <v>291310.18361424922</v>
      </c>
      <c r="ID83" s="13">
        <v>-5.7009776163282622E-3</v>
      </c>
      <c r="IE83">
        <v>364</v>
      </c>
      <c r="IF83" s="13">
        <v>0</v>
      </c>
    </row>
    <row r="84" spans="1:240" x14ac:dyDescent="0.3">
      <c r="A84" s="23" t="s">
        <v>95</v>
      </c>
      <c r="B84" s="22">
        <v>281382.45418671862</v>
      </c>
      <c r="C84">
        <v>256</v>
      </c>
      <c r="D84" s="22">
        <v>299445.58443478274</v>
      </c>
      <c r="E84">
        <v>253</v>
      </c>
      <c r="F84" s="22">
        <v>304317.98382049997</v>
      </c>
      <c r="G84">
        <v>200</v>
      </c>
      <c r="H84" s="22">
        <v>299942.18092817313</v>
      </c>
      <c r="I84">
        <v>200</v>
      </c>
      <c r="J84" s="22">
        <v>274613.08565515297</v>
      </c>
      <c r="K84">
        <v>254</v>
      </c>
      <c r="L84" s="22">
        <v>276618.51733660098</v>
      </c>
      <c r="M84">
        <v>250</v>
      </c>
      <c r="N84" s="22">
        <v>279247.40637478302</v>
      </c>
      <c r="O84" s="28">
        <v>249</v>
      </c>
      <c r="P84" s="35">
        <v>281846.43081936025</v>
      </c>
      <c r="Q84" s="28">
        <v>231</v>
      </c>
      <c r="R84" s="35">
        <v>296004.65527802904</v>
      </c>
      <c r="S84">
        <v>216</v>
      </c>
      <c r="T84" s="46">
        <v>295962.02021767956</v>
      </c>
      <c r="U84" s="47">
        <v>240</v>
      </c>
      <c r="V84" s="56">
        <v>324568.62911489973</v>
      </c>
      <c r="W84" s="47">
        <v>228</v>
      </c>
      <c r="X84" s="56">
        <v>322829.24066998367</v>
      </c>
      <c r="Y84" s="47">
        <v>218</v>
      </c>
      <c r="Z84" s="34">
        <v>296747.3273733813</v>
      </c>
      <c r="AA84" s="81">
        <v>255</v>
      </c>
      <c r="AB84" s="1">
        <v>318753.48366768868</v>
      </c>
      <c r="AC84">
        <v>220</v>
      </c>
      <c r="AD84" s="1">
        <v>316405.35276975762</v>
      </c>
      <c r="AE84">
        <v>236</v>
      </c>
      <c r="AF84" s="13">
        <f t="shared" si="180"/>
        <v>-1.9898717622028994E-2</v>
      </c>
      <c r="AG84" s="85">
        <f t="shared" si="252"/>
        <v>0.10535714285714286</v>
      </c>
      <c r="AH84" s="35">
        <f t="shared" si="253"/>
        <v>10.535714285714286</v>
      </c>
      <c r="AI84" s="87">
        <f t="shared" si="254"/>
        <v>246.53571428571428</v>
      </c>
      <c r="AL84" s="1">
        <v>324142.71680950571</v>
      </c>
      <c r="AM84">
        <v>231</v>
      </c>
      <c r="AN84" s="13">
        <f t="shared" si="255"/>
        <v>0.10280373831775701</v>
      </c>
      <c r="AQ84" s="35">
        <f t="shared" si="256"/>
        <v>8.5327102803738324</v>
      </c>
      <c r="AR84" s="87">
        <f t="shared" si="257"/>
        <v>239.53271028037383</v>
      </c>
      <c r="AS84">
        <v>230</v>
      </c>
      <c r="AT84" s="1">
        <v>320894.89603732759</v>
      </c>
      <c r="AU84" s="13">
        <f t="shared" si="258"/>
        <v>-1.0019724657539752E-2</v>
      </c>
      <c r="AV84">
        <v>229</v>
      </c>
      <c r="AW84" s="1">
        <v>321370.87843278749</v>
      </c>
      <c r="AX84" s="35">
        <v>237.06268784886217</v>
      </c>
      <c r="AY84" s="121">
        <v>313539.02802584582</v>
      </c>
      <c r="AZ84" s="122">
        <v>261</v>
      </c>
      <c r="BA84" s="119">
        <v>319062.03087961202</v>
      </c>
      <c r="BB84">
        <v>243</v>
      </c>
      <c r="BC84" s="125">
        <f t="shared" si="259"/>
        <v>1.7615041063758552E-2</v>
      </c>
      <c r="BD84">
        <v>253</v>
      </c>
      <c r="BE84" s="1">
        <v>326377.44698825252</v>
      </c>
      <c r="BF84" s="13">
        <f t="shared" si="236"/>
        <v>2.2927880476635965E-2</v>
      </c>
      <c r="BG84">
        <v>261</v>
      </c>
      <c r="BH84" s="1">
        <v>340970.94227101648</v>
      </c>
      <c r="BI84" s="13">
        <f t="shared" si="123"/>
        <v>4.4713553027115882E-2</v>
      </c>
      <c r="BJ84">
        <v>240</v>
      </c>
      <c r="BK84" s="1">
        <v>348273.51794700208</v>
      </c>
      <c r="BL84" s="13">
        <f t="shared" si="237"/>
        <v>2.1417002948542319E-2</v>
      </c>
      <c r="BM84" s="1">
        <v>356351.53217469342</v>
      </c>
      <c r="BN84" s="109">
        <f t="shared" si="238"/>
        <v>2.3194454391219699E-2</v>
      </c>
      <c r="BO84">
        <v>216</v>
      </c>
      <c r="BP84" s="13">
        <f t="shared" si="239"/>
        <v>-9.9999999999999978E-2</v>
      </c>
      <c r="BQ84" s="1">
        <v>352466.31918226078</v>
      </c>
      <c r="BR84" s="13">
        <f t="shared" si="178"/>
        <v>-1.0902753718280644E-2</v>
      </c>
      <c r="BS84">
        <v>238</v>
      </c>
      <c r="BT84" s="13">
        <f t="shared" si="179"/>
        <v>0.10185185185185186</v>
      </c>
      <c r="BU84" s="1">
        <v>358212.12612666911</v>
      </c>
      <c r="BV84" s="13">
        <f t="shared" si="240"/>
        <v>1.6301719147914229E-2</v>
      </c>
      <c r="BW84">
        <v>240</v>
      </c>
      <c r="BX84" s="13">
        <f t="shared" si="241"/>
        <v>8.4033613445377853E-3</v>
      </c>
      <c r="BY84" s="1">
        <v>357450.8993694107</v>
      </c>
      <c r="BZ84" s="13">
        <f t="shared" si="242"/>
        <v>-2.1250725526505976E-3</v>
      </c>
      <c r="CA84">
        <v>224</v>
      </c>
      <c r="CB84" s="13">
        <f t="shared" si="243"/>
        <v>-6.6666666666666652E-2</v>
      </c>
      <c r="CC84" s="1">
        <v>349746.07877192908</v>
      </c>
      <c r="CD84" s="13">
        <f t="shared" si="244"/>
        <v>-2.1554906173334332E-2</v>
      </c>
      <c r="CE84">
        <v>243</v>
      </c>
      <c r="CF84" s="13">
        <f t="shared" si="245"/>
        <v>8.4821428571428603E-2</v>
      </c>
      <c r="CG84" s="1">
        <v>323603.91250998992</v>
      </c>
      <c r="CH84" s="13">
        <f t="shared" si="246"/>
        <v>-7.4746131118132109E-2</v>
      </c>
      <c r="CI84">
        <v>262</v>
      </c>
      <c r="CJ84" s="13">
        <f t="shared" si="247"/>
        <v>7.8189300411522611E-2</v>
      </c>
      <c r="CK84" s="1">
        <v>320817.88172622112</v>
      </c>
      <c r="CL84" s="13">
        <f t="shared" si="248"/>
        <v>-8.6093853506261642E-3</v>
      </c>
      <c r="CM84">
        <v>282</v>
      </c>
      <c r="CN84" s="13">
        <f t="shared" si="249"/>
        <v>7.6335877862595325E-2</v>
      </c>
      <c r="CO84" s="1">
        <v>317040.59255072131</v>
      </c>
      <c r="CP84" s="13">
        <v>-1.1773935901500887E-2</v>
      </c>
      <c r="CQ84">
        <v>320</v>
      </c>
      <c r="CR84" s="13">
        <v>0.13475177304964547</v>
      </c>
      <c r="CS84" s="1">
        <v>323909.12668935867</v>
      </c>
      <c r="CT84" s="13">
        <f t="shared" si="181"/>
        <v>2.1664525931449852E-2</v>
      </c>
      <c r="CU84">
        <v>345</v>
      </c>
      <c r="CV84" s="13">
        <f t="shared" si="182"/>
        <v>7.8125E-2</v>
      </c>
      <c r="CW84" s="1">
        <v>316297.56252518581</v>
      </c>
      <c r="CX84" s="13">
        <f t="shared" si="183"/>
        <v>-2.3499072847899871E-2</v>
      </c>
      <c r="CY84">
        <v>392</v>
      </c>
      <c r="CZ84" s="13">
        <f t="shared" si="184"/>
        <v>0.13623188405797104</v>
      </c>
      <c r="DA84" s="1">
        <v>309075.90389802738</v>
      </c>
      <c r="DB84" s="13">
        <f t="shared" si="185"/>
        <v>-2.2831850392724395E-2</v>
      </c>
      <c r="DC84">
        <v>401</v>
      </c>
      <c r="DD84" s="13">
        <f t="shared" si="186"/>
        <v>2.2959183673469497E-2</v>
      </c>
      <c r="DE84" s="1">
        <v>305875.71095424722</v>
      </c>
      <c r="DF84" s="13">
        <f t="shared" si="187"/>
        <v>-1.0354068057133237E-2</v>
      </c>
      <c r="DG84" s="1">
        <v>429</v>
      </c>
      <c r="DH84" s="13">
        <f t="shared" si="188"/>
        <v>6.9825436408977648E-2</v>
      </c>
      <c r="DI84" s="1">
        <v>307550.12671840232</v>
      </c>
      <c r="DJ84" s="13">
        <f t="shared" si="189"/>
        <v>5.4741704038263617E-3</v>
      </c>
      <c r="DK84" s="1">
        <v>399</v>
      </c>
      <c r="DL84" s="13">
        <f t="shared" si="190"/>
        <v>-6.9930069930069894E-2</v>
      </c>
      <c r="DM84" s="1">
        <v>304701.69260201079</v>
      </c>
      <c r="DN84" s="13">
        <f t="shared" si="191"/>
        <v>-9.2616905958864404E-3</v>
      </c>
      <c r="DO84" s="1">
        <v>389</v>
      </c>
      <c r="DP84" s="13">
        <f t="shared" si="192"/>
        <v>-2.5062656641604009E-2</v>
      </c>
      <c r="DQ84" s="1">
        <v>313806.60323188541</v>
      </c>
      <c r="DR84" s="13">
        <f t="shared" si="193"/>
        <v>2.9881391705188554E-2</v>
      </c>
      <c r="DS84">
        <v>396</v>
      </c>
      <c r="DT84" s="13">
        <f t="shared" si="194"/>
        <v>1.799485861182526E-2</v>
      </c>
      <c r="DU84" s="1">
        <v>316833.55567911558</v>
      </c>
      <c r="DV84" s="13">
        <f t="shared" si="195"/>
        <v>9.6459169949123513E-3</v>
      </c>
      <c r="DW84">
        <v>372</v>
      </c>
      <c r="DX84" s="13">
        <f t="shared" si="196"/>
        <v>-6.0606060606060552E-2</v>
      </c>
      <c r="DY84" s="1">
        <v>319862.01850203372</v>
      </c>
      <c r="DZ84" s="13">
        <f t="shared" si="197"/>
        <v>9.5585292928546117E-3</v>
      </c>
      <c r="EA84" s="1">
        <v>354</v>
      </c>
      <c r="EB84" s="13">
        <f t="shared" si="198"/>
        <v>-4.8387096774193505E-2</v>
      </c>
      <c r="EC84" s="1">
        <v>324769.37202698179</v>
      </c>
      <c r="ED84" s="13">
        <f t="shared" si="199"/>
        <v>1.5342095156936741E-2</v>
      </c>
      <c r="EE84" s="1">
        <f>IFERROR(VLOOKUP($A84,[1]Москва_продажа_районы!$C$2:$F$148,2,0),"")</f>
        <v>343</v>
      </c>
      <c r="EF84" s="13">
        <v>-3.1073446327683607E-2</v>
      </c>
      <c r="EG84" s="1">
        <v>331507.34057958669</v>
      </c>
      <c r="EH84" s="13">
        <f t="shared" si="200"/>
        <v>2.0746933464049322E-2</v>
      </c>
      <c r="EI84" s="1">
        <f>IFERROR(VLOOKUP($A84,[2]Москва_продажа_районы!$C$2:$F$150,2,0),"")</f>
        <v>321</v>
      </c>
      <c r="EJ84" s="13">
        <v>-6.4139941690962154E-2</v>
      </c>
      <c r="EK84" s="1">
        <v>344891.4245808628</v>
      </c>
      <c r="EL84" s="13">
        <f t="shared" si="201"/>
        <v>4.0373416702858655E-2</v>
      </c>
      <c r="EM84">
        <v>289</v>
      </c>
      <c r="EN84" s="13">
        <f t="shared" si="202"/>
        <v>-9.9688473520249232E-2</v>
      </c>
      <c r="EO84" s="1">
        <v>351606.13283583021</v>
      </c>
      <c r="EP84" s="13">
        <f t="shared" si="203"/>
        <v>1.9469049609243338E-2</v>
      </c>
      <c r="EQ84">
        <v>263</v>
      </c>
      <c r="ER84" s="13">
        <f t="shared" si="204"/>
        <v>-8.9965397923875479E-2</v>
      </c>
      <c r="ES84" s="183">
        <v>351231.2225307505</v>
      </c>
      <c r="ET84" s="13">
        <f t="shared" si="205"/>
        <v>-1.0662791972823049E-3</v>
      </c>
      <c r="EU84">
        <v>257</v>
      </c>
      <c r="EV84" s="13">
        <f t="shared" si="206"/>
        <v>-2.281368821292773E-2</v>
      </c>
      <c r="EW84" s="183">
        <v>355432.90510408569</v>
      </c>
      <c r="EX84" s="13">
        <f t="shared" si="207"/>
        <v>1.1962725133205732E-2</v>
      </c>
      <c r="EY84">
        <v>286</v>
      </c>
      <c r="EZ84" s="13">
        <f t="shared" si="208"/>
        <v>0.11284046692607008</v>
      </c>
      <c r="FA84" s="1">
        <v>358559.8228127106</v>
      </c>
      <c r="FB84" s="13">
        <f t="shared" si="209"/>
        <v>8.7974907886179121E-3</v>
      </c>
      <c r="FC84" s="1">
        <v>268</v>
      </c>
      <c r="FD84" s="13">
        <f t="shared" si="210"/>
        <v>-6.2937062937062915E-2</v>
      </c>
      <c r="FE84" s="1">
        <v>361020.23850374739</v>
      </c>
      <c r="FF84" s="13">
        <f t="shared" si="211"/>
        <v>6.8619391646731476E-3</v>
      </c>
      <c r="FG84" s="1">
        <v>277</v>
      </c>
      <c r="FH84" s="13">
        <f t="shared" si="212"/>
        <v>3.3582089552238736E-2</v>
      </c>
      <c r="FI84" s="1">
        <v>364079.92865707062</v>
      </c>
      <c r="FJ84" s="13">
        <f t="shared" si="213"/>
        <v>8.4751208575013504E-3</v>
      </c>
      <c r="FK84" s="1">
        <v>311</v>
      </c>
      <c r="FL84" s="13">
        <f t="shared" si="214"/>
        <v>0.12274368231046928</v>
      </c>
      <c r="FM84" s="1">
        <v>352883.64155508392</v>
      </c>
      <c r="FN84" s="13">
        <f t="shared" si="215"/>
        <v>-3.0752277784949156E-2</v>
      </c>
      <c r="FO84" s="1">
        <v>308</v>
      </c>
      <c r="FP84" s="13">
        <f t="shared" si="216"/>
        <v>-9.6463022508038732E-3</v>
      </c>
      <c r="FQ84" s="1">
        <v>352320.33053686831</v>
      </c>
      <c r="FR84" s="13">
        <f t="shared" si="217"/>
        <v>-1.5963081080585528E-3</v>
      </c>
      <c r="FS84">
        <v>312</v>
      </c>
      <c r="FT84" s="13">
        <f t="shared" si="218"/>
        <v>1.298701298701288E-2</v>
      </c>
      <c r="FU84" s="1">
        <v>362175.27982404322</v>
      </c>
      <c r="FV84" s="13">
        <f t="shared" si="219"/>
        <v>2.7971560063416945E-2</v>
      </c>
      <c r="FW84" s="1">
        <v>302</v>
      </c>
      <c r="FX84" s="13">
        <f t="shared" si="220"/>
        <v>-3.2051282051282048E-2</v>
      </c>
      <c r="FY84" s="1">
        <v>367653.1837467677</v>
      </c>
      <c r="FZ84" s="13">
        <f t="shared" si="221"/>
        <v>1.5125007773544974E-2</v>
      </c>
      <c r="GA84" s="1">
        <v>313</v>
      </c>
      <c r="GB84" s="13">
        <f t="shared" si="222"/>
        <v>3.6423841059602724E-2</v>
      </c>
      <c r="GC84" s="1">
        <v>375276.73695607833</v>
      </c>
      <c r="GD84" s="13">
        <f t="shared" si="223"/>
        <v>2.0735719276571141E-2</v>
      </c>
      <c r="GE84" s="1">
        <v>304</v>
      </c>
      <c r="GF84" s="13">
        <f t="shared" si="224"/>
        <v>-2.8753993610223683E-2</v>
      </c>
      <c r="GG84" s="1">
        <f>IFERROR(VLOOKUP(A84,[3]Москва_продажа_районы!$C$2:$F$149,3,0),"")</f>
        <v>371452.84525654971</v>
      </c>
      <c r="GH84" s="13">
        <v>-1.0189525017044065E-2</v>
      </c>
      <c r="GI84" s="1">
        <v>262</v>
      </c>
      <c r="GJ84" s="13">
        <f t="shared" si="225"/>
        <v>-0.13815789473684215</v>
      </c>
      <c r="GK84" s="1">
        <v>371875.44957228983</v>
      </c>
      <c r="GL84" s="13">
        <f t="shared" si="226"/>
        <v>1.1377064979760654E-3</v>
      </c>
      <c r="GM84" s="1">
        <v>280</v>
      </c>
      <c r="GN84" s="13">
        <f t="shared" si="227"/>
        <v>6.8702290076335881E-2</v>
      </c>
      <c r="GO84" s="1">
        <v>370661.19881261012</v>
      </c>
      <c r="GP84" s="13">
        <f t="shared" si="228"/>
        <v>-3.2652081794489751E-3</v>
      </c>
      <c r="GQ84" s="1">
        <v>281.41000000000003</v>
      </c>
      <c r="GR84" s="13">
        <f t="shared" si="229"/>
        <v>5.0357142857144765E-3</v>
      </c>
      <c r="GS84" s="1">
        <v>370325.16927825753</v>
      </c>
      <c r="GT84" s="13">
        <f t="shared" si="250"/>
        <v>-9.0656787230236624E-4</v>
      </c>
      <c r="GU84">
        <v>268</v>
      </c>
      <c r="GV84" s="13">
        <f t="shared" si="251"/>
        <v>-4.7652890799900538E-2</v>
      </c>
      <c r="GW84">
        <v>377588.82831914688</v>
      </c>
      <c r="GX84" s="13">
        <f t="shared" si="230"/>
        <v>1.9614273194138665E-2</v>
      </c>
      <c r="GY84">
        <v>275</v>
      </c>
      <c r="GZ84" s="13">
        <f t="shared" si="231"/>
        <v>2.6119402985074647E-2</v>
      </c>
      <c r="HA84">
        <v>400054.77463967621</v>
      </c>
      <c r="HB84" s="13">
        <v>5.9498440196277702E-2</v>
      </c>
      <c r="HC84">
        <v>257</v>
      </c>
      <c r="HD84" s="13">
        <v>-6.5454545454545432E-2</v>
      </c>
      <c r="HE84">
        <v>386227.61439258489</v>
      </c>
      <c r="HF84" s="13">
        <v>-3.4563167655092375E-2</v>
      </c>
      <c r="HG84">
        <v>245</v>
      </c>
      <c r="HH84" s="13">
        <v>-4.6692607003890996E-2</v>
      </c>
      <c r="HI84">
        <f>VLOOKUP(A84,[4]Москва_продажа_районы!$C$4:$F$151,3,0)</f>
        <v>391522.07303963799</v>
      </c>
      <c r="HJ84" s="13">
        <f t="shared" si="232"/>
        <v>1.3708130775112126E-2</v>
      </c>
      <c r="HK84">
        <f>VLOOKUP(A84,[4]Москва_продажа_районы!$C$4:$F$151,2,0)</f>
        <v>232</v>
      </c>
      <c r="HL84" s="13">
        <f t="shared" si="233"/>
        <v>-5.3061224489795888E-2</v>
      </c>
      <c r="HM84" s="1">
        <f>VLOOKUP(A84,Лист3!$C$4:$F$149,3,0)</f>
        <v>384102.05340605212</v>
      </c>
      <c r="HN84" s="13">
        <f t="shared" si="234"/>
        <v>-1.8951727487493852E-2</v>
      </c>
      <c r="HO84">
        <f>VLOOKUP(A84,Лист3!$C$4:$F$149,2,0)</f>
        <v>239</v>
      </c>
      <c r="HP84" s="13">
        <f t="shared" si="235"/>
        <v>3.0172413793103425E-2</v>
      </c>
      <c r="HQ84" s="1">
        <v>388483.42701078323</v>
      </c>
      <c r="HR84" s="13">
        <v>1.1406795579141038E-2</v>
      </c>
      <c r="HS84">
        <v>238</v>
      </c>
      <c r="HT84" s="13">
        <v>-4.1841004184099972E-3</v>
      </c>
      <c r="HU84" s="34">
        <v>378398.42023129697</v>
      </c>
      <c r="HV84" s="13">
        <v>-2.5959940832189776E-2</v>
      </c>
      <c r="HW84">
        <v>213</v>
      </c>
      <c r="HX84" s="13">
        <v>-0.10504201680672265</v>
      </c>
      <c r="HY84">
        <v>383350.21836359438</v>
      </c>
      <c r="HZ84" s="13">
        <v>1.3086201917203111E-2</v>
      </c>
      <c r="IA84">
        <v>243</v>
      </c>
      <c r="IB84" s="13">
        <v>0.14084507042253525</v>
      </c>
      <c r="IC84" s="34">
        <v>381005.66399692593</v>
      </c>
      <c r="ID84" s="13">
        <v>-6.1159593874150486E-3</v>
      </c>
      <c r="IE84">
        <v>251</v>
      </c>
      <c r="IF84" s="13">
        <v>3.292181069958855E-2</v>
      </c>
    </row>
    <row r="85" spans="1:240" x14ac:dyDescent="0.3">
      <c r="A85" s="23" t="s">
        <v>96</v>
      </c>
      <c r="B85" s="22">
        <v>195579.62241272497</v>
      </c>
      <c r="C85">
        <v>400</v>
      </c>
      <c r="D85" s="22">
        <v>196106.39306323975</v>
      </c>
      <c r="E85">
        <v>392</v>
      </c>
      <c r="F85" s="22">
        <v>198630.85789825325</v>
      </c>
      <c r="G85">
        <v>229</v>
      </c>
      <c r="H85" s="22">
        <v>198401.92145451502</v>
      </c>
      <c r="I85">
        <v>237</v>
      </c>
      <c r="J85" s="22">
        <v>196327.58326922663</v>
      </c>
      <c r="K85">
        <v>339</v>
      </c>
      <c r="L85" s="22">
        <v>197104.83981894705</v>
      </c>
      <c r="M85">
        <v>355</v>
      </c>
      <c r="N85" s="22">
        <v>199371.17860505666</v>
      </c>
      <c r="O85" s="28">
        <v>345</v>
      </c>
      <c r="P85" s="35">
        <v>201152.79583780098</v>
      </c>
      <c r="Q85" s="28">
        <v>306</v>
      </c>
      <c r="R85" s="35">
        <v>214122.94502305542</v>
      </c>
      <c r="S85">
        <v>276</v>
      </c>
      <c r="T85" s="46">
        <v>221675.00118355622</v>
      </c>
      <c r="U85" s="47">
        <v>265</v>
      </c>
      <c r="V85" s="56">
        <v>217742.4413215229</v>
      </c>
      <c r="W85" s="47">
        <v>232</v>
      </c>
      <c r="X85" s="56">
        <v>221726.9092311977</v>
      </c>
      <c r="Y85" s="47">
        <v>208</v>
      </c>
      <c r="Z85" s="34">
        <v>224857.28225099068</v>
      </c>
      <c r="AA85" s="81">
        <v>258</v>
      </c>
      <c r="AB85" s="1">
        <v>230785.34900780529</v>
      </c>
      <c r="AC85">
        <v>264</v>
      </c>
      <c r="AD85" s="1">
        <v>239076.45064935021</v>
      </c>
      <c r="AE85">
        <v>264</v>
      </c>
      <c r="AF85" s="13">
        <f t="shared" si="180"/>
        <v>7.8247342545427756E-2</v>
      </c>
      <c r="AG85" s="85">
        <f t="shared" si="252"/>
        <v>0.11785714285714285</v>
      </c>
      <c r="AH85" s="35">
        <f t="shared" si="253"/>
        <v>11.785714285714285</v>
      </c>
      <c r="AI85" s="87">
        <f t="shared" si="254"/>
        <v>275.78571428571428</v>
      </c>
      <c r="AL85" s="1">
        <v>240681.43785043</v>
      </c>
      <c r="AM85">
        <v>278</v>
      </c>
      <c r="AN85" s="13">
        <f t="shared" si="255"/>
        <v>0.12372051624388072</v>
      </c>
      <c r="AQ85" s="35">
        <f t="shared" si="256"/>
        <v>10.2688028482421</v>
      </c>
      <c r="AR85" s="87">
        <f t="shared" si="257"/>
        <v>288.2688028482421</v>
      </c>
      <c r="AS85">
        <v>283</v>
      </c>
      <c r="AT85" s="1">
        <v>246382.29722989129</v>
      </c>
      <c r="AU85" s="13">
        <f t="shared" si="258"/>
        <v>2.3686327580459521E-2</v>
      </c>
      <c r="AV85">
        <v>317</v>
      </c>
      <c r="AW85" s="1">
        <v>249464.92447121849</v>
      </c>
      <c r="AX85" s="35">
        <v>328.16101331043365</v>
      </c>
      <c r="AY85" s="121">
        <v>254818.2915610632</v>
      </c>
      <c r="AZ85" s="122">
        <v>336</v>
      </c>
      <c r="BA85" s="119">
        <v>256400.22599139629</v>
      </c>
      <c r="BB85">
        <v>352</v>
      </c>
      <c r="BC85" s="125">
        <f t="shared" si="259"/>
        <v>6.2080882052928388E-3</v>
      </c>
      <c r="BD85">
        <v>321</v>
      </c>
      <c r="BE85" s="1">
        <v>261746.88710397549</v>
      </c>
      <c r="BF85" s="13">
        <f t="shared" si="236"/>
        <v>2.0852794071868797E-2</v>
      </c>
      <c r="BG85">
        <v>292</v>
      </c>
      <c r="BH85" s="1">
        <v>261010.68321751649</v>
      </c>
      <c r="BI85" s="13">
        <f t="shared" si="123"/>
        <v>-2.8126557477130554E-3</v>
      </c>
      <c r="BJ85">
        <v>286</v>
      </c>
      <c r="BK85" s="1">
        <v>269308.47536669951</v>
      </c>
      <c r="BL85" s="13">
        <f t="shared" si="237"/>
        <v>3.1791005819742368E-2</v>
      </c>
      <c r="BM85" s="1">
        <v>276039.8255491688</v>
      </c>
      <c r="BN85" s="109">
        <f t="shared" si="238"/>
        <v>2.4994943710195727E-2</v>
      </c>
      <c r="BO85">
        <v>289</v>
      </c>
      <c r="BP85" s="13">
        <f t="shared" si="239"/>
        <v>1.0489510489510412E-2</v>
      </c>
      <c r="BQ85" s="1">
        <v>283097.99939099402</v>
      </c>
      <c r="BR85" s="13">
        <f t="shared" si="178"/>
        <v>2.5569404080673097E-2</v>
      </c>
      <c r="BS85">
        <v>336</v>
      </c>
      <c r="BT85" s="13">
        <f t="shared" si="179"/>
        <v>0.16262975778546718</v>
      </c>
      <c r="BU85" s="1">
        <v>292579.79314630822</v>
      </c>
      <c r="BV85" s="13">
        <f t="shared" si="240"/>
        <v>3.3492973372159618E-2</v>
      </c>
      <c r="BW85">
        <v>295</v>
      </c>
      <c r="BX85" s="13">
        <f t="shared" si="241"/>
        <v>-0.12202380952380953</v>
      </c>
      <c r="BY85" s="1">
        <v>293930.42288289132</v>
      </c>
      <c r="BZ85" s="13">
        <f t="shared" si="242"/>
        <v>4.6162782537333413E-3</v>
      </c>
      <c r="CA85">
        <v>245</v>
      </c>
      <c r="CB85" s="13">
        <f t="shared" si="243"/>
        <v>-0.16949152542372881</v>
      </c>
      <c r="CC85" s="1">
        <v>289338.64623772429</v>
      </c>
      <c r="CD85" s="13">
        <f t="shared" si="244"/>
        <v>-1.5621984958652968E-2</v>
      </c>
      <c r="CE85">
        <v>297</v>
      </c>
      <c r="CF85" s="13">
        <f t="shared" si="245"/>
        <v>0.21224489795918378</v>
      </c>
      <c r="CG85" s="1">
        <v>286207.46388164861</v>
      </c>
      <c r="CH85" s="13">
        <f t="shared" si="246"/>
        <v>-1.0821860117168902E-2</v>
      </c>
      <c r="CI85">
        <v>347</v>
      </c>
      <c r="CJ85" s="13">
        <f t="shared" si="247"/>
        <v>0.16835016835016825</v>
      </c>
      <c r="CK85" s="1">
        <v>282264.8499307654</v>
      </c>
      <c r="CL85" s="13">
        <f t="shared" si="248"/>
        <v>-1.3775370835589218E-2</v>
      </c>
      <c r="CM85">
        <v>396</v>
      </c>
      <c r="CN85" s="13">
        <f t="shared" si="249"/>
        <v>0.14121037463976949</v>
      </c>
      <c r="CO85" s="1">
        <v>277349.586748317</v>
      </c>
      <c r="CP85" s="13">
        <v>-1.7413656654925447E-2</v>
      </c>
      <c r="CQ85">
        <v>385</v>
      </c>
      <c r="CR85" s="13">
        <v>-2.777777777777779E-2</v>
      </c>
      <c r="CS85" s="1">
        <v>274958.24399582611</v>
      </c>
      <c r="CT85" s="13">
        <f t="shared" si="181"/>
        <v>-8.6221248083594437E-3</v>
      </c>
      <c r="CU85">
        <v>419</v>
      </c>
      <c r="CV85" s="13">
        <f t="shared" si="182"/>
        <v>8.8311688311688341E-2</v>
      </c>
      <c r="CW85" s="1">
        <v>269150.9792932893</v>
      </c>
      <c r="CX85" s="13">
        <f t="shared" si="183"/>
        <v>-2.1120533133114461E-2</v>
      </c>
      <c r="CY85">
        <v>451</v>
      </c>
      <c r="CZ85" s="13">
        <f t="shared" si="184"/>
        <v>7.6372315035799554E-2</v>
      </c>
      <c r="DA85" s="1">
        <v>265902.2673271363</v>
      </c>
      <c r="DB85" s="13">
        <f t="shared" si="185"/>
        <v>-1.2070221608270426E-2</v>
      </c>
      <c r="DC85">
        <v>421</v>
      </c>
      <c r="DD85" s="13">
        <f t="shared" si="186"/>
        <v>-6.6518847006651893E-2</v>
      </c>
      <c r="DE85" s="1">
        <v>265371.91373005853</v>
      </c>
      <c r="DF85" s="13">
        <f t="shared" si="187"/>
        <v>-1.9945433425931913E-3</v>
      </c>
      <c r="DG85" s="1">
        <v>398</v>
      </c>
      <c r="DH85" s="13">
        <f t="shared" si="188"/>
        <v>-5.4631828978622288E-2</v>
      </c>
      <c r="DI85" s="1">
        <v>264689.99219245411</v>
      </c>
      <c r="DJ85" s="13">
        <f t="shared" si="189"/>
        <v>-2.5696824054186607E-3</v>
      </c>
      <c r="DK85" s="1">
        <v>369</v>
      </c>
      <c r="DL85" s="13">
        <f t="shared" si="190"/>
        <v>-7.2864321608040239E-2</v>
      </c>
      <c r="DM85" s="1">
        <v>265099.89614309667</v>
      </c>
      <c r="DN85" s="13">
        <f t="shared" si="191"/>
        <v>1.548618998577389E-3</v>
      </c>
      <c r="DO85" s="1">
        <v>387</v>
      </c>
      <c r="DP85" s="13">
        <f t="shared" si="192"/>
        <v>4.8780487804878092E-2</v>
      </c>
      <c r="DQ85" s="1">
        <v>267092.690335544</v>
      </c>
      <c r="DR85" s="13">
        <f t="shared" si="193"/>
        <v>7.5171443725186027E-3</v>
      </c>
      <c r="DS85">
        <v>378</v>
      </c>
      <c r="DT85" s="13">
        <f t="shared" si="194"/>
        <v>-2.3255813953488413E-2</v>
      </c>
      <c r="DU85" s="1">
        <v>266425.16281901387</v>
      </c>
      <c r="DV85" s="13">
        <f t="shared" si="195"/>
        <v>-2.4992354365501734E-3</v>
      </c>
      <c r="DW85">
        <v>370</v>
      </c>
      <c r="DX85" s="13">
        <f t="shared" si="196"/>
        <v>-2.1164021164021163E-2</v>
      </c>
      <c r="DY85" s="1">
        <v>265815.74083453609</v>
      </c>
      <c r="DZ85" s="13">
        <f t="shared" si="197"/>
        <v>-2.2874040050480104E-3</v>
      </c>
      <c r="EA85" s="1">
        <v>354</v>
      </c>
      <c r="EB85" s="13">
        <f t="shared" si="198"/>
        <v>-4.3243243243243246E-2</v>
      </c>
      <c r="EC85" s="1">
        <v>272671.68795712758</v>
      </c>
      <c r="ED85" s="13">
        <f t="shared" si="199"/>
        <v>2.5792103586744108E-2</v>
      </c>
      <c r="EE85" s="1">
        <f>IFERROR(VLOOKUP($A85,[1]Москва_продажа_районы!$C$2:$F$148,2,0),"")</f>
        <v>331</v>
      </c>
      <c r="EF85" s="13">
        <v>-6.497175141242939E-2</v>
      </c>
      <c r="EG85" s="1">
        <v>276675.84093456692</v>
      </c>
      <c r="EH85" s="13">
        <f t="shared" si="200"/>
        <v>1.4684887189567508E-2</v>
      </c>
      <c r="EI85" s="1">
        <f>IFERROR(VLOOKUP($A85,[2]Москва_продажа_районы!$C$2:$F$150,2,0),"")</f>
        <v>315</v>
      </c>
      <c r="EJ85" s="13">
        <v>-4.8338368580060465E-2</v>
      </c>
      <c r="EK85" s="1">
        <v>287596.04257526092</v>
      </c>
      <c r="EL85" s="13">
        <f t="shared" si="201"/>
        <v>3.9469299537709057E-2</v>
      </c>
      <c r="EM85">
        <v>322</v>
      </c>
      <c r="EN85" s="13">
        <f t="shared" si="202"/>
        <v>2.2222222222222143E-2</v>
      </c>
      <c r="EO85" s="1">
        <v>292885.49125095608</v>
      </c>
      <c r="EP85" s="13">
        <f t="shared" si="203"/>
        <v>1.8391938318521817E-2</v>
      </c>
      <c r="EQ85">
        <v>318</v>
      </c>
      <c r="ER85" s="13">
        <f t="shared" si="204"/>
        <v>-1.2422360248447228E-2</v>
      </c>
      <c r="ES85" s="183">
        <v>293955.88007679943</v>
      </c>
      <c r="ET85" s="13">
        <f t="shared" si="205"/>
        <v>3.6546324683806031E-3</v>
      </c>
      <c r="EU85">
        <v>263</v>
      </c>
      <c r="EV85" s="13">
        <f t="shared" si="206"/>
        <v>-0.17295597484276726</v>
      </c>
      <c r="EW85" s="183">
        <v>296847.94371871051</v>
      </c>
      <c r="EX85" s="13">
        <f t="shared" si="207"/>
        <v>9.8384275938125931E-3</v>
      </c>
      <c r="EY85">
        <v>283</v>
      </c>
      <c r="EZ85" s="13">
        <f t="shared" si="208"/>
        <v>7.6045627376425839E-2</v>
      </c>
      <c r="FA85" s="1">
        <v>295291.55617949221</v>
      </c>
      <c r="FB85" s="13">
        <f t="shared" si="209"/>
        <v>-5.2430463883997858E-3</v>
      </c>
      <c r="FC85" s="1">
        <v>278</v>
      </c>
      <c r="FD85" s="13">
        <f t="shared" si="210"/>
        <v>-1.7667844522968212E-2</v>
      </c>
      <c r="FE85" s="1">
        <v>296780.30914228043</v>
      </c>
      <c r="FF85" s="13">
        <f t="shared" si="211"/>
        <v>5.0416374313231316E-3</v>
      </c>
      <c r="FG85" s="1">
        <v>294</v>
      </c>
      <c r="FH85" s="13">
        <f t="shared" si="212"/>
        <v>5.755395683453246E-2</v>
      </c>
      <c r="FI85" s="1">
        <v>301135.68747243629</v>
      </c>
      <c r="FJ85" s="13">
        <f t="shared" si="213"/>
        <v>1.4675428914887378E-2</v>
      </c>
      <c r="FK85" s="1">
        <v>335</v>
      </c>
      <c r="FL85" s="13">
        <f t="shared" si="214"/>
        <v>0.13945578231292521</v>
      </c>
      <c r="FM85" s="1">
        <v>299201.06774580188</v>
      </c>
      <c r="FN85" s="13">
        <f t="shared" si="215"/>
        <v>-6.424412007997149E-3</v>
      </c>
      <c r="FO85" s="1">
        <v>372</v>
      </c>
      <c r="FP85" s="13">
        <f t="shared" si="216"/>
        <v>0.11044776119402977</v>
      </c>
      <c r="FQ85" s="1">
        <v>298632.60292349127</v>
      </c>
      <c r="FR85" s="13">
        <f t="shared" si="217"/>
        <v>-1.8999424921624097E-3</v>
      </c>
      <c r="FS85">
        <v>371</v>
      </c>
      <c r="FT85" s="13">
        <f t="shared" si="218"/>
        <v>-2.6881720430107503E-3</v>
      </c>
      <c r="FU85" s="1">
        <v>296445.34670759528</v>
      </c>
      <c r="FV85" s="13">
        <f t="shared" si="219"/>
        <v>-7.3242378577678124E-3</v>
      </c>
      <c r="FW85" s="1">
        <v>370</v>
      </c>
      <c r="FX85" s="13">
        <f t="shared" si="220"/>
        <v>-2.6954177897574594E-3</v>
      </c>
      <c r="FY85" s="1">
        <v>295273.096367563</v>
      </c>
      <c r="FZ85" s="13">
        <f t="shared" si="221"/>
        <v>-3.9543556782105638E-3</v>
      </c>
      <c r="GA85" s="1">
        <v>373</v>
      </c>
      <c r="GB85" s="13">
        <f t="shared" si="222"/>
        <v>8.1081081081080253E-3</v>
      </c>
      <c r="GC85" s="1">
        <v>293817.50441384828</v>
      </c>
      <c r="GD85" s="13">
        <f t="shared" si="223"/>
        <v>-4.9296463904817678E-3</v>
      </c>
      <c r="GE85" s="1">
        <v>403</v>
      </c>
      <c r="GF85" s="13">
        <f t="shared" si="224"/>
        <v>8.0428954423592547E-2</v>
      </c>
      <c r="GG85" s="1">
        <f>IFERROR(VLOOKUP(A85,[3]Москва_продажа_районы!$C$2:$F$149,3,0),"")</f>
        <v>296080.76237499568</v>
      </c>
      <c r="GH85" s="13">
        <v>7.7029378003277138E-3</v>
      </c>
      <c r="GI85" s="1">
        <v>418</v>
      </c>
      <c r="GJ85" s="13">
        <f t="shared" si="225"/>
        <v>3.7220843672456594E-2</v>
      </c>
      <c r="GK85" s="1">
        <v>295291.93152326101</v>
      </c>
      <c r="GL85" s="13">
        <f t="shared" si="226"/>
        <v>-2.6642421662491644E-3</v>
      </c>
      <c r="GM85" s="1">
        <v>433</v>
      </c>
      <c r="GN85" s="13">
        <f t="shared" si="227"/>
        <v>3.5885167464114742E-2</v>
      </c>
      <c r="GO85" s="1">
        <v>294754.02849345282</v>
      </c>
      <c r="GP85" s="13">
        <f t="shared" si="228"/>
        <v>-1.821597451150847E-3</v>
      </c>
      <c r="GQ85" s="1">
        <v>447.26000000000005</v>
      </c>
      <c r="GR85" s="13">
        <f t="shared" si="229"/>
        <v>3.2933025404157101E-2</v>
      </c>
      <c r="GS85" s="1">
        <v>295251.68713022821</v>
      </c>
      <c r="GT85" s="13">
        <f t="shared" si="250"/>
        <v>1.6883862090673052E-3</v>
      </c>
      <c r="GU85">
        <v>417</v>
      </c>
      <c r="GV85" s="13">
        <f t="shared" si="251"/>
        <v>-6.7656396726736179E-2</v>
      </c>
      <c r="GW85">
        <v>296077.50148381811</v>
      </c>
      <c r="GX85" s="13">
        <f t="shared" si="230"/>
        <v>2.7969843682067452E-3</v>
      </c>
      <c r="GY85">
        <v>358</v>
      </c>
      <c r="GZ85" s="13">
        <f t="shared" si="231"/>
        <v>-0.14148681055155876</v>
      </c>
      <c r="HA85">
        <v>301433.41242214822</v>
      </c>
      <c r="HB85" s="13">
        <v>1.8089557333767381E-2</v>
      </c>
      <c r="HC85">
        <v>308</v>
      </c>
      <c r="HD85" s="13">
        <v>-0.13966480446927376</v>
      </c>
      <c r="HE85">
        <v>303899.90947277978</v>
      </c>
      <c r="HF85" s="13">
        <v>8.182560223872315E-3</v>
      </c>
      <c r="HG85">
        <v>316</v>
      </c>
      <c r="HH85" s="13">
        <v>2.5974025974025983E-2</v>
      </c>
      <c r="HI85">
        <f>VLOOKUP(A85,[4]Москва_продажа_районы!$C$4:$F$151,3,0)</f>
        <v>303425.84970347799</v>
      </c>
      <c r="HJ85" s="13">
        <f t="shared" si="232"/>
        <v>-1.5599207322049002E-3</v>
      </c>
      <c r="HK85">
        <f>VLOOKUP(A85,[4]Москва_продажа_районы!$C$4:$F$151,2,0)</f>
        <v>331</v>
      </c>
      <c r="HL85" s="13">
        <f t="shared" si="233"/>
        <v>4.7468354430379778E-2</v>
      </c>
      <c r="HM85" s="1">
        <f>VLOOKUP(A85,Лист3!$C$4:$F$149,3,0)</f>
        <v>302182.77961601049</v>
      </c>
      <c r="HN85" s="13">
        <f t="shared" si="234"/>
        <v>-4.096783740351384E-3</v>
      </c>
      <c r="HO85">
        <f>VLOOKUP(A85,Лист3!$C$4:$F$149,2,0)</f>
        <v>327</v>
      </c>
      <c r="HP85" s="13">
        <f t="shared" si="235"/>
        <v>-1.2084592145015116E-2</v>
      </c>
      <c r="HQ85" s="1">
        <v>302206.60633678263</v>
      </c>
      <c r="HR85" s="13">
        <v>7.8848704755385413E-5</v>
      </c>
      <c r="HS85">
        <v>325</v>
      </c>
      <c r="HT85" s="13">
        <v>-6.1162079510703737E-3</v>
      </c>
      <c r="HU85" s="34">
        <v>301879.03572569921</v>
      </c>
      <c r="HV85" s="13">
        <v>-1.0839293523529081E-3</v>
      </c>
      <c r="HW85">
        <v>289</v>
      </c>
      <c r="HX85" s="13">
        <v>-0.11076923076923073</v>
      </c>
      <c r="HY85">
        <v>305696.77815905941</v>
      </c>
      <c r="HZ85" s="13">
        <v>1.2646596754168682E-2</v>
      </c>
      <c r="IA85">
        <v>275</v>
      </c>
      <c r="IB85" s="13">
        <v>-4.8442906574394429E-2</v>
      </c>
      <c r="IC85" s="34">
        <v>310738.00155927311</v>
      </c>
      <c r="ID85" s="13">
        <v>1.6490927482365025E-2</v>
      </c>
      <c r="IE85">
        <v>309</v>
      </c>
      <c r="IF85" s="13">
        <v>0.12363636363636354</v>
      </c>
    </row>
    <row r="86" spans="1:240" x14ac:dyDescent="0.3">
      <c r="A86" s="23" t="s">
        <v>97</v>
      </c>
      <c r="B86" s="22">
        <v>209804.51417767591</v>
      </c>
      <c r="C86">
        <v>327</v>
      </c>
      <c r="D86" s="22">
        <v>211855.06124240501</v>
      </c>
      <c r="E86">
        <v>316</v>
      </c>
      <c r="F86" s="22">
        <v>215596.67066285707</v>
      </c>
      <c r="G86">
        <v>210</v>
      </c>
      <c r="H86" s="22">
        <v>212405.33101159782</v>
      </c>
      <c r="I86">
        <v>237</v>
      </c>
      <c r="J86" s="22">
        <v>212152.62166821666</v>
      </c>
      <c r="K86">
        <v>307</v>
      </c>
      <c r="L86" s="22">
        <v>211173.94131314527</v>
      </c>
      <c r="M86">
        <v>295</v>
      </c>
      <c r="N86" s="22">
        <v>212763.41277643698</v>
      </c>
      <c r="O86" s="28">
        <v>291</v>
      </c>
      <c r="P86" s="35">
        <v>217895.40088933578</v>
      </c>
      <c r="Q86" s="28">
        <v>295</v>
      </c>
      <c r="R86" s="35">
        <v>224390.66041047909</v>
      </c>
      <c r="S86">
        <v>283</v>
      </c>
      <c r="T86" s="46">
        <v>232812.60620087446</v>
      </c>
      <c r="U86" s="47">
        <v>255</v>
      </c>
      <c r="V86" s="56">
        <v>239116.4443577627</v>
      </c>
      <c r="W86" s="47">
        <v>215</v>
      </c>
      <c r="X86" s="56">
        <v>243574.02040422251</v>
      </c>
      <c r="Y86" s="47">
        <v>208</v>
      </c>
      <c r="Z86" s="34">
        <v>241428.94024002191</v>
      </c>
      <c r="AA86" s="81">
        <v>261</v>
      </c>
      <c r="AB86" s="1">
        <v>248866.08982533371</v>
      </c>
      <c r="AC86">
        <v>232</v>
      </c>
      <c r="AD86" s="1">
        <v>249598.48996361121</v>
      </c>
      <c r="AE86">
        <v>226</v>
      </c>
      <c r="AF86" s="13">
        <f t="shared" si="180"/>
        <v>2.4733629429734894E-2</v>
      </c>
      <c r="AG86" s="85">
        <f t="shared" si="252"/>
        <v>0.10089285714285715</v>
      </c>
      <c r="AH86" s="35">
        <f t="shared" si="253"/>
        <v>10.089285714285715</v>
      </c>
      <c r="AI86" s="87">
        <f t="shared" si="254"/>
        <v>236.08928571428572</v>
      </c>
      <c r="AL86" s="1">
        <v>251563.87251539261</v>
      </c>
      <c r="AM86">
        <v>211</v>
      </c>
      <c r="AN86" s="13">
        <f t="shared" si="255"/>
        <v>9.390298175344905E-2</v>
      </c>
      <c r="AQ86" s="35">
        <f t="shared" si="256"/>
        <v>7.7939474855362709</v>
      </c>
      <c r="AR86" s="87">
        <f t="shared" si="257"/>
        <v>218.79394748553628</v>
      </c>
      <c r="AS86">
        <v>250</v>
      </c>
      <c r="AT86" s="1">
        <v>252392.00870444599</v>
      </c>
      <c r="AU86" s="13">
        <f t="shared" si="258"/>
        <v>3.2919519832987909E-3</v>
      </c>
      <c r="AV86">
        <v>227</v>
      </c>
      <c r="AW86" s="1">
        <v>269828.60725654493</v>
      </c>
      <c r="AX86" s="35">
        <v>234.99227136109917</v>
      </c>
      <c r="AY86" s="121">
        <v>270012.65040680888</v>
      </c>
      <c r="AZ86" s="122">
        <v>241</v>
      </c>
      <c r="BA86" s="119">
        <v>278539.85630489798</v>
      </c>
      <c r="BB86">
        <v>255</v>
      </c>
      <c r="BC86" s="125">
        <f t="shared" si="259"/>
        <v>3.1580764402118877E-2</v>
      </c>
      <c r="BD86">
        <v>277</v>
      </c>
      <c r="BE86" s="1">
        <v>280998.65583422018</v>
      </c>
      <c r="BF86" s="13">
        <f t="shared" si="236"/>
        <v>8.8274603209055336E-3</v>
      </c>
      <c r="BG86">
        <v>264</v>
      </c>
      <c r="BH86" s="1">
        <v>282716.270587379</v>
      </c>
      <c r="BI86" s="13">
        <f t="shared" si="123"/>
        <v>6.1125372577304216E-3</v>
      </c>
      <c r="BJ86">
        <v>233</v>
      </c>
      <c r="BK86" s="1">
        <v>287307.4154467624</v>
      </c>
      <c r="BL86" s="13">
        <f t="shared" si="237"/>
        <v>1.6239407975511044E-2</v>
      </c>
      <c r="BM86" s="1">
        <v>290260.11596774962</v>
      </c>
      <c r="BN86" s="109">
        <f t="shared" si="238"/>
        <v>1.0277146924299707E-2</v>
      </c>
      <c r="BO86">
        <v>210</v>
      </c>
      <c r="BP86" s="13">
        <f t="shared" si="239"/>
        <v>-9.8712446351931327E-2</v>
      </c>
      <c r="BQ86" s="1">
        <v>296128.58301878249</v>
      </c>
      <c r="BR86" s="13">
        <f t="shared" si="178"/>
        <v>2.0217958748713905E-2</v>
      </c>
      <c r="BS86">
        <v>224</v>
      </c>
      <c r="BT86" s="13">
        <f t="shared" si="179"/>
        <v>6.6666666666666652E-2</v>
      </c>
      <c r="BU86" s="1">
        <v>303740.360346895</v>
      </c>
      <c r="BV86" s="13">
        <f t="shared" si="240"/>
        <v>2.570429794556417E-2</v>
      </c>
      <c r="BW86">
        <v>205</v>
      </c>
      <c r="BX86" s="13">
        <f t="shared" si="241"/>
        <v>-8.4821428571428603E-2</v>
      </c>
      <c r="BY86" s="1">
        <v>304961.98219101591</v>
      </c>
      <c r="BZ86" s="13">
        <f t="shared" si="242"/>
        <v>4.021927947690962E-3</v>
      </c>
      <c r="CA86">
        <v>213</v>
      </c>
      <c r="CB86" s="13">
        <f t="shared" si="243"/>
        <v>3.9024390243902474E-2</v>
      </c>
      <c r="CC86" s="1">
        <v>299265.4890289465</v>
      </c>
      <c r="CD86" s="13">
        <f t="shared" si="244"/>
        <v>-1.8679355115489016E-2</v>
      </c>
      <c r="CE86">
        <v>214</v>
      </c>
      <c r="CF86" s="13">
        <f t="shared" si="245"/>
        <v>4.6948356807512415E-3</v>
      </c>
      <c r="CG86" s="1">
        <v>297568.75853169517</v>
      </c>
      <c r="CH86" s="13">
        <f t="shared" si="246"/>
        <v>-5.6696497239185906E-3</v>
      </c>
      <c r="CI86">
        <v>228</v>
      </c>
      <c r="CJ86" s="13">
        <f t="shared" si="247"/>
        <v>6.5420560747663448E-2</v>
      </c>
      <c r="CK86" s="1">
        <v>296462.52109353029</v>
      </c>
      <c r="CL86" s="13">
        <f t="shared" si="248"/>
        <v>-3.7175859576906722E-3</v>
      </c>
      <c r="CM86">
        <v>261</v>
      </c>
      <c r="CN86" s="13">
        <f t="shared" si="249"/>
        <v>0.14473684210526305</v>
      </c>
      <c r="CO86" s="1">
        <v>295033.0815343532</v>
      </c>
      <c r="CP86" s="13">
        <v>-4.8216535226930368E-3</v>
      </c>
      <c r="CQ86">
        <v>285</v>
      </c>
      <c r="CR86" s="13">
        <v>9.1954022988505857E-2</v>
      </c>
      <c r="CS86" s="1">
        <v>292121.69327568088</v>
      </c>
      <c r="CT86" s="13">
        <f t="shared" si="181"/>
        <v>-9.8680061352147685E-3</v>
      </c>
      <c r="CU86">
        <v>334</v>
      </c>
      <c r="CV86" s="13">
        <f t="shared" si="182"/>
        <v>0.1719298245614036</v>
      </c>
      <c r="CW86" s="1">
        <v>288590.51485019468</v>
      </c>
      <c r="CX86" s="13">
        <f t="shared" si="183"/>
        <v>-1.2088039015143437E-2</v>
      </c>
      <c r="CY86">
        <v>330</v>
      </c>
      <c r="CZ86" s="13">
        <f t="shared" si="184"/>
        <v>-1.19760479041916E-2</v>
      </c>
      <c r="DA86" s="1">
        <v>284367.61967291491</v>
      </c>
      <c r="DB86" s="13">
        <f t="shared" si="185"/>
        <v>-1.4632827345250288E-2</v>
      </c>
      <c r="DC86">
        <v>323</v>
      </c>
      <c r="DD86" s="13">
        <f t="shared" si="186"/>
        <v>-2.1212121212121238E-2</v>
      </c>
      <c r="DE86" s="1">
        <v>281840.7828067611</v>
      </c>
      <c r="DF86" s="13">
        <f t="shared" si="187"/>
        <v>-8.8858108003303515E-3</v>
      </c>
      <c r="DG86" s="1">
        <v>308</v>
      </c>
      <c r="DH86" s="13">
        <f t="shared" si="188"/>
        <v>-4.6439628482972117E-2</v>
      </c>
      <c r="DI86" s="1">
        <v>281436.34457491379</v>
      </c>
      <c r="DJ86" s="13">
        <f t="shared" si="189"/>
        <v>-1.4349883214900272E-3</v>
      </c>
      <c r="DK86" s="1">
        <v>283</v>
      </c>
      <c r="DL86" s="13">
        <f t="shared" si="190"/>
        <v>-8.1168831168831224E-2</v>
      </c>
      <c r="DM86" s="1">
        <v>281365.20375311462</v>
      </c>
      <c r="DN86" s="13">
        <f t="shared" si="191"/>
        <v>-2.5277766418774217E-4</v>
      </c>
      <c r="DO86" s="1">
        <v>328</v>
      </c>
      <c r="DP86" s="13">
        <f t="shared" si="192"/>
        <v>0.1590106007067138</v>
      </c>
      <c r="DQ86" s="1">
        <v>282589.23320892529</v>
      </c>
      <c r="DR86" s="13">
        <f t="shared" si="193"/>
        <v>4.3503227815073764E-3</v>
      </c>
      <c r="DS86">
        <v>357</v>
      </c>
      <c r="DT86" s="13">
        <f t="shared" si="194"/>
        <v>8.8414634146341431E-2</v>
      </c>
      <c r="DU86" s="1">
        <v>284519.85034657782</v>
      </c>
      <c r="DV86" s="13">
        <f t="shared" si="195"/>
        <v>6.8318849792312619E-3</v>
      </c>
      <c r="DW86">
        <v>333</v>
      </c>
      <c r="DX86" s="13">
        <f t="shared" si="196"/>
        <v>-6.7226890756302504E-2</v>
      </c>
      <c r="DY86" s="1">
        <v>290148.62913496338</v>
      </c>
      <c r="DZ86" s="13">
        <f t="shared" si="197"/>
        <v>1.9783430862658768E-2</v>
      </c>
      <c r="EA86" s="1">
        <v>307</v>
      </c>
      <c r="EB86" s="13">
        <f t="shared" si="198"/>
        <v>-7.8078078078078095E-2</v>
      </c>
      <c r="EC86" s="1">
        <v>288998.16874216968</v>
      </c>
      <c r="ED86" s="13">
        <f t="shared" si="199"/>
        <v>-3.965072646469614E-3</v>
      </c>
      <c r="EE86" s="1">
        <f>IFERROR(VLOOKUP($A86,[1]Москва_продажа_районы!$C$2:$F$148,2,0),"")</f>
        <v>274</v>
      </c>
      <c r="EF86" s="13">
        <v>-0.10749185667752448</v>
      </c>
      <c r="EG86" s="1">
        <v>291316.04511169298</v>
      </c>
      <c r="EH86" s="13">
        <f t="shared" si="200"/>
        <v>8.0203842799819736E-3</v>
      </c>
      <c r="EI86" s="1">
        <f>IFERROR(VLOOKUP($A86,[2]Москва_продажа_районы!$C$2:$F$150,2,0),"")</f>
        <v>254</v>
      </c>
      <c r="EJ86" s="13">
        <v>-7.2992700729927029E-2</v>
      </c>
      <c r="EK86" s="1">
        <v>294587.16813719808</v>
      </c>
      <c r="EL86" s="13">
        <f t="shared" si="201"/>
        <v>1.1228777406513624E-2</v>
      </c>
      <c r="EM86">
        <v>237</v>
      </c>
      <c r="EN86" s="13">
        <f t="shared" si="202"/>
        <v>-6.6929133858267709E-2</v>
      </c>
      <c r="EO86" s="1">
        <v>298725.14256718312</v>
      </c>
      <c r="EP86" s="13">
        <f t="shared" si="203"/>
        <v>1.4046689325102779E-2</v>
      </c>
      <c r="EQ86">
        <v>212</v>
      </c>
      <c r="ER86" s="13">
        <f t="shared" si="204"/>
        <v>-0.10548523206751059</v>
      </c>
      <c r="ES86" s="183">
        <v>305635.07770392142</v>
      </c>
      <c r="ET86" s="13">
        <f t="shared" si="205"/>
        <v>2.3131414642087789E-2</v>
      </c>
      <c r="EU86">
        <v>212</v>
      </c>
      <c r="EV86" s="13">
        <f t="shared" si="206"/>
        <v>0</v>
      </c>
      <c r="EW86" s="183">
        <v>311988.88320281781</v>
      </c>
      <c r="EX86" s="13">
        <f t="shared" si="207"/>
        <v>2.0788862150997955E-2</v>
      </c>
      <c r="EY86">
        <v>263</v>
      </c>
      <c r="EZ86" s="13">
        <f t="shared" si="208"/>
        <v>0.24056603773584895</v>
      </c>
      <c r="FA86" s="1">
        <v>316878.94573937671</v>
      </c>
      <c r="FB86" s="13">
        <f t="shared" si="209"/>
        <v>1.5673835831451655E-2</v>
      </c>
      <c r="FC86" s="1">
        <v>239</v>
      </c>
      <c r="FD86" s="13">
        <f t="shared" si="210"/>
        <v>-9.125475285171103E-2</v>
      </c>
      <c r="FE86" s="1">
        <v>317651.76651788689</v>
      </c>
      <c r="FF86" s="13">
        <f t="shared" si="211"/>
        <v>2.4388517725812964E-3</v>
      </c>
      <c r="FG86" s="1">
        <v>247</v>
      </c>
      <c r="FH86" s="13">
        <f t="shared" si="212"/>
        <v>3.3472803347280422E-2</v>
      </c>
      <c r="FI86" s="1">
        <v>317050.72416948457</v>
      </c>
      <c r="FJ86" s="13">
        <f t="shared" si="213"/>
        <v>-1.8921423135497273E-3</v>
      </c>
      <c r="FK86" s="1">
        <v>282</v>
      </c>
      <c r="FL86" s="13">
        <f t="shared" si="214"/>
        <v>0.14170040485829949</v>
      </c>
      <c r="FM86" s="1">
        <v>318644.54048142431</v>
      </c>
      <c r="FN86" s="13">
        <f t="shared" si="215"/>
        <v>5.0270073222975498E-3</v>
      </c>
      <c r="FO86" s="1">
        <v>320</v>
      </c>
      <c r="FP86" s="13">
        <f t="shared" si="216"/>
        <v>0.13475177304964547</v>
      </c>
      <c r="FQ86" s="1">
        <v>315678.96120775701</v>
      </c>
      <c r="FR86" s="13">
        <f t="shared" si="217"/>
        <v>-9.3068573187752301E-3</v>
      </c>
      <c r="FS86">
        <v>329</v>
      </c>
      <c r="FT86" s="13">
        <f t="shared" si="218"/>
        <v>2.8124999999999956E-2</v>
      </c>
      <c r="FU86" s="1">
        <v>314564.85848299268</v>
      </c>
      <c r="FV86" s="13">
        <f t="shared" si="219"/>
        <v>-3.5292270365496758E-3</v>
      </c>
      <c r="FW86" s="1">
        <v>338</v>
      </c>
      <c r="FX86" s="13">
        <f t="shared" si="220"/>
        <v>2.7355623100304038E-2</v>
      </c>
      <c r="FY86" s="1">
        <v>312774.86293716822</v>
      </c>
      <c r="FZ86" s="13">
        <f t="shared" si="221"/>
        <v>-5.6903862512068804E-3</v>
      </c>
      <c r="GA86" s="1">
        <v>312</v>
      </c>
      <c r="GB86" s="13">
        <f t="shared" si="222"/>
        <v>-7.6923076923076872E-2</v>
      </c>
      <c r="GC86" s="1">
        <v>313569.31422573893</v>
      </c>
      <c r="GD86" s="13">
        <f t="shared" si="223"/>
        <v>2.5400100286521177E-3</v>
      </c>
      <c r="GE86" s="1">
        <v>281</v>
      </c>
      <c r="GF86" s="13">
        <f t="shared" si="224"/>
        <v>-9.9358974358974339E-2</v>
      </c>
      <c r="GG86" s="1">
        <f>IFERROR(VLOOKUP(A86,[3]Москва_продажа_районы!$C$2:$F$149,3,0),"")</f>
        <v>314206.68660897069</v>
      </c>
      <c r="GH86" s="13">
        <v>2.0326363400882119E-3</v>
      </c>
      <c r="GI86" s="1">
        <v>296</v>
      </c>
      <c r="GJ86" s="13">
        <f t="shared" si="225"/>
        <v>5.3380782918149405E-2</v>
      </c>
      <c r="GK86" s="1">
        <v>312902.52280841657</v>
      </c>
      <c r="GL86" s="13">
        <f t="shared" si="226"/>
        <v>-4.1506557821194834E-3</v>
      </c>
      <c r="GM86" s="1">
        <v>314</v>
      </c>
      <c r="GN86" s="13">
        <f t="shared" si="227"/>
        <v>6.0810810810810745E-2</v>
      </c>
      <c r="GO86" s="1">
        <v>310528.98844974762</v>
      </c>
      <c r="GP86" s="13">
        <f t="shared" si="228"/>
        <v>-7.585539219580606E-3</v>
      </c>
      <c r="GQ86" s="1">
        <v>341.33000000000004</v>
      </c>
      <c r="GR86" s="13">
        <f t="shared" si="229"/>
        <v>8.7038216560509696E-2</v>
      </c>
      <c r="GS86" s="1">
        <v>312571.17644622858</v>
      </c>
      <c r="GT86" s="13">
        <f t="shared" si="250"/>
        <v>6.5764810128554618E-3</v>
      </c>
      <c r="GU86">
        <v>330</v>
      </c>
      <c r="GV86" s="13">
        <f t="shared" si="251"/>
        <v>-3.3193683532065865E-2</v>
      </c>
      <c r="GW86">
        <v>312742.89228695427</v>
      </c>
      <c r="GX86" s="13">
        <f t="shared" si="230"/>
        <v>5.4936556427898076E-4</v>
      </c>
      <c r="GY86">
        <v>299</v>
      </c>
      <c r="GZ86" s="13">
        <f t="shared" si="231"/>
        <v>-9.3939393939393989E-2</v>
      </c>
      <c r="HA86">
        <v>316552.76193722128</v>
      </c>
      <c r="HB86" s="13">
        <v>1.2182114267752286E-2</v>
      </c>
      <c r="HC86">
        <v>259</v>
      </c>
      <c r="HD86" s="13">
        <v>-0.13377926421404684</v>
      </c>
      <c r="HE86">
        <v>325316.19838098157</v>
      </c>
      <c r="HF86" s="13">
        <v>2.7683967721937819E-2</v>
      </c>
      <c r="HG86">
        <v>256</v>
      </c>
      <c r="HH86" s="13">
        <v>-1.158301158301156E-2</v>
      </c>
      <c r="HI86">
        <f>VLOOKUP(A86,[4]Москва_продажа_районы!$C$4:$F$151,3,0)</f>
        <v>325330.1864808356</v>
      </c>
      <c r="HJ86" s="13">
        <f t="shared" si="232"/>
        <v>4.2998473250399627E-5</v>
      </c>
      <c r="HK86">
        <f>VLOOKUP(A86,[4]Москва_продажа_районы!$C$4:$F$151,2,0)</f>
        <v>268</v>
      </c>
      <c r="HL86" s="13">
        <f t="shared" si="233"/>
        <v>4.6875E-2</v>
      </c>
      <c r="HM86" s="1">
        <f>VLOOKUP(A86,Лист3!$C$4:$F$149,3,0)</f>
        <v>321484.03469322028</v>
      </c>
      <c r="HN86" s="13">
        <f t="shared" si="234"/>
        <v>-1.1822302225378944E-2</v>
      </c>
      <c r="HO86">
        <f>VLOOKUP(A86,Лист3!$C$4:$F$149,2,0)</f>
        <v>244</v>
      </c>
      <c r="HP86" s="13">
        <f t="shared" si="235"/>
        <v>-8.9552238805970186E-2</v>
      </c>
      <c r="HQ86" s="1">
        <v>319347.64790601289</v>
      </c>
      <c r="HR86" s="13">
        <v>-6.6453899934597604E-3</v>
      </c>
      <c r="HS86">
        <v>241</v>
      </c>
      <c r="HT86" s="13">
        <v>-1.2295081967213073E-2</v>
      </c>
      <c r="HU86" s="34">
        <v>317454.81270890619</v>
      </c>
      <c r="HV86" s="13">
        <v>-5.9271931686930568E-3</v>
      </c>
      <c r="HW86">
        <v>225</v>
      </c>
      <c r="HX86" s="13">
        <v>-6.639004149377592E-2</v>
      </c>
      <c r="HY86">
        <v>321447.35351516842</v>
      </c>
      <c r="HZ86" s="13">
        <v>1.2576721619663278E-2</v>
      </c>
      <c r="IA86">
        <v>222</v>
      </c>
      <c r="IB86" s="13">
        <v>-1.3333333333333308E-2</v>
      </c>
      <c r="IC86" s="34">
        <v>329506.28018727509</v>
      </c>
      <c r="ID86" s="13">
        <v>2.5070751350038334E-2</v>
      </c>
      <c r="IE86">
        <v>216</v>
      </c>
      <c r="IF86" s="13">
        <v>-2.7027027027026973E-2</v>
      </c>
    </row>
    <row r="87" spans="1:240" x14ac:dyDescent="0.3">
      <c r="A87" s="23" t="s">
        <v>98</v>
      </c>
      <c r="B87" s="22">
        <v>236491.42106400602</v>
      </c>
      <c r="C87">
        <v>654</v>
      </c>
      <c r="D87" s="22">
        <v>237913.42830423597</v>
      </c>
      <c r="E87">
        <v>661</v>
      </c>
      <c r="F87" s="22">
        <v>256836.11790058576</v>
      </c>
      <c r="G87">
        <v>478</v>
      </c>
      <c r="H87" s="22">
        <v>246072.5777076697</v>
      </c>
      <c r="I87">
        <v>490</v>
      </c>
      <c r="J87" s="22">
        <v>242968.61341455221</v>
      </c>
      <c r="K87">
        <v>598</v>
      </c>
      <c r="L87" s="22">
        <v>238814.60466897205</v>
      </c>
      <c r="M87">
        <v>602</v>
      </c>
      <c r="N87" s="22">
        <v>238599.86138402202</v>
      </c>
      <c r="O87" s="28">
        <v>604</v>
      </c>
      <c r="P87" s="35">
        <v>250772.13262985818</v>
      </c>
      <c r="Q87" s="28">
        <v>583</v>
      </c>
      <c r="R87" s="35">
        <v>260982.64415895368</v>
      </c>
      <c r="S87">
        <v>597</v>
      </c>
      <c r="T87" s="46">
        <v>271287.38518352603</v>
      </c>
      <c r="U87" s="47">
        <v>549</v>
      </c>
      <c r="V87" s="56">
        <v>274448.07832977572</v>
      </c>
      <c r="W87" s="47">
        <v>506</v>
      </c>
      <c r="X87" s="56">
        <v>275104.04202176142</v>
      </c>
      <c r="Y87" s="47">
        <v>486</v>
      </c>
      <c r="Z87" s="34">
        <v>275560.76069733687</v>
      </c>
      <c r="AA87" s="81">
        <v>553</v>
      </c>
      <c r="AB87" s="1">
        <v>279023.64278378157</v>
      </c>
      <c r="AC87">
        <v>497</v>
      </c>
      <c r="AD87" s="1">
        <v>284101.65164518717</v>
      </c>
      <c r="AE87">
        <v>506</v>
      </c>
      <c r="AF87" s="13">
        <f t="shared" si="180"/>
        <v>3.270620655844092E-2</v>
      </c>
      <c r="AG87" s="85">
        <f t="shared" si="252"/>
        <v>0.22589285714285715</v>
      </c>
      <c r="AH87" s="35">
        <f t="shared" si="253"/>
        <v>22.589285714285715</v>
      </c>
      <c r="AI87" s="87">
        <f t="shared" si="254"/>
        <v>528.58928571428567</v>
      </c>
      <c r="AL87" s="1">
        <v>287250.75930276129</v>
      </c>
      <c r="AM87">
        <v>516</v>
      </c>
      <c r="AN87" s="13">
        <f t="shared" si="255"/>
        <v>0.22963951935914553</v>
      </c>
      <c r="AQ87" s="35">
        <f t="shared" si="256"/>
        <v>19.060080106809078</v>
      </c>
      <c r="AR87" s="87">
        <f t="shared" si="257"/>
        <v>535.0600801068091</v>
      </c>
      <c r="AS87">
        <v>523</v>
      </c>
      <c r="AT87" s="1">
        <v>293450.59464222478</v>
      </c>
      <c r="AU87" s="13">
        <f t="shared" si="258"/>
        <v>2.1583355791686021E-2</v>
      </c>
      <c r="AV87">
        <v>490</v>
      </c>
      <c r="AW87" s="1">
        <v>300503.50956995221</v>
      </c>
      <c r="AX87" s="35">
        <v>507.25203950193213</v>
      </c>
      <c r="AY87" s="121">
        <v>303532.53561751841</v>
      </c>
      <c r="AZ87" s="122">
        <v>526</v>
      </c>
      <c r="BA87" s="119">
        <v>307416.48908880219</v>
      </c>
      <c r="BB87">
        <v>555</v>
      </c>
      <c r="BC87" s="125">
        <f t="shared" si="259"/>
        <v>1.2795839046980895E-2</v>
      </c>
      <c r="BD87">
        <v>622</v>
      </c>
      <c r="BE87" s="1">
        <v>313413.04055220057</v>
      </c>
      <c r="BF87" s="13">
        <f t="shared" si="236"/>
        <v>1.9506277887606061E-2</v>
      </c>
      <c r="BG87">
        <v>590</v>
      </c>
      <c r="BH87" s="1">
        <v>314035.78483075148</v>
      </c>
      <c r="BI87" s="13">
        <f t="shared" si="123"/>
        <v>1.9869762836086657E-3</v>
      </c>
      <c r="BJ87">
        <v>544</v>
      </c>
      <c r="BK87" s="1">
        <v>323588.83382554649</v>
      </c>
      <c r="BL87" s="13">
        <f t="shared" si="237"/>
        <v>3.0420256086240549E-2</v>
      </c>
      <c r="BM87" s="1">
        <v>329023.55498786632</v>
      </c>
      <c r="BN87" s="109">
        <f t="shared" si="238"/>
        <v>1.6795144313446198E-2</v>
      </c>
      <c r="BO87">
        <v>484</v>
      </c>
      <c r="BP87" s="13">
        <f t="shared" si="239"/>
        <v>-0.11029411764705888</v>
      </c>
      <c r="BQ87" s="1">
        <v>340586.00608639658</v>
      </c>
      <c r="BR87" s="13">
        <f t="shared" si="178"/>
        <v>3.5141712267246827E-2</v>
      </c>
      <c r="BS87">
        <v>549</v>
      </c>
      <c r="BT87" s="13">
        <f t="shared" si="179"/>
        <v>0.13429752066115697</v>
      </c>
      <c r="BU87" s="1">
        <v>361398.33355251042</v>
      </c>
      <c r="BV87" s="13">
        <f t="shared" si="240"/>
        <v>6.1107406335521475E-2</v>
      </c>
      <c r="BW87">
        <v>509</v>
      </c>
      <c r="BX87" s="13">
        <f t="shared" si="241"/>
        <v>-7.2859744990892539E-2</v>
      </c>
      <c r="BY87" s="1">
        <v>358532.78820899967</v>
      </c>
      <c r="BZ87" s="13">
        <f t="shared" si="242"/>
        <v>-7.9290496869277582E-3</v>
      </c>
      <c r="CA87">
        <v>446</v>
      </c>
      <c r="CB87" s="13">
        <f t="shared" si="243"/>
        <v>-0.12377210216110024</v>
      </c>
      <c r="CC87" s="1">
        <v>355234.57163237309</v>
      </c>
      <c r="CD87" s="13">
        <f t="shared" si="244"/>
        <v>-9.199204884725809E-3</v>
      </c>
      <c r="CE87">
        <v>556</v>
      </c>
      <c r="CF87" s="13">
        <f t="shared" si="245"/>
        <v>0.24663677130044848</v>
      </c>
      <c r="CG87" s="1">
        <v>350298.08361528593</v>
      </c>
      <c r="CH87" s="13">
        <f t="shared" si="246"/>
        <v>-1.3896417779392989E-2</v>
      </c>
      <c r="CI87">
        <v>622</v>
      </c>
      <c r="CJ87" s="13">
        <f t="shared" si="247"/>
        <v>0.11870503597122295</v>
      </c>
      <c r="CK87" s="1">
        <v>342037.36128284183</v>
      </c>
      <c r="CL87" s="13">
        <f t="shared" si="248"/>
        <v>-2.3581979801854724E-2</v>
      </c>
      <c r="CM87">
        <v>650</v>
      </c>
      <c r="CN87" s="13">
        <f t="shared" si="249"/>
        <v>4.5016077170418001E-2</v>
      </c>
      <c r="CO87" s="1">
        <v>342436.37859054143</v>
      </c>
      <c r="CP87" s="13">
        <v>1.1665898315993406E-3</v>
      </c>
      <c r="CQ87">
        <v>665</v>
      </c>
      <c r="CR87" s="13">
        <v>2.3076923076922995E-2</v>
      </c>
      <c r="CS87" s="1">
        <v>337513.99476337788</v>
      </c>
      <c r="CT87" s="13">
        <f t="shared" si="181"/>
        <v>-1.4374593749133635E-2</v>
      </c>
      <c r="CU87">
        <v>736</v>
      </c>
      <c r="CV87" s="13">
        <f t="shared" si="182"/>
        <v>0.10676691729323307</v>
      </c>
      <c r="CW87" s="1">
        <v>336391.12422325072</v>
      </c>
      <c r="CX87" s="13">
        <f t="shared" si="183"/>
        <v>-3.3268858700640225E-3</v>
      </c>
      <c r="CY87">
        <v>744</v>
      </c>
      <c r="CZ87" s="13">
        <f t="shared" si="184"/>
        <v>1.0869565217391353E-2</v>
      </c>
      <c r="DA87" s="1">
        <v>330841.89047785627</v>
      </c>
      <c r="DB87" s="13">
        <f t="shared" si="185"/>
        <v>-1.6496373851147217E-2</v>
      </c>
      <c r="DC87">
        <v>739</v>
      </c>
      <c r="DD87" s="13">
        <f t="shared" si="186"/>
        <v>-6.7204301075268758E-3</v>
      </c>
      <c r="DE87" s="1">
        <v>330804.5332643672</v>
      </c>
      <c r="DF87" s="13">
        <f t="shared" si="187"/>
        <v>-1.1291560882786822E-4</v>
      </c>
      <c r="DG87" s="1">
        <v>728</v>
      </c>
      <c r="DH87" s="13">
        <f t="shared" si="188"/>
        <v>-1.4884979702300405E-2</v>
      </c>
      <c r="DI87" s="1">
        <v>336823.67117679899</v>
      </c>
      <c r="DJ87" s="13">
        <f t="shared" si="189"/>
        <v>1.8195451715957933E-2</v>
      </c>
      <c r="DK87" s="1">
        <v>683</v>
      </c>
      <c r="DL87" s="13">
        <f t="shared" si="190"/>
        <v>-6.1813186813186816E-2</v>
      </c>
      <c r="DM87" s="1">
        <v>334463.86079667072</v>
      </c>
      <c r="DN87" s="13">
        <f t="shared" si="191"/>
        <v>-7.0060704815773089E-3</v>
      </c>
      <c r="DO87" s="1">
        <v>707</v>
      </c>
      <c r="DP87" s="13">
        <f t="shared" si="192"/>
        <v>3.5139092240117131E-2</v>
      </c>
      <c r="DQ87" s="1">
        <v>334372.61790946411</v>
      </c>
      <c r="DR87" s="13">
        <f t="shared" si="193"/>
        <v>-2.728034263231871E-4</v>
      </c>
      <c r="DS87">
        <v>719</v>
      </c>
      <c r="DT87" s="13">
        <f t="shared" si="194"/>
        <v>1.6973125884016893E-2</v>
      </c>
      <c r="DU87" s="1">
        <v>343421.05017683818</v>
      </c>
      <c r="DV87" s="13">
        <f t="shared" si="195"/>
        <v>2.7060924796850516E-2</v>
      </c>
      <c r="DW87">
        <v>711</v>
      </c>
      <c r="DX87" s="13">
        <f t="shared" si="196"/>
        <v>-1.1126564673157202E-2</v>
      </c>
      <c r="DY87" s="1">
        <v>352794.72624674533</v>
      </c>
      <c r="DZ87" s="13">
        <f t="shared" si="197"/>
        <v>2.72949956477051E-2</v>
      </c>
      <c r="EA87" s="1">
        <v>688</v>
      </c>
      <c r="EB87" s="13">
        <f t="shared" si="198"/>
        <v>-3.234880450070321E-2</v>
      </c>
      <c r="EC87" s="1">
        <v>356870.27647562092</v>
      </c>
      <c r="ED87" s="13">
        <f t="shared" si="199"/>
        <v>1.1552185805705939E-2</v>
      </c>
      <c r="EE87" s="1">
        <f>IFERROR(VLOOKUP($A87,[1]Москва_продажа_районы!$C$2:$F$148,2,0),"")</f>
        <v>675</v>
      </c>
      <c r="EF87" s="13">
        <v>-1.8895348837209336E-2</v>
      </c>
      <c r="EG87" s="1">
        <v>364703.0485885836</v>
      </c>
      <c r="EH87" s="13">
        <f t="shared" si="200"/>
        <v>2.1948513589636898E-2</v>
      </c>
      <c r="EI87" s="1">
        <f>IFERROR(VLOOKUP($A87,[2]Москва_продажа_районы!$C$2:$F$150,2,0),"")</f>
        <v>654</v>
      </c>
      <c r="EJ87" s="13">
        <v>-3.1111111111111089E-2</v>
      </c>
      <c r="EK87" s="1">
        <v>378187.55045355728</v>
      </c>
      <c r="EL87" s="13">
        <f t="shared" si="201"/>
        <v>3.6973921433229862E-2</v>
      </c>
      <c r="EM87">
        <v>610</v>
      </c>
      <c r="EN87" s="13">
        <f t="shared" si="202"/>
        <v>-6.7278287461773667E-2</v>
      </c>
      <c r="EO87" s="1">
        <v>380657.54225126578</v>
      </c>
      <c r="EP87" s="13">
        <f t="shared" si="203"/>
        <v>6.5311293159868722E-3</v>
      </c>
      <c r="EQ87">
        <v>593</v>
      </c>
      <c r="ER87" s="13">
        <f t="shared" si="204"/>
        <v>-2.786885245901638E-2</v>
      </c>
      <c r="ES87" s="183">
        <v>380940.23006363813</v>
      </c>
      <c r="ET87" s="13">
        <f t="shared" si="205"/>
        <v>7.4263026735388316E-4</v>
      </c>
      <c r="EU87">
        <v>583</v>
      </c>
      <c r="EV87" s="13">
        <f t="shared" si="206"/>
        <v>-1.6863406408094472E-2</v>
      </c>
      <c r="EW87" s="183">
        <v>402140.60941108322</v>
      </c>
      <c r="EX87" s="13">
        <f t="shared" si="207"/>
        <v>5.565277089244014E-2</v>
      </c>
      <c r="EY87">
        <v>596</v>
      </c>
      <c r="EZ87" s="13">
        <f t="shared" si="208"/>
        <v>2.2298456260720467E-2</v>
      </c>
      <c r="FA87" s="1">
        <v>403207.54733183043</v>
      </c>
      <c r="FB87" s="13">
        <f t="shared" si="209"/>
        <v>2.6531464263450655E-3</v>
      </c>
      <c r="FC87" s="1">
        <v>523</v>
      </c>
      <c r="FD87" s="13">
        <f t="shared" si="210"/>
        <v>-0.12248322147651003</v>
      </c>
      <c r="FE87" s="1">
        <v>402707.23161471018</v>
      </c>
      <c r="FF87" s="13">
        <f t="shared" si="211"/>
        <v>-1.240839166903096E-3</v>
      </c>
      <c r="FG87" s="1">
        <v>511</v>
      </c>
      <c r="FH87" s="13">
        <f t="shared" si="212"/>
        <v>-2.2944550669216079E-2</v>
      </c>
      <c r="FI87" s="1">
        <v>405022.54638985178</v>
      </c>
      <c r="FJ87" s="13">
        <f t="shared" si="213"/>
        <v>5.7493747153682939E-3</v>
      </c>
      <c r="FK87" s="1">
        <v>594</v>
      </c>
      <c r="FL87" s="13">
        <f t="shared" si="214"/>
        <v>0.16242661448140905</v>
      </c>
      <c r="FM87" s="1">
        <v>405328.05300594692</v>
      </c>
      <c r="FN87" s="13">
        <f t="shared" si="215"/>
        <v>7.5429533199633525E-4</v>
      </c>
      <c r="FO87" s="1">
        <v>661</v>
      </c>
      <c r="FP87" s="13">
        <f t="shared" si="216"/>
        <v>0.11279461279461289</v>
      </c>
      <c r="FQ87" s="1">
        <v>407781.75886462082</v>
      </c>
      <c r="FR87" s="13">
        <f t="shared" si="217"/>
        <v>6.0536294995547912E-3</v>
      </c>
      <c r="FS87">
        <v>711</v>
      </c>
      <c r="FT87" s="13">
        <f t="shared" si="218"/>
        <v>7.5642965204236079E-2</v>
      </c>
      <c r="FU87" s="1">
        <v>403832.19714983943</v>
      </c>
      <c r="FV87" s="13">
        <f t="shared" si="219"/>
        <v>-9.685479129272645E-3</v>
      </c>
      <c r="FW87" s="1">
        <v>649</v>
      </c>
      <c r="FX87" s="13">
        <f t="shared" si="220"/>
        <v>-8.7201125175808691E-2</v>
      </c>
      <c r="FY87" s="1">
        <v>407160.24295305659</v>
      </c>
      <c r="FZ87" s="13">
        <f t="shared" si="221"/>
        <v>8.241160132118619E-3</v>
      </c>
      <c r="GA87" s="1">
        <v>658</v>
      </c>
      <c r="GB87" s="13">
        <f t="shared" si="222"/>
        <v>1.3867488443759735E-2</v>
      </c>
      <c r="GC87" s="1">
        <v>412607.38352979999</v>
      </c>
      <c r="GD87" s="13">
        <f t="shared" si="223"/>
        <v>1.3378370484397717E-2</v>
      </c>
      <c r="GE87" s="1">
        <v>673</v>
      </c>
      <c r="GF87" s="13">
        <f t="shared" si="224"/>
        <v>2.2796352583586588E-2</v>
      </c>
      <c r="GG87" s="1">
        <f>IFERROR(VLOOKUP(A87,[3]Москва_продажа_районы!$C$2:$F$149,3,0),"")</f>
        <v>401939.05103736109</v>
      </c>
      <c r="GH87" s="13">
        <v>-2.5855893322055401E-2</v>
      </c>
      <c r="GI87" s="1">
        <v>632</v>
      </c>
      <c r="GJ87" s="13">
        <f t="shared" si="225"/>
        <v>-6.0921248142644879E-2</v>
      </c>
      <c r="GK87" s="1">
        <v>404484.5281377986</v>
      </c>
      <c r="GL87" s="13">
        <f t="shared" si="226"/>
        <v>6.3329927606383674E-3</v>
      </c>
      <c r="GM87" s="1">
        <v>659</v>
      </c>
      <c r="GN87" s="13">
        <f t="shared" si="227"/>
        <v>4.2721518987341778E-2</v>
      </c>
      <c r="GO87" s="1">
        <v>392103.17699101218</v>
      </c>
      <c r="GP87" s="13">
        <f t="shared" si="228"/>
        <v>-3.0610197141009987E-2</v>
      </c>
      <c r="GQ87" s="1">
        <v>621.67000000000007</v>
      </c>
      <c r="GR87" s="13">
        <f t="shared" si="229"/>
        <v>-5.6646433990895195E-2</v>
      </c>
      <c r="GS87" s="1">
        <v>386024.80454154551</v>
      </c>
      <c r="GT87" s="13">
        <f t="shared" si="250"/>
        <v>-1.5501971945526938E-2</v>
      </c>
      <c r="GU87">
        <v>605</v>
      </c>
      <c r="GV87" s="13">
        <f t="shared" si="251"/>
        <v>-2.6814869625364057E-2</v>
      </c>
      <c r="GW87">
        <v>385381.16575751192</v>
      </c>
      <c r="GX87" s="13">
        <f t="shared" si="230"/>
        <v>-1.6673508449748242E-3</v>
      </c>
      <c r="GY87">
        <v>523</v>
      </c>
      <c r="GZ87" s="13">
        <f t="shared" si="231"/>
        <v>-0.13553719008264464</v>
      </c>
      <c r="HA87">
        <v>384550.37818553828</v>
      </c>
      <c r="HB87" s="13">
        <v>-2.1557555111459958E-3</v>
      </c>
      <c r="HC87">
        <v>467</v>
      </c>
      <c r="HD87" s="13">
        <v>-0.107074569789675</v>
      </c>
      <c r="HE87">
        <v>387966.5556309371</v>
      </c>
      <c r="HF87" s="13">
        <v>8.8835628286667578E-3</v>
      </c>
      <c r="HG87">
        <v>490</v>
      </c>
      <c r="HH87" s="13">
        <v>4.9250535331905709E-2</v>
      </c>
      <c r="HI87">
        <f>VLOOKUP(A87,[4]Москва_продажа_районы!$C$4:$F$151,3,0)</f>
        <v>393529.91829732852</v>
      </c>
      <c r="HJ87" s="13">
        <f t="shared" si="232"/>
        <v>1.4339799618407589E-2</v>
      </c>
      <c r="HK87">
        <f>VLOOKUP(A87,[4]Москва_продажа_районы!$C$4:$F$151,2,0)</f>
        <v>484</v>
      </c>
      <c r="HL87" s="13">
        <f t="shared" si="233"/>
        <v>-1.2244897959183709E-2</v>
      </c>
      <c r="HM87" s="1">
        <f>VLOOKUP(A87,Лист3!$C$4:$F$149,3,0)</f>
        <v>391485.51432944072</v>
      </c>
      <c r="HN87" s="13">
        <f t="shared" si="234"/>
        <v>-5.1950407652187058E-3</v>
      </c>
      <c r="HO87">
        <f>VLOOKUP(A87,Лист3!$C$4:$F$149,2,0)</f>
        <v>459</v>
      </c>
      <c r="HP87" s="13">
        <f t="shared" si="235"/>
        <v>-5.1652892561983466E-2</v>
      </c>
      <c r="HQ87" s="1">
        <v>398307.07112683589</v>
      </c>
      <c r="HR87" s="13">
        <v>1.7424800018666087E-2</v>
      </c>
      <c r="HS87">
        <v>477</v>
      </c>
      <c r="HT87" s="13">
        <v>3.9215686274509887E-2</v>
      </c>
      <c r="HU87" s="34">
        <v>398843.05898730719</v>
      </c>
      <c r="HV87" s="13">
        <v>1.3456649387493247E-3</v>
      </c>
      <c r="HW87">
        <v>440</v>
      </c>
      <c r="HX87" s="13">
        <v>-7.7568134171907777E-2</v>
      </c>
      <c r="HY87">
        <v>395323.2646082128</v>
      </c>
      <c r="HZ87" s="13">
        <v>-8.8250109906172769E-3</v>
      </c>
      <c r="IA87">
        <v>476</v>
      </c>
      <c r="IB87" s="13">
        <v>8.181818181818179E-2</v>
      </c>
      <c r="IC87" s="34">
        <v>399592.21782287222</v>
      </c>
      <c r="ID87" s="13">
        <v>1.0798638979393704E-2</v>
      </c>
      <c r="IE87">
        <v>460</v>
      </c>
      <c r="IF87" s="13">
        <v>-3.3613445378151252E-2</v>
      </c>
    </row>
    <row r="88" spans="1:240" x14ac:dyDescent="0.3">
      <c r="A88" s="23" t="s">
        <v>99</v>
      </c>
      <c r="B88" s="22">
        <v>217757.99473913052</v>
      </c>
      <c r="C88">
        <v>322</v>
      </c>
      <c r="D88" s="22">
        <v>221829.28505294127</v>
      </c>
      <c r="E88">
        <v>306</v>
      </c>
      <c r="F88" s="22">
        <v>229093.34473971295</v>
      </c>
      <c r="G88">
        <v>209</v>
      </c>
      <c r="H88" s="22">
        <v>227958.75576562231</v>
      </c>
      <c r="I88">
        <v>233</v>
      </c>
      <c r="J88" s="22">
        <v>226745.86655473802</v>
      </c>
      <c r="K88">
        <v>287</v>
      </c>
      <c r="L88" s="22">
        <v>229253.07327512529</v>
      </c>
      <c r="M88">
        <v>314</v>
      </c>
      <c r="N88" s="22">
        <v>233286.51075520981</v>
      </c>
      <c r="O88" s="28">
        <v>262</v>
      </c>
      <c r="P88" s="35">
        <v>237408.63641471314</v>
      </c>
      <c r="Q88" s="28">
        <v>250</v>
      </c>
      <c r="R88" s="35">
        <v>240906.06101240826</v>
      </c>
      <c r="S88">
        <v>230</v>
      </c>
      <c r="T88" s="46">
        <v>248208.27629177523</v>
      </c>
      <c r="U88" s="47">
        <v>203</v>
      </c>
      <c r="V88" s="56">
        <v>263169.32680375897</v>
      </c>
      <c r="W88" s="47">
        <v>203</v>
      </c>
      <c r="X88" s="56">
        <v>268292.63497736771</v>
      </c>
      <c r="Y88" s="47">
        <v>183</v>
      </c>
      <c r="Z88" s="34">
        <v>260431.24274495326</v>
      </c>
      <c r="AA88" s="81">
        <v>222</v>
      </c>
      <c r="AB88" s="1">
        <v>276686.84648315888</v>
      </c>
      <c r="AC88">
        <v>198</v>
      </c>
      <c r="AD88" s="1">
        <v>285068.80757648259</v>
      </c>
      <c r="AE88">
        <v>226</v>
      </c>
      <c r="AF88" s="13">
        <f t="shared" si="180"/>
        <v>6.2529381771997183E-2</v>
      </c>
      <c r="AG88" s="85">
        <f t="shared" si="252"/>
        <v>0.10089285714285715</v>
      </c>
      <c r="AH88" s="35">
        <f t="shared" si="253"/>
        <v>10.089285714285715</v>
      </c>
      <c r="AI88" s="87">
        <f t="shared" si="254"/>
        <v>236.08928571428572</v>
      </c>
      <c r="AL88" s="1">
        <v>289926.51529914013</v>
      </c>
      <c r="AM88">
        <v>230</v>
      </c>
      <c r="AN88" s="13">
        <f t="shared" si="255"/>
        <v>0.10235870048954161</v>
      </c>
      <c r="AQ88" s="35">
        <f t="shared" si="256"/>
        <v>8.4957721406319546</v>
      </c>
      <c r="AR88" s="87">
        <f t="shared" si="257"/>
        <v>238.49577214063194</v>
      </c>
      <c r="AS88">
        <v>272</v>
      </c>
      <c r="AT88" s="1">
        <v>294150.50243526208</v>
      </c>
      <c r="AU88" s="13">
        <f t="shared" si="258"/>
        <v>1.456916464423319E-2</v>
      </c>
      <c r="AV88">
        <v>284</v>
      </c>
      <c r="AW88" s="1">
        <v>292618.07228114462</v>
      </c>
      <c r="AX88" s="35">
        <v>293.99914126234438</v>
      </c>
      <c r="AY88" s="121">
        <v>295612.75297095033</v>
      </c>
      <c r="AZ88" s="122">
        <v>320</v>
      </c>
      <c r="BA88" s="119">
        <v>299847.17578012741</v>
      </c>
      <c r="BB88">
        <v>331</v>
      </c>
      <c r="BC88" s="125">
        <f t="shared" si="259"/>
        <v>1.4324222370721618E-2</v>
      </c>
      <c r="BD88">
        <v>310</v>
      </c>
      <c r="BE88" s="1">
        <v>308342.36153368698</v>
      </c>
      <c r="BF88" s="13">
        <f t="shared" si="236"/>
        <v>2.8331718421083174E-2</v>
      </c>
      <c r="BG88">
        <v>315</v>
      </c>
      <c r="BH88" s="1">
        <v>308055.97898243228</v>
      </c>
      <c r="BI88" s="13">
        <f t="shared" si="123"/>
        <v>-9.2878107902605311E-4</v>
      </c>
      <c r="BJ88">
        <v>299</v>
      </c>
      <c r="BK88" s="1">
        <v>313021.7915299696</v>
      </c>
      <c r="BL88" s="13">
        <f t="shared" si="237"/>
        <v>1.6119838231805739E-2</v>
      </c>
      <c r="BM88" s="1">
        <v>320751.91311052197</v>
      </c>
      <c r="BN88" s="109">
        <f t="shared" si="238"/>
        <v>2.4695154745519643E-2</v>
      </c>
      <c r="BO88">
        <v>282</v>
      </c>
      <c r="BP88" s="13">
        <f t="shared" si="239"/>
        <v>-5.6856187290969862E-2</v>
      </c>
      <c r="BQ88" s="1">
        <v>323979.75885195308</v>
      </c>
      <c r="BR88" s="13">
        <f t="shared" si="178"/>
        <v>1.0063371750861139E-2</v>
      </c>
      <c r="BS88">
        <v>291</v>
      </c>
      <c r="BT88" s="13">
        <f t="shared" si="179"/>
        <v>3.1914893617021267E-2</v>
      </c>
      <c r="BU88" s="1">
        <v>332559.17141461163</v>
      </c>
      <c r="BV88" s="13">
        <f t="shared" si="240"/>
        <v>2.6481322762447634E-2</v>
      </c>
      <c r="BW88">
        <v>280</v>
      </c>
      <c r="BX88" s="13">
        <f t="shared" si="241"/>
        <v>-3.7800687285223344E-2</v>
      </c>
      <c r="BY88" s="1">
        <v>335925.10504620278</v>
      </c>
      <c r="BZ88" s="13">
        <f t="shared" si="242"/>
        <v>1.0121307487246378E-2</v>
      </c>
      <c r="CA88">
        <v>256</v>
      </c>
      <c r="CB88" s="13">
        <f t="shared" si="243"/>
        <v>-8.5714285714285743E-2</v>
      </c>
      <c r="CC88" s="1">
        <v>331722.08927967318</v>
      </c>
      <c r="CD88" s="13">
        <f t="shared" si="244"/>
        <v>-1.2511764388527968E-2</v>
      </c>
      <c r="CE88">
        <v>257</v>
      </c>
      <c r="CF88" s="13">
        <f t="shared" si="245"/>
        <v>3.90625E-3</v>
      </c>
      <c r="CG88" s="1">
        <v>322944.70002034091</v>
      </c>
      <c r="CH88" s="13">
        <f t="shared" si="246"/>
        <v>-2.6460068662874314E-2</v>
      </c>
      <c r="CI88">
        <v>265</v>
      </c>
      <c r="CJ88" s="13">
        <f t="shared" si="247"/>
        <v>3.112840466926059E-2</v>
      </c>
      <c r="CK88" s="1">
        <v>318072.15307914768</v>
      </c>
      <c r="CL88" s="13">
        <f t="shared" si="248"/>
        <v>-1.5087867801782506E-2</v>
      </c>
      <c r="CM88">
        <v>300</v>
      </c>
      <c r="CN88" s="13">
        <f t="shared" si="249"/>
        <v>0.13207547169811318</v>
      </c>
      <c r="CO88" s="1">
        <v>321585.92254455108</v>
      </c>
      <c r="CP88" s="13">
        <v>1.104708296965895E-2</v>
      </c>
      <c r="CQ88">
        <v>321</v>
      </c>
      <c r="CR88" s="13">
        <v>7.0000000000000062E-2</v>
      </c>
      <c r="CS88" s="1">
        <v>321452.25709279801</v>
      </c>
      <c r="CT88" s="13">
        <f t="shared" si="181"/>
        <v>-4.1564459879162019E-4</v>
      </c>
      <c r="CU88">
        <v>361</v>
      </c>
      <c r="CV88" s="13">
        <f t="shared" si="182"/>
        <v>0.12461059190031154</v>
      </c>
      <c r="CW88" s="1">
        <v>314600.59587309632</v>
      </c>
      <c r="CX88" s="13">
        <f t="shared" si="183"/>
        <v>-2.131470869630181E-2</v>
      </c>
      <c r="CY88">
        <v>393</v>
      </c>
      <c r="CZ88" s="13">
        <f t="shared" si="184"/>
        <v>8.8642659279778435E-2</v>
      </c>
      <c r="DA88" s="1">
        <v>304522.85980741697</v>
      </c>
      <c r="DB88" s="13">
        <f t="shared" si="185"/>
        <v>-3.2033429681565195E-2</v>
      </c>
      <c r="DC88">
        <v>375</v>
      </c>
      <c r="DD88" s="13">
        <f t="shared" si="186"/>
        <v>-4.5801526717557217E-2</v>
      </c>
      <c r="DE88" s="1">
        <v>301610.30464629678</v>
      </c>
      <c r="DF88" s="13">
        <f t="shared" si="187"/>
        <v>-9.5643235550924022E-3</v>
      </c>
      <c r="DG88" s="1">
        <v>333</v>
      </c>
      <c r="DH88" s="13">
        <f t="shared" si="188"/>
        <v>-0.11199999999999999</v>
      </c>
      <c r="DI88" s="1">
        <v>306695.26824676618</v>
      </c>
      <c r="DJ88" s="13">
        <f t="shared" si="189"/>
        <v>1.6859382859722327E-2</v>
      </c>
      <c r="DK88" s="1">
        <v>337</v>
      </c>
      <c r="DL88" s="13">
        <f t="shared" si="190"/>
        <v>1.2012012012011963E-2</v>
      </c>
      <c r="DM88" s="1">
        <v>307994.31037754827</v>
      </c>
      <c r="DN88" s="13">
        <f t="shared" si="191"/>
        <v>4.2356119095285916E-3</v>
      </c>
      <c r="DO88" s="1">
        <v>372</v>
      </c>
      <c r="DP88" s="13">
        <f t="shared" si="192"/>
        <v>0.10385756676557856</v>
      </c>
      <c r="DQ88" s="1">
        <v>314586.31748108368</v>
      </c>
      <c r="DR88" s="13">
        <f t="shared" si="193"/>
        <v>2.1403015839658535E-2</v>
      </c>
      <c r="DS88">
        <v>413</v>
      </c>
      <c r="DT88" s="13">
        <f t="shared" si="194"/>
        <v>0.11021505376344076</v>
      </c>
      <c r="DU88" s="1">
        <v>308408.1472486342</v>
      </c>
      <c r="DV88" s="13">
        <f t="shared" si="195"/>
        <v>-1.9639030336470298E-2</v>
      </c>
      <c r="DW88">
        <v>361</v>
      </c>
      <c r="DX88" s="13">
        <f t="shared" si="196"/>
        <v>-0.12590799031476996</v>
      </c>
      <c r="DY88" s="1">
        <v>305847.43958069431</v>
      </c>
      <c r="DZ88" s="13">
        <f t="shared" si="197"/>
        <v>-8.3029832084023925E-3</v>
      </c>
      <c r="EA88" s="1">
        <v>319</v>
      </c>
      <c r="EB88" s="13">
        <f t="shared" si="198"/>
        <v>-0.11634349030470914</v>
      </c>
      <c r="EC88" s="1">
        <v>313483.95385040028</v>
      </c>
      <c r="ED88" s="13">
        <f t="shared" si="199"/>
        <v>2.4968377306592293E-2</v>
      </c>
      <c r="EE88" s="1">
        <f>IFERROR(VLOOKUP($A88,[1]Москва_продажа_районы!$C$2:$F$148,2,0),"")</f>
        <v>323</v>
      </c>
      <c r="EF88" s="13">
        <v>1.2539184952978122E-2</v>
      </c>
      <c r="EG88" s="1">
        <v>316776.62133717717</v>
      </c>
      <c r="EH88" s="13">
        <f t="shared" si="200"/>
        <v>1.050346420074888E-2</v>
      </c>
      <c r="EI88" s="1">
        <f>IFERROR(VLOOKUP($A88,[2]Москва_продажа_районы!$C$2:$F$150,2,0),"")</f>
        <v>301</v>
      </c>
      <c r="EJ88" s="13">
        <v>-6.8111455108359142E-2</v>
      </c>
      <c r="EK88" s="1">
        <v>319783.70804304641</v>
      </c>
      <c r="EL88" s="13">
        <f t="shared" si="201"/>
        <v>9.492767153004289E-3</v>
      </c>
      <c r="EM88">
        <v>270</v>
      </c>
      <c r="EN88" s="13">
        <f t="shared" si="202"/>
        <v>-0.10299003322259137</v>
      </c>
      <c r="EO88" s="1">
        <v>324442.17554879829</v>
      </c>
      <c r="EP88" s="13">
        <f t="shared" si="203"/>
        <v>1.4567557347620719E-2</v>
      </c>
      <c r="EQ88">
        <v>240</v>
      </c>
      <c r="ER88" s="13">
        <f t="shared" si="204"/>
        <v>-0.11111111111111116</v>
      </c>
      <c r="ES88" s="183">
        <v>327502.77992959652</v>
      </c>
      <c r="ET88" s="13">
        <f t="shared" si="205"/>
        <v>9.4334356364771388E-3</v>
      </c>
      <c r="EU88">
        <v>212</v>
      </c>
      <c r="EV88" s="13">
        <f t="shared" si="206"/>
        <v>-0.1166666666666667</v>
      </c>
      <c r="EW88" s="183">
        <v>331254.41494711122</v>
      </c>
      <c r="EX88" s="13">
        <f t="shared" si="207"/>
        <v>1.1455276863058028E-2</v>
      </c>
      <c r="EY88">
        <v>215</v>
      </c>
      <c r="EZ88" s="13">
        <f t="shared" si="208"/>
        <v>1.4150943396226356E-2</v>
      </c>
      <c r="FA88" s="1">
        <v>336880.5263398675</v>
      </c>
      <c r="FB88" s="13">
        <f t="shared" si="209"/>
        <v>1.6984260854771005E-2</v>
      </c>
      <c r="FC88" s="1">
        <v>187</v>
      </c>
      <c r="FD88" s="13">
        <f t="shared" si="210"/>
        <v>-0.13023255813953494</v>
      </c>
      <c r="FE88" s="1">
        <v>339976.52132206492</v>
      </c>
      <c r="FF88" s="13">
        <f t="shared" si="211"/>
        <v>9.1901868470543047E-3</v>
      </c>
      <c r="FG88" s="1">
        <v>197</v>
      </c>
      <c r="FH88" s="13">
        <f t="shared" si="212"/>
        <v>5.3475935828876997E-2</v>
      </c>
      <c r="FI88" s="1">
        <v>333688.68370015168</v>
      </c>
      <c r="FJ88" s="13">
        <f t="shared" si="213"/>
        <v>-1.8494917229759711E-2</v>
      </c>
      <c r="FK88" s="1">
        <v>231</v>
      </c>
      <c r="FL88" s="13">
        <f t="shared" si="214"/>
        <v>0.17258883248730972</v>
      </c>
      <c r="FM88" s="1">
        <v>336865.61384405178</v>
      </c>
      <c r="FN88" s="13">
        <f t="shared" si="215"/>
        <v>9.520640941947045E-3</v>
      </c>
      <c r="FO88" s="1">
        <v>243</v>
      </c>
      <c r="FP88" s="13">
        <f t="shared" si="216"/>
        <v>5.1948051948051965E-2</v>
      </c>
      <c r="FQ88" s="1">
        <v>342721.9883585723</v>
      </c>
      <c r="FR88" s="13">
        <f t="shared" si="217"/>
        <v>1.7384898528799209E-2</v>
      </c>
      <c r="FS88">
        <v>244</v>
      </c>
      <c r="FT88" s="13">
        <f t="shared" si="218"/>
        <v>4.115226337448652E-3</v>
      </c>
      <c r="FU88" s="1">
        <v>349172.25874576392</v>
      </c>
      <c r="FV88" s="13">
        <f t="shared" si="219"/>
        <v>1.8820707763993916E-2</v>
      </c>
      <c r="FW88" s="1">
        <v>251</v>
      </c>
      <c r="FX88" s="13">
        <f t="shared" si="220"/>
        <v>2.8688524590164022E-2</v>
      </c>
      <c r="FY88" s="1">
        <v>341614.70521350432</v>
      </c>
      <c r="FZ88" s="13">
        <f t="shared" si="221"/>
        <v>-2.1644198079786015E-2</v>
      </c>
      <c r="GA88" s="1">
        <v>274</v>
      </c>
      <c r="GB88" s="13">
        <f t="shared" si="222"/>
        <v>9.1633466135458086E-2</v>
      </c>
      <c r="GC88" s="1">
        <v>344121.76746559812</v>
      </c>
      <c r="GD88" s="13">
        <f t="shared" si="223"/>
        <v>7.3388592874739089E-3</v>
      </c>
      <c r="GE88" s="1">
        <v>265</v>
      </c>
      <c r="GF88" s="13">
        <f t="shared" si="224"/>
        <v>-3.2846715328467169E-2</v>
      </c>
      <c r="GG88" s="1">
        <f>IFERROR(VLOOKUP(A88,[3]Москва_продажа_районы!$C$2:$F$149,3,0),"")</f>
        <v>340294.65149563277</v>
      </c>
      <c r="GH88" s="13">
        <v>-1.1121400422157146E-2</v>
      </c>
      <c r="GI88" s="1">
        <v>275</v>
      </c>
      <c r="GJ88" s="13">
        <f t="shared" si="225"/>
        <v>3.7735849056603765E-2</v>
      </c>
      <c r="GK88" s="1">
        <v>340109.92861713888</v>
      </c>
      <c r="GL88" s="13">
        <f t="shared" si="226"/>
        <v>-5.428321534940439E-4</v>
      </c>
      <c r="GM88" s="1">
        <v>284</v>
      </c>
      <c r="GN88" s="13">
        <f t="shared" si="227"/>
        <v>3.2727272727272716E-2</v>
      </c>
      <c r="GO88" s="1">
        <v>346960.82495469699</v>
      </c>
      <c r="GP88" s="13">
        <f t="shared" si="228"/>
        <v>2.0143182427556194E-2</v>
      </c>
      <c r="GQ88" s="1">
        <v>298.53000000000003</v>
      </c>
      <c r="GR88" s="13">
        <f t="shared" si="229"/>
        <v>5.1161971830985919E-2</v>
      </c>
      <c r="GS88" s="1">
        <v>346226.9869958593</v>
      </c>
      <c r="GT88" s="13">
        <f t="shared" si="250"/>
        <v>-2.1150455788012668E-3</v>
      </c>
      <c r="GU88">
        <v>307</v>
      </c>
      <c r="GV88" s="13">
        <f t="shared" si="251"/>
        <v>2.8372357886979449E-2</v>
      </c>
      <c r="GW88">
        <v>346456.40735408018</v>
      </c>
      <c r="GX88" s="13">
        <f t="shared" si="230"/>
        <v>6.6262991285426232E-4</v>
      </c>
      <c r="GY88">
        <v>294</v>
      </c>
      <c r="GZ88" s="13">
        <f t="shared" si="231"/>
        <v>-4.2345276872964188E-2</v>
      </c>
      <c r="HA88">
        <v>356739.55654150661</v>
      </c>
      <c r="HB88" s="13">
        <v>2.9680932345745203E-2</v>
      </c>
      <c r="HC88">
        <v>277</v>
      </c>
      <c r="HD88" s="13">
        <v>-5.7823129251700633E-2</v>
      </c>
      <c r="HE88">
        <v>353552.23110527493</v>
      </c>
      <c r="HF88" s="13">
        <v>-8.934600544811877E-3</v>
      </c>
      <c r="HG88">
        <v>294</v>
      </c>
      <c r="HH88" s="13">
        <v>6.1371841155234641E-2</v>
      </c>
      <c r="HI88">
        <f>VLOOKUP(A88,[4]Москва_продажа_районы!$C$4:$F$151,3,0)</f>
        <v>350842.23448938911</v>
      </c>
      <c r="HJ88" s="13">
        <f t="shared" si="232"/>
        <v>-7.6650530740927092E-3</v>
      </c>
      <c r="HK88">
        <f>VLOOKUP(A88,[4]Москва_продажа_районы!$C$4:$F$151,2,0)</f>
        <v>293</v>
      </c>
      <c r="HL88" s="13">
        <f t="shared" si="233"/>
        <v>-3.4013605442176909E-3</v>
      </c>
      <c r="HM88" s="1">
        <f>VLOOKUP(A88,Лист3!$C$4:$F$149,3,0)</f>
        <v>354815.48038371012</v>
      </c>
      <c r="HN88" s="13">
        <f t="shared" si="234"/>
        <v>1.1324879115832909E-2</v>
      </c>
      <c r="HO88">
        <f>VLOOKUP(A88,Лист3!$C$4:$F$149,2,0)</f>
        <v>293</v>
      </c>
      <c r="HP88" s="13">
        <f t="shared" si="235"/>
        <v>0</v>
      </c>
      <c r="HQ88" s="1">
        <v>354908.1116776776</v>
      </c>
      <c r="HR88" s="13">
        <v>2.6106891916688468E-4</v>
      </c>
      <c r="HS88">
        <v>284</v>
      </c>
      <c r="HT88" s="13">
        <v>-3.0716723549488067E-2</v>
      </c>
      <c r="HU88" s="34">
        <v>358419.19539253839</v>
      </c>
      <c r="HV88" s="13">
        <v>9.8929373528928721E-3</v>
      </c>
      <c r="HW88">
        <v>273</v>
      </c>
      <c r="HX88" s="13">
        <v>-3.8732394366197131E-2</v>
      </c>
      <c r="HY88">
        <v>369828.18961734488</v>
      </c>
      <c r="HZ88" s="13">
        <v>3.1831426361837112E-2</v>
      </c>
      <c r="IA88">
        <v>278</v>
      </c>
      <c r="IB88" s="13">
        <v>1.831501831501825E-2</v>
      </c>
      <c r="IC88" s="34">
        <v>366316.56097016478</v>
      </c>
      <c r="ID88" s="13">
        <v>-9.4952973996209611E-3</v>
      </c>
      <c r="IE88">
        <v>263</v>
      </c>
      <c r="IF88" s="13">
        <v>-5.3956834532374098E-2</v>
      </c>
    </row>
    <row r="89" spans="1:240" ht="15" thickBot="1" x14ac:dyDescent="0.35">
      <c r="A89" s="29" t="s">
        <v>100</v>
      </c>
      <c r="B89" s="30">
        <v>200055.35418567073</v>
      </c>
      <c r="C89" s="31">
        <v>328</v>
      </c>
      <c r="D89" s="30">
        <v>199196.79153224858</v>
      </c>
      <c r="E89" s="31">
        <v>338</v>
      </c>
      <c r="F89" s="30">
        <v>200154.32215508475</v>
      </c>
      <c r="G89" s="31">
        <v>236</v>
      </c>
      <c r="H89" s="30">
        <v>203698.2454268462</v>
      </c>
      <c r="I89" s="31">
        <v>241</v>
      </c>
      <c r="J89" s="30">
        <v>202362.16819405483</v>
      </c>
      <c r="K89" s="31">
        <v>282</v>
      </c>
      <c r="L89" s="30">
        <v>201802.5956090918</v>
      </c>
      <c r="M89" s="31">
        <v>296</v>
      </c>
      <c r="N89" s="30">
        <v>201923.60450559793</v>
      </c>
      <c r="O89" s="32">
        <v>272</v>
      </c>
      <c r="P89" s="37">
        <v>206571.17837591906</v>
      </c>
      <c r="Q89" s="32">
        <v>260</v>
      </c>
      <c r="R89" s="37">
        <v>211695.60055909035</v>
      </c>
      <c r="S89" s="31">
        <v>239</v>
      </c>
      <c r="T89" s="48">
        <v>216666.8493951502</v>
      </c>
      <c r="U89" s="49">
        <v>235</v>
      </c>
      <c r="V89" s="57">
        <v>218578.64469882529</v>
      </c>
      <c r="W89" s="49">
        <v>214</v>
      </c>
      <c r="X89" s="57">
        <v>226156.95898353541</v>
      </c>
      <c r="Y89" s="49">
        <v>205</v>
      </c>
      <c r="Z89" s="34">
        <v>225795.53040529197</v>
      </c>
      <c r="AA89" s="81">
        <v>249</v>
      </c>
      <c r="AB89" s="1">
        <v>236604.30934084879</v>
      </c>
      <c r="AC89">
        <v>234</v>
      </c>
      <c r="AD89" s="1">
        <v>236611.00294763749</v>
      </c>
      <c r="AE89">
        <v>243</v>
      </c>
      <c r="AF89" s="13">
        <f t="shared" si="180"/>
        <v>4.6224728220116917E-2</v>
      </c>
      <c r="AG89" s="85">
        <f t="shared" si="252"/>
        <v>0.10848214285714286</v>
      </c>
      <c r="AH89" s="35">
        <f t="shared" si="253"/>
        <v>10.848214285714286</v>
      </c>
      <c r="AI89" s="88">
        <f t="shared" si="254"/>
        <v>253.84821428571428</v>
      </c>
      <c r="AL89" s="1">
        <v>240645.646782539</v>
      </c>
      <c r="AM89">
        <v>260</v>
      </c>
      <c r="AN89" s="13">
        <f t="shared" si="255"/>
        <v>0.11570983533600356</v>
      </c>
      <c r="AQ89" s="35">
        <f t="shared" si="256"/>
        <v>9.6039163328882946</v>
      </c>
      <c r="AR89" s="88">
        <f t="shared" si="257"/>
        <v>269.60391633288828</v>
      </c>
      <c r="AS89">
        <v>283</v>
      </c>
      <c r="AT89" s="1">
        <v>243133.22736570091</v>
      </c>
      <c r="AU89" s="13">
        <f t="shared" si="258"/>
        <v>1.0337110254937665E-2</v>
      </c>
      <c r="AV89">
        <v>253</v>
      </c>
      <c r="AW89" s="1">
        <v>245191.38341591359</v>
      </c>
      <c r="AX89" s="35">
        <v>261.90768570201806</v>
      </c>
      <c r="AY89" s="123">
        <v>246420.64700462169</v>
      </c>
      <c r="AZ89" s="124">
        <v>253</v>
      </c>
      <c r="BA89" s="119">
        <v>248827.88677220629</v>
      </c>
      <c r="BB89">
        <v>234</v>
      </c>
      <c r="BC89" s="125">
        <f t="shared" si="259"/>
        <v>9.768823338652588E-3</v>
      </c>
      <c r="BD89">
        <v>229</v>
      </c>
      <c r="BE89" s="1">
        <v>253955.721452244</v>
      </c>
      <c r="BF89" s="13">
        <f t="shared" si="236"/>
        <v>2.0607958161587003E-2</v>
      </c>
      <c r="BG89">
        <v>209</v>
      </c>
      <c r="BH89" s="1">
        <v>263356.32755767769</v>
      </c>
      <c r="BI89" s="13">
        <f t="shared" si="123"/>
        <v>3.7016713195813677E-2</v>
      </c>
      <c r="BJ89">
        <v>172</v>
      </c>
      <c r="BK89" s="1">
        <v>269285.62129306531</v>
      </c>
      <c r="BL89" s="13">
        <f t="shared" si="237"/>
        <v>2.2514339375760972E-2</v>
      </c>
      <c r="BM89" s="1">
        <v>270175.38385240041</v>
      </c>
      <c r="BN89" s="109">
        <f t="shared" si="238"/>
        <v>3.304159186304112E-3</v>
      </c>
      <c r="BO89">
        <v>159</v>
      </c>
      <c r="BP89" s="13">
        <f t="shared" si="239"/>
        <v>-7.5581395348837233E-2</v>
      </c>
      <c r="BQ89" s="1">
        <v>280430.37415601331</v>
      </c>
      <c r="BR89" s="13">
        <f t="shared" si="178"/>
        <v>3.795678998355867E-2</v>
      </c>
      <c r="BS89">
        <v>190</v>
      </c>
      <c r="BT89" s="13">
        <f t="shared" si="179"/>
        <v>0.19496855345911945</v>
      </c>
      <c r="BU89" s="1">
        <v>283976.51185320801</v>
      </c>
      <c r="BV89" s="13">
        <f t="shared" si="240"/>
        <v>1.2645340961610074E-2</v>
      </c>
      <c r="BW89">
        <v>195</v>
      </c>
      <c r="BX89" s="13">
        <f t="shared" si="241"/>
        <v>2.6315789473684292E-2</v>
      </c>
      <c r="BY89" s="1">
        <v>283419.53886763769</v>
      </c>
      <c r="BZ89" s="13">
        <f t="shared" si="242"/>
        <v>-1.9613346960829503E-3</v>
      </c>
      <c r="CA89">
        <v>208</v>
      </c>
      <c r="CB89" s="13">
        <f t="shared" si="243"/>
        <v>6.6666666666666652E-2</v>
      </c>
      <c r="CC89" s="1">
        <v>282995.72372614627</v>
      </c>
      <c r="CD89" s="13">
        <f t="shared" si="244"/>
        <v>-1.4953631749762275E-3</v>
      </c>
      <c r="CE89">
        <v>227</v>
      </c>
      <c r="CF89" s="13">
        <f t="shared" si="245"/>
        <v>9.1346153846153744E-2</v>
      </c>
      <c r="CG89" s="1">
        <v>279459.11466109182</v>
      </c>
      <c r="CH89" s="13">
        <f t="shared" si="246"/>
        <v>-1.2497040656617164E-2</v>
      </c>
      <c r="CI89">
        <v>271</v>
      </c>
      <c r="CJ89" s="13">
        <f t="shared" si="247"/>
        <v>0.19383259911894268</v>
      </c>
      <c r="CK89" s="1">
        <v>271133.87280757452</v>
      </c>
      <c r="CL89" s="13">
        <f t="shared" si="248"/>
        <v>-2.9790554026529303E-2</v>
      </c>
      <c r="CM89">
        <v>283</v>
      </c>
      <c r="CN89" s="13">
        <f t="shared" si="249"/>
        <v>4.4280442804428111E-2</v>
      </c>
      <c r="CO89" s="1">
        <v>271908.29270743672</v>
      </c>
      <c r="CP89" s="13">
        <v>2.8562270432799242E-3</v>
      </c>
      <c r="CQ89">
        <v>288</v>
      </c>
      <c r="CR89" s="13">
        <v>1.7667844522968101E-2</v>
      </c>
      <c r="CS89" s="1">
        <v>271961.39845089271</v>
      </c>
      <c r="CT89" s="13">
        <f t="shared" si="181"/>
        <v>1.9530755361385488E-4</v>
      </c>
      <c r="CU89">
        <v>326</v>
      </c>
      <c r="CV89" s="13">
        <f t="shared" si="182"/>
        <v>0.13194444444444442</v>
      </c>
      <c r="CW89" s="1">
        <v>265050.20015803102</v>
      </c>
      <c r="CX89" s="13">
        <f t="shared" si="183"/>
        <v>-2.5412423719793575E-2</v>
      </c>
      <c r="CY89">
        <v>339</v>
      </c>
      <c r="CZ89" s="13">
        <f t="shared" si="184"/>
        <v>3.9877300613496924E-2</v>
      </c>
      <c r="DA89" s="1">
        <v>267852.91150979343</v>
      </c>
      <c r="DB89" s="13">
        <f t="shared" si="185"/>
        <v>1.0574266120498388E-2</v>
      </c>
      <c r="DC89">
        <v>374</v>
      </c>
      <c r="DD89" s="13">
        <f t="shared" si="186"/>
        <v>0.10324483775811211</v>
      </c>
      <c r="DE89" s="1">
        <v>268991.81945488288</v>
      </c>
      <c r="DF89" s="13">
        <f t="shared" si="187"/>
        <v>4.2519901638171653E-3</v>
      </c>
      <c r="DG89" s="1">
        <v>345</v>
      </c>
      <c r="DH89" s="13">
        <f t="shared" si="188"/>
        <v>-7.7540106951871635E-2</v>
      </c>
      <c r="DI89" s="1">
        <v>261943.0582279599</v>
      </c>
      <c r="DJ89" s="13">
        <f t="shared" si="189"/>
        <v>-2.6204370234036989E-2</v>
      </c>
      <c r="DK89" s="1">
        <v>315</v>
      </c>
      <c r="DL89" s="13">
        <f t="shared" si="190"/>
        <v>-8.6956521739130488E-2</v>
      </c>
      <c r="DM89" s="1">
        <v>259117.77499297261</v>
      </c>
      <c r="DN89" s="13">
        <f t="shared" si="191"/>
        <v>-1.0785867944355099E-2</v>
      </c>
      <c r="DO89" s="1">
        <v>336</v>
      </c>
      <c r="DP89" s="13">
        <f t="shared" si="192"/>
        <v>6.6666666666666652E-2</v>
      </c>
      <c r="DQ89" s="1">
        <v>259909.62135068339</v>
      </c>
      <c r="DR89" s="13">
        <f t="shared" si="193"/>
        <v>3.0559322212930784E-3</v>
      </c>
      <c r="DS89">
        <v>357</v>
      </c>
      <c r="DT89" s="13">
        <f t="shared" si="194"/>
        <v>6.25E-2</v>
      </c>
      <c r="DU89" s="1">
        <v>264709.85893606342</v>
      </c>
      <c r="DV89" s="13">
        <f t="shared" si="195"/>
        <v>1.8468872219637111E-2</v>
      </c>
      <c r="DW89">
        <v>326</v>
      </c>
      <c r="DX89" s="13">
        <f t="shared" si="196"/>
        <v>-8.6834733893557448E-2</v>
      </c>
      <c r="DY89" s="1">
        <v>262169.24790521292</v>
      </c>
      <c r="DZ89" s="13">
        <f t="shared" si="197"/>
        <v>-9.5977197111655199E-3</v>
      </c>
      <c r="EA89" s="1">
        <v>322</v>
      </c>
      <c r="EB89" s="13">
        <f t="shared" si="198"/>
        <v>-1.2269938650306789E-2</v>
      </c>
      <c r="EC89" s="1">
        <v>265303.40465559281</v>
      </c>
      <c r="ED89" s="13">
        <f t="shared" si="199"/>
        <v>1.1954707790568397E-2</v>
      </c>
      <c r="EE89" s="1">
        <f>IFERROR(VLOOKUP($A89,[1]Москва_продажа_районы!$C$2:$F$148,2,0),"")</f>
        <v>276</v>
      </c>
      <c r="EF89" s="13">
        <v>-0.1428571428571429</v>
      </c>
      <c r="EG89" s="1">
        <v>270616.25315800798</v>
      </c>
      <c r="EH89" s="13">
        <f t="shared" si="200"/>
        <v>2.0025557189181642E-2</v>
      </c>
      <c r="EI89" s="1">
        <f>IFERROR(VLOOKUP($A89,[2]Москва_продажа_районы!$C$2:$F$150,2,0),"")</f>
        <v>263</v>
      </c>
      <c r="EJ89" s="13">
        <v>-4.7101449275362306E-2</v>
      </c>
      <c r="EK89" s="1">
        <v>277064.44597463403</v>
      </c>
      <c r="EL89" s="13">
        <f t="shared" si="201"/>
        <v>2.3827810567095042E-2</v>
      </c>
      <c r="EM89">
        <v>268</v>
      </c>
      <c r="EN89" s="13">
        <f t="shared" si="202"/>
        <v>1.9011406844106515E-2</v>
      </c>
      <c r="EO89" s="1">
        <v>279186.30726346548</v>
      </c>
      <c r="EP89" s="13">
        <f t="shared" si="203"/>
        <v>7.6583672847929662E-3</v>
      </c>
      <c r="EQ89">
        <v>225</v>
      </c>
      <c r="ER89" s="13">
        <f t="shared" si="204"/>
        <v>-0.16044776119402981</v>
      </c>
      <c r="ES89" s="183">
        <v>283204.29574013042</v>
      </c>
      <c r="ET89" s="13">
        <f t="shared" si="205"/>
        <v>1.4391782018425392E-2</v>
      </c>
      <c r="EU89">
        <v>236</v>
      </c>
      <c r="EV89" s="13">
        <f t="shared" si="206"/>
        <v>4.8888888888888982E-2</v>
      </c>
      <c r="EW89" s="183">
        <v>286187.999425004</v>
      </c>
      <c r="EX89" s="13">
        <f t="shared" si="207"/>
        <v>1.0535517044598208E-2</v>
      </c>
      <c r="EY89">
        <v>219</v>
      </c>
      <c r="EZ89" s="13">
        <f t="shared" si="208"/>
        <v>-7.2033898305084776E-2</v>
      </c>
      <c r="FA89" s="1">
        <v>292205.70025631873</v>
      </c>
      <c r="FB89" s="13">
        <f t="shared" si="209"/>
        <v>2.1027090036637608E-2</v>
      </c>
      <c r="FC89" s="1">
        <v>214</v>
      </c>
      <c r="FD89" s="13">
        <f t="shared" si="210"/>
        <v>-2.2831050228310557E-2</v>
      </c>
      <c r="FE89" s="1">
        <v>297998.23669747438</v>
      </c>
      <c r="FF89" s="13">
        <f t="shared" si="211"/>
        <v>1.9823488850746251E-2</v>
      </c>
      <c r="FG89" s="1">
        <v>236</v>
      </c>
      <c r="FH89" s="13">
        <f t="shared" si="212"/>
        <v>0.10280373831775691</v>
      </c>
      <c r="FI89" s="1">
        <v>292015.63657276041</v>
      </c>
      <c r="FJ89" s="13">
        <f t="shared" si="213"/>
        <v>-2.0075958136582694E-2</v>
      </c>
      <c r="FK89" s="1">
        <v>255</v>
      </c>
      <c r="FL89" s="13">
        <f t="shared" si="214"/>
        <v>8.0508474576271194E-2</v>
      </c>
      <c r="FM89" s="1">
        <v>288804.3916829364</v>
      </c>
      <c r="FN89" s="13">
        <f t="shared" si="215"/>
        <v>-1.0996825127286947E-2</v>
      </c>
      <c r="FO89" s="1">
        <v>272</v>
      </c>
      <c r="FP89" s="13">
        <f t="shared" si="216"/>
        <v>6.6666666666666652E-2</v>
      </c>
      <c r="FQ89" s="1">
        <v>288670.75644622528</v>
      </c>
      <c r="FR89" s="13">
        <f t="shared" si="217"/>
        <v>-4.6271885248139188E-4</v>
      </c>
      <c r="FS89">
        <v>288</v>
      </c>
      <c r="FT89" s="13">
        <f t="shared" si="218"/>
        <v>5.8823529411764719E-2</v>
      </c>
      <c r="FU89" s="1">
        <v>289678.55676590261</v>
      </c>
      <c r="FV89" s="13">
        <f t="shared" si="219"/>
        <v>3.4911756635283009E-3</v>
      </c>
      <c r="FW89" s="1">
        <v>286</v>
      </c>
      <c r="FX89" s="13">
        <f t="shared" si="220"/>
        <v>-6.9444444444444198E-3</v>
      </c>
      <c r="FY89" s="1">
        <v>287873.0093865536</v>
      </c>
      <c r="FZ89" s="13">
        <f t="shared" si="221"/>
        <v>-6.2329341857640941E-3</v>
      </c>
      <c r="GA89" s="1">
        <v>323</v>
      </c>
      <c r="GB89" s="13">
        <f t="shared" si="222"/>
        <v>0.12937062937062938</v>
      </c>
      <c r="GC89" s="1">
        <v>287038.67612417019</v>
      </c>
      <c r="GD89" s="13">
        <f t="shared" si="223"/>
        <v>-2.898268455807429E-3</v>
      </c>
      <c r="GE89" s="1">
        <v>306</v>
      </c>
      <c r="GF89" s="13">
        <f t="shared" si="224"/>
        <v>-5.2631578947368474E-2</v>
      </c>
      <c r="GG89" s="1">
        <f>IFERROR(VLOOKUP(A89,[3]Москва_продажа_районы!$C$2:$F$149,3,0),"")</f>
        <v>290830.25291511492</v>
      </c>
      <c r="GH89" s="13">
        <v>1.3209288874034941E-2</v>
      </c>
      <c r="GI89" s="1">
        <v>309</v>
      </c>
      <c r="GJ89" s="13">
        <f t="shared" si="225"/>
        <v>9.8039215686274161E-3</v>
      </c>
      <c r="GK89" s="1">
        <v>294385.26424137299</v>
      </c>
      <c r="GL89" s="13">
        <f t="shared" si="226"/>
        <v>1.2223664115492472E-2</v>
      </c>
      <c r="GM89" s="1">
        <v>309</v>
      </c>
      <c r="GN89" s="13">
        <f t="shared" si="227"/>
        <v>0</v>
      </c>
      <c r="GO89" s="1">
        <v>292257.6054304089</v>
      </c>
      <c r="GP89" s="13">
        <f t="shared" si="228"/>
        <v>-7.2274636994723584E-3</v>
      </c>
      <c r="GQ89" s="1">
        <v>330.63000000000005</v>
      </c>
      <c r="GR89" s="13">
        <f t="shared" si="229"/>
        <v>7.0000000000000062E-2</v>
      </c>
      <c r="GS89" s="1">
        <v>291084.66946140461</v>
      </c>
      <c r="GT89" s="13">
        <f t="shared" si="250"/>
        <v>-4.0133633726209261E-3</v>
      </c>
      <c r="GU89">
        <v>315</v>
      </c>
      <c r="GV89" s="13">
        <f t="shared" si="251"/>
        <v>-4.7273387169948444E-2</v>
      </c>
      <c r="GW89">
        <v>290128.37261352898</v>
      </c>
      <c r="GX89" s="13">
        <f t="shared" si="230"/>
        <v>-3.2852875750725152E-3</v>
      </c>
      <c r="GY89">
        <v>287</v>
      </c>
      <c r="GZ89" s="13">
        <f t="shared" si="231"/>
        <v>-8.8888888888888906E-2</v>
      </c>
      <c r="HA89">
        <v>295151.01587850798</v>
      </c>
      <c r="HB89" s="13">
        <v>1.7311796222251985E-2</v>
      </c>
      <c r="HC89">
        <v>266</v>
      </c>
      <c r="HD89" s="13">
        <v>-7.3170731707317027E-2</v>
      </c>
      <c r="HE89">
        <v>296331.82123504393</v>
      </c>
      <c r="HF89" s="13">
        <v>4.000682000098621E-3</v>
      </c>
      <c r="HG89">
        <v>287</v>
      </c>
      <c r="HH89" s="13">
        <v>7.8947368421052655E-2</v>
      </c>
      <c r="HI89">
        <f>VLOOKUP(A89,[4]Москва_продажа_районы!$C$4:$F$151,3,0)</f>
        <v>298667.60168461472</v>
      </c>
      <c r="HJ89" s="13">
        <f t="shared" si="232"/>
        <v>7.8823139541199794E-3</v>
      </c>
      <c r="HK89">
        <f>VLOOKUP(A89,[4]Москва_продажа_районы!$C$4:$F$151,2,0)</f>
        <v>272</v>
      </c>
      <c r="HL89" s="13">
        <f t="shared" si="233"/>
        <v>-5.2264808362369353E-2</v>
      </c>
      <c r="HM89" s="1">
        <f>VLOOKUP(A89,Лист3!$C$4:$F$149,3,0)</f>
        <v>302572.97426919121</v>
      </c>
      <c r="HN89" s="13">
        <f t="shared" si="234"/>
        <v>1.3075983342513586E-2</v>
      </c>
      <c r="HO89">
        <f>VLOOKUP(A89,Лист3!$C$4:$F$149,2,0)</f>
        <v>281</v>
      </c>
      <c r="HP89" s="13">
        <f t="shared" si="235"/>
        <v>3.3088235294117752E-2</v>
      </c>
      <c r="HQ89" s="1">
        <v>299627.34616410319</v>
      </c>
      <c r="HR89" s="13">
        <v>-9.7352650619330072E-3</v>
      </c>
      <c r="HS89">
        <v>265</v>
      </c>
      <c r="HT89" s="13">
        <v>-5.6939501779359469E-2</v>
      </c>
      <c r="HU89" s="34">
        <v>299683.72297117271</v>
      </c>
      <c r="HV89" s="13">
        <v>1.8815641426339624E-4</v>
      </c>
      <c r="HW89">
        <v>249</v>
      </c>
      <c r="HX89" s="13">
        <v>-6.0377358490566024E-2</v>
      </c>
      <c r="HY89">
        <v>297264.8631622906</v>
      </c>
      <c r="HZ89" s="13">
        <v>-8.0713753316351555E-3</v>
      </c>
      <c r="IA89">
        <v>242</v>
      </c>
      <c r="IB89" s="13">
        <v>-2.8112449799196804E-2</v>
      </c>
      <c r="IC89" s="34">
        <v>304476.85112152091</v>
      </c>
      <c r="ID89" s="13">
        <v>2.4261151763816047E-2</v>
      </c>
      <c r="IE89">
        <v>244</v>
      </c>
      <c r="IF89" s="13">
        <v>8.2644628099173278E-3</v>
      </c>
    </row>
    <row r="90" spans="1:240" ht="15.6" thickTop="1" thickBot="1" x14ac:dyDescent="0.35">
      <c r="A90" s="229" t="s">
        <v>163</v>
      </c>
      <c r="B90" s="228"/>
      <c r="C90" s="228"/>
      <c r="D90" s="228"/>
      <c r="E90" s="228"/>
      <c r="F90" s="228"/>
      <c r="G90" s="228"/>
      <c r="H90" s="228"/>
      <c r="I90" s="228"/>
      <c r="J90" s="228"/>
      <c r="K90" s="228"/>
      <c r="L90" s="228"/>
      <c r="M90" s="228"/>
      <c r="N90" s="228"/>
      <c r="O90" s="228"/>
      <c r="P90" s="228"/>
      <c r="Q90" s="230"/>
      <c r="V90" s="63"/>
      <c r="W90" s="64"/>
      <c r="AA90" s="81"/>
      <c r="AF90" s="13"/>
      <c r="AL90" s="35"/>
      <c r="BA90" s="119"/>
      <c r="BI90" s="13"/>
      <c r="BL90" s="13"/>
      <c r="BM90" s="34"/>
      <c r="BN90" s="109"/>
      <c r="BP90" s="13"/>
      <c r="BR90" s="13" t="str">
        <f t="shared" si="178"/>
        <v/>
      </c>
      <c r="BT90" s="13" t="str">
        <f t="shared" si="179"/>
        <v/>
      </c>
      <c r="BV90" s="13"/>
      <c r="BX90" s="13"/>
      <c r="BZ90" s="13"/>
      <c r="CB90" s="13"/>
      <c r="CC90" s="1"/>
      <c r="CD90" s="13"/>
      <c r="CF90" s="13"/>
      <c r="CG90" s="1"/>
      <c r="CH90" s="13"/>
      <c r="CJ90" s="13"/>
      <c r="CK90" s="1"/>
      <c r="CL90" s="13"/>
      <c r="CN90" s="13"/>
      <c r="CO90" s="1" t="s">
        <v>184</v>
      </c>
      <c r="CP90" s="13" t="s">
        <v>184</v>
      </c>
      <c r="CQ90" t="s">
        <v>184</v>
      </c>
      <c r="CR90" s="13" t="s">
        <v>184</v>
      </c>
      <c r="CS90" s="1" t="s">
        <v>184</v>
      </c>
      <c r="CT90" s="13" t="str">
        <f t="shared" si="181"/>
        <v/>
      </c>
      <c r="CU90" t="s">
        <v>184</v>
      </c>
      <c r="CV90" s="13" t="str">
        <f t="shared" si="182"/>
        <v/>
      </c>
      <c r="CW90" s="1" t="s">
        <v>184</v>
      </c>
      <c r="CX90" s="13" t="str">
        <f t="shared" si="183"/>
        <v/>
      </c>
      <c r="CY90" t="s">
        <v>184</v>
      </c>
      <c r="CZ90" s="13" t="str">
        <f t="shared" si="184"/>
        <v/>
      </c>
      <c r="DA90" s="1" t="s">
        <v>184</v>
      </c>
      <c r="DB90" s="13" t="str">
        <f t="shared" si="185"/>
        <v/>
      </c>
      <c r="DC90" t="s">
        <v>184</v>
      </c>
      <c r="DD90" s="13" t="str">
        <f t="shared" si="186"/>
        <v/>
      </c>
      <c r="DE90" s="1" t="s">
        <v>184</v>
      </c>
      <c r="DF90" s="13" t="str">
        <f t="shared" si="187"/>
        <v/>
      </c>
      <c r="DG90" s="1" t="s">
        <v>184</v>
      </c>
      <c r="DH90" s="13" t="str">
        <f t="shared" si="188"/>
        <v/>
      </c>
      <c r="DI90" s="1" t="s">
        <v>184</v>
      </c>
      <c r="DJ90" s="13" t="str">
        <f t="shared" si="189"/>
        <v/>
      </c>
      <c r="DK90" s="1" t="s">
        <v>184</v>
      </c>
      <c r="DL90" s="13" t="str">
        <f t="shared" si="190"/>
        <v/>
      </c>
      <c r="DM90" s="1" t="s">
        <v>184</v>
      </c>
      <c r="DN90" s="13" t="str">
        <f t="shared" si="191"/>
        <v/>
      </c>
      <c r="DO90" s="1" t="s">
        <v>184</v>
      </c>
      <c r="DP90" s="13" t="str">
        <f t="shared" si="192"/>
        <v/>
      </c>
      <c r="DQ90" s="1" t="s">
        <v>184</v>
      </c>
      <c r="DR90" s="13" t="str">
        <f t="shared" si="193"/>
        <v/>
      </c>
      <c r="DS90" t="s">
        <v>184</v>
      </c>
      <c r="DT90" s="13" t="str">
        <f t="shared" si="194"/>
        <v/>
      </c>
      <c r="DU90" s="1" t="s">
        <v>184</v>
      </c>
      <c r="DV90" s="13" t="str">
        <f t="shared" si="195"/>
        <v/>
      </c>
      <c r="DW90" t="s">
        <v>184</v>
      </c>
      <c r="DX90" s="13" t="str">
        <f t="shared" si="196"/>
        <v/>
      </c>
      <c r="DY90" s="1" t="s">
        <v>184</v>
      </c>
      <c r="DZ90" s="13" t="str">
        <f t="shared" si="197"/>
        <v/>
      </c>
      <c r="EA90" s="1" t="s">
        <v>184</v>
      </c>
      <c r="EB90" s="13" t="str">
        <f t="shared" si="198"/>
        <v/>
      </c>
      <c r="EC90" s="1" t="s">
        <v>184</v>
      </c>
      <c r="ED90" s="13" t="str">
        <f t="shared" si="199"/>
        <v/>
      </c>
      <c r="EE90" s="1" t="str">
        <f>IFERROR(VLOOKUP($A90,[1]Москва_продажа_районы!$C$2:$F$148,2,0),"")</f>
        <v/>
      </c>
      <c r="EF90" s="13" t="s">
        <v>184</v>
      </c>
      <c r="EG90" s="1" t="s">
        <v>184</v>
      </c>
      <c r="EH90" s="13" t="str">
        <f t="shared" si="200"/>
        <v/>
      </c>
      <c r="EI90" s="1" t="str">
        <f>IFERROR(VLOOKUP($A90,[2]Москва_продажа_районы!$C$2:$F$150,2,0),"")</f>
        <v/>
      </c>
      <c r="EJ90" s="13" t="s">
        <v>184</v>
      </c>
      <c r="EK90" s="1" t="s">
        <v>184</v>
      </c>
      <c r="EL90" s="13" t="str">
        <f t="shared" si="201"/>
        <v/>
      </c>
      <c r="EM90" t="s">
        <v>184</v>
      </c>
      <c r="EN90" s="13" t="str">
        <f t="shared" si="202"/>
        <v/>
      </c>
      <c r="EO90" s="1" t="s">
        <v>184</v>
      </c>
      <c r="EP90" s="13" t="str">
        <f t="shared" si="203"/>
        <v/>
      </c>
      <c r="EQ90" t="s">
        <v>184</v>
      </c>
      <c r="ER90" s="13" t="str">
        <f t="shared" si="204"/>
        <v/>
      </c>
      <c r="ES90" s="183" t="s">
        <v>184</v>
      </c>
      <c r="ET90" s="13" t="str">
        <f t="shared" si="205"/>
        <v/>
      </c>
      <c r="EU90" t="s">
        <v>184</v>
      </c>
      <c r="EV90" s="13" t="str">
        <f t="shared" si="206"/>
        <v/>
      </c>
      <c r="EW90" s="183" t="s">
        <v>184</v>
      </c>
      <c r="EX90" s="13" t="str">
        <f t="shared" si="207"/>
        <v/>
      </c>
      <c r="EY90" t="s">
        <v>184</v>
      </c>
      <c r="EZ90" s="13" t="str">
        <f t="shared" si="208"/>
        <v/>
      </c>
      <c r="FA90" s="1" t="s">
        <v>184</v>
      </c>
      <c r="FB90" s="13" t="str">
        <f t="shared" si="209"/>
        <v/>
      </c>
      <c r="FC90" s="1" t="s">
        <v>184</v>
      </c>
      <c r="FD90" s="13" t="str">
        <f t="shared" si="210"/>
        <v/>
      </c>
      <c r="FE90" s="1" t="s">
        <v>184</v>
      </c>
      <c r="FF90" s="13" t="str">
        <f t="shared" si="211"/>
        <v/>
      </c>
      <c r="FG90" s="1" t="s">
        <v>184</v>
      </c>
      <c r="FH90" s="13" t="str">
        <f t="shared" si="212"/>
        <v/>
      </c>
      <c r="FI90" s="1" t="s">
        <v>184</v>
      </c>
      <c r="FJ90" s="13" t="str">
        <f t="shared" si="213"/>
        <v/>
      </c>
      <c r="FK90" s="1" t="s">
        <v>184</v>
      </c>
      <c r="FL90" s="13" t="str">
        <f t="shared" si="214"/>
        <v/>
      </c>
      <c r="FM90" s="1" t="s">
        <v>184</v>
      </c>
      <c r="FN90" s="13" t="str">
        <f t="shared" si="215"/>
        <v/>
      </c>
      <c r="FO90" s="1" t="s">
        <v>184</v>
      </c>
      <c r="FP90" s="13" t="str">
        <f t="shared" si="216"/>
        <v/>
      </c>
      <c r="FQ90" s="1" t="s">
        <v>184</v>
      </c>
      <c r="FR90" s="13" t="str">
        <f t="shared" si="217"/>
        <v/>
      </c>
      <c r="FS90" t="s">
        <v>184</v>
      </c>
      <c r="FT90" s="13" t="str">
        <f t="shared" si="218"/>
        <v/>
      </c>
      <c r="FU90" s="1" t="s">
        <v>184</v>
      </c>
      <c r="FV90" s="13" t="str">
        <f t="shared" si="219"/>
        <v/>
      </c>
      <c r="FW90" s="1" t="s">
        <v>184</v>
      </c>
      <c r="FX90" s="13" t="str">
        <f t="shared" si="220"/>
        <v/>
      </c>
      <c r="FY90" s="1" t="s">
        <v>184</v>
      </c>
      <c r="FZ90" s="13" t="str">
        <f t="shared" si="221"/>
        <v/>
      </c>
      <c r="GA90" s="1" t="s">
        <v>184</v>
      </c>
      <c r="GB90" s="13" t="str">
        <f t="shared" si="222"/>
        <v/>
      </c>
      <c r="GC90" s="1" t="s">
        <v>184</v>
      </c>
      <c r="GD90" s="13" t="str">
        <f t="shared" si="223"/>
        <v/>
      </c>
      <c r="GE90" s="1" t="s">
        <v>184</v>
      </c>
      <c r="GF90" s="13" t="str">
        <f t="shared" si="224"/>
        <v/>
      </c>
      <c r="GG90" s="1" t="str">
        <f>IFERROR(VLOOKUP(A90,[3]Москва_продажа_районы!$C$2:$F$149,3,0),"")</f>
        <v/>
      </c>
      <c r="GH90" s="13" t="s">
        <v>184</v>
      </c>
      <c r="GI90" s="1" t="s">
        <v>184</v>
      </c>
      <c r="GJ90" s="13" t="str">
        <f t="shared" si="225"/>
        <v/>
      </c>
      <c r="GK90" s="1" t="s">
        <v>184</v>
      </c>
      <c r="GL90" s="13" t="str">
        <f t="shared" si="226"/>
        <v/>
      </c>
      <c r="GM90" s="1" t="s">
        <v>184</v>
      </c>
      <c r="GN90" s="13" t="str">
        <f t="shared" si="227"/>
        <v/>
      </c>
      <c r="GO90" s="1" t="s">
        <v>184</v>
      </c>
      <c r="GP90" s="13" t="str">
        <f t="shared" si="228"/>
        <v/>
      </c>
      <c r="GQ90" s="1" t="s">
        <v>184</v>
      </c>
      <c r="GR90" s="13" t="str">
        <f t="shared" si="229"/>
        <v/>
      </c>
      <c r="GT90" s="13"/>
      <c r="GV90" s="13"/>
      <c r="GX90" s="13"/>
      <c r="GZ90" s="13"/>
      <c r="HB90" s="13"/>
      <c r="HD90" s="13"/>
      <c r="HE90" t="e">
        <v>#N/A</v>
      </c>
      <c r="HF90" s="13" t="e">
        <v>#N/A</v>
      </c>
      <c r="HG90" t="e">
        <v>#N/A</v>
      </c>
      <c r="HH90" s="13" t="e">
        <v>#N/A</v>
      </c>
      <c r="HI90" t="e">
        <f>VLOOKUP(A90,[4]Москва_продажа_районы!$C$4:$F$151,3,0)</f>
        <v>#N/A</v>
      </c>
      <c r="HJ90" s="13" t="e">
        <f t="shared" si="232"/>
        <v>#N/A</v>
      </c>
      <c r="HK90" t="e">
        <f>VLOOKUP(A90,[4]Москва_продажа_районы!$C$4:$F$151,2,0)</f>
        <v>#N/A</v>
      </c>
      <c r="HL90" s="13" t="e">
        <f t="shared" si="233"/>
        <v>#N/A</v>
      </c>
      <c r="HM90" s="1" t="e">
        <f>VLOOKUP(A90,Лист3!$C$4:$F$149,3,0)</f>
        <v>#N/A</v>
      </c>
      <c r="HN90" s="13" t="e">
        <f t="shared" si="234"/>
        <v>#N/A</v>
      </c>
      <c r="HO90" t="e">
        <f>VLOOKUP(A90,Лист3!$C$4:$F$149,2,0)</f>
        <v>#N/A</v>
      </c>
      <c r="HP90" s="13" t="e">
        <f t="shared" si="235"/>
        <v>#N/A</v>
      </c>
      <c r="HQ90" s="1" t="e">
        <v>#N/A</v>
      </c>
      <c r="HR90" s="13" t="e">
        <v>#N/A</v>
      </c>
      <c r="HS90" t="e">
        <v>#N/A</v>
      </c>
      <c r="HT90" s="13" t="e">
        <v>#N/A</v>
      </c>
      <c r="HU90" s="34" t="e">
        <v>#N/A</v>
      </c>
      <c r="HV90" s="13" t="e">
        <v>#N/A</v>
      </c>
      <c r="HW90" t="e">
        <v>#N/A</v>
      </c>
      <c r="HX90" s="13" t="e">
        <v>#N/A</v>
      </c>
      <c r="HY90" t="e">
        <v>#N/A</v>
      </c>
      <c r="HZ90" s="13" t="e">
        <v>#N/A</v>
      </c>
      <c r="IA90" t="e">
        <v>#N/A</v>
      </c>
      <c r="IB90" s="13" t="e">
        <v>#N/A</v>
      </c>
      <c r="IC90" s="34" t="e">
        <v>#N/A</v>
      </c>
      <c r="ID90" s="13" t="e">
        <v>#N/A</v>
      </c>
      <c r="IE90" t="e">
        <v>#N/A</v>
      </c>
      <c r="IF90" s="13" t="e">
        <v>#N/A</v>
      </c>
    </row>
    <row r="91" spans="1:240" ht="15" thickTop="1" x14ac:dyDescent="0.3">
      <c r="A91" s="24" t="s">
        <v>101</v>
      </c>
      <c r="B91" s="61"/>
      <c r="D91" s="61"/>
      <c r="F91" s="61">
        <v>81359.894537500004</v>
      </c>
      <c r="G91">
        <v>4</v>
      </c>
      <c r="H91" s="61">
        <v>67878.787878787873</v>
      </c>
      <c r="I91">
        <v>1</v>
      </c>
      <c r="J91" s="55">
        <v>81214.826839826841</v>
      </c>
      <c r="K91" s="45">
        <v>4</v>
      </c>
      <c r="L91" s="63">
        <v>92768.757835220313</v>
      </c>
      <c r="M91" s="45">
        <v>4</v>
      </c>
      <c r="N91" s="63">
        <v>93547.584030394952</v>
      </c>
      <c r="O91" s="45">
        <v>3</v>
      </c>
      <c r="P91" s="66">
        <v>93527.667984189713</v>
      </c>
      <c r="Q91" s="45">
        <v>3</v>
      </c>
      <c r="R91" s="66">
        <v>97217.956068782369</v>
      </c>
      <c r="S91" s="45">
        <v>11</v>
      </c>
      <c r="T91" s="67"/>
      <c r="U91" s="68"/>
      <c r="V91" s="55"/>
      <c r="W91" s="45"/>
      <c r="X91" s="69">
        <v>93459.787716359991</v>
      </c>
      <c r="Y91" s="45">
        <v>18</v>
      </c>
      <c r="AA91" s="81"/>
      <c r="AB91" t="s">
        <v>101</v>
      </c>
      <c r="AC91">
        <v>34</v>
      </c>
      <c r="AF91" s="13"/>
      <c r="AL91" s="35"/>
      <c r="BA91" s="119"/>
      <c r="BI91" s="13"/>
      <c r="BL91" s="13"/>
      <c r="BM91" s="34"/>
      <c r="BN91" s="109"/>
      <c r="BP91" s="13"/>
      <c r="BR91" s="13" t="str">
        <f t="shared" si="178"/>
        <v/>
      </c>
      <c r="BT91" s="13" t="str">
        <f t="shared" si="179"/>
        <v/>
      </c>
      <c r="BV91" s="13"/>
      <c r="BX91" s="13"/>
      <c r="BZ91" s="13"/>
      <c r="CB91" s="13"/>
      <c r="CC91" s="1">
        <v>122097.0301926462</v>
      </c>
      <c r="CD91" s="13"/>
      <c r="CE91">
        <v>21</v>
      </c>
      <c r="CF91" s="13"/>
      <c r="CG91" s="1">
        <v>126351.10664604331</v>
      </c>
      <c r="CH91" s="13"/>
      <c r="CI91">
        <v>28</v>
      </c>
      <c r="CJ91" s="13"/>
      <c r="CK91" s="1">
        <v>121384.66057696121</v>
      </c>
      <c r="CL91" s="13">
        <f t="shared" ref="CL91:CL100" si="260">CK91/CG91-1</f>
        <v>-3.9306708116098821E-2</v>
      </c>
      <c r="CM91">
        <v>27</v>
      </c>
      <c r="CN91" s="13">
        <f t="shared" ref="CN91:CN100" si="261">CM91/CI91-1</f>
        <v>-3.5714285714285698E-2</v>
      </c>
      <c r="CO91" s="1">
        <v>115218.7847882127</v>
      </c>
      <c r="CP91" s="13">
        <v>-5.0796169461949203E-2</v>
      </c>
      <c r="CQ91">
        <v>30</v>
      </c>
      <c r="CR91" s="13">
        <v>0.11111111111111116</v>
      </c>
      <c r="CS91" s="1">
        <v>122408.2539453694</v>
      </c>
      <c r="CT91" s="13">
        <f t="shared" si="181"/>
        <v>6.2398411599045245E-2</v>
      </c>
      <c r="CU91">
        <v>33</v>
      </c>
      <c r="CV91" s="13">
        <f t="shared" si="182"/>
        <v>0.10000000000000009</v>
      </c>
      <c r="CW91" s="1">
        <v>121041.0302338219</v>
      </c>
      <c r="CX91" s="13">
        <f t="shared" si="183"/>
        <v>-1.1169375164502338E-2</v>
      </c>
      <c r="CY91">
        <v>30</v>
      </c>
      <c r="CZ91" s="13">
        <f t="shared" si="184"/>
        <v>-9.0909090909090939E-2</v>
      </c>
      <c r="DA91" s="1">
        <v>119033.1655625795</v>
      </c>
      <c r="DB91" s="13">
        <f t="shared" si="185"/>
        <v>-1.6588297929749141E-2</v>
      </c>
      <c r="DC91">
        <v>26</v>
      </c>
      <c r="DD91" s="13">
        <f t="shared" si="186"/>
        <v>-0.1333333333333333</v>
      </c>
      <c r="DE91" s="1">
        <v>117831.8359584657</v>
      </c>
      <c r="DF91" s="13">
        <f t="shared" si="187"/>
        <v>-1.0092393984785897E-2</v>
      </c>
      <c r="DG91" s="1">
        <v>28</v>
      </c>
      <c r="DH91" s="13">
        <f t="shared" si="188"/>
        <v>7.6923076923076872E-2</v>
      </c>
      <c r="DI91" s="1">
        <v>112529.1528360029</v>
      </c>
      <c r="DJ91" s="13">
        <f t="shared" si="189"/>
        <v>-4.5002125947795069E-2</v>
      </c>
      <c r="DK91" s="1">
        <v>27</v>
      </c>
      <c r="DL91" s="13">
        <f t="shared" si="190"/>
        <v>-3.5714285714285698E-2</v>
      </c>
      <c r="DM91" s="1">
        <v>112360.0477520564</v>
      </c>
      <c r="DN91" s="13">
        <f t="shared" si="191"/>
        <v>-1.5027668802675143E-3</v>
      </c>
      <c r="DO91" s="1">
        <v>30</v>
      </c>
      <c r="DP91" s="13">
        <f t="shared" si="192"/>
        <v>0.11111111111111116</v>
      </c>
      <c r="DQ91" s="1">
        <v>112504.0574576147</v>
      </c>
      <c r="DR91" s="13">
        <f t="shared" si="193"/>
        <v>1.2816807080402448E-3</v>
      </c>
      <c r="DS91">
        <v>31</v>
      </c>
      <c r="DT91" s="13">
        <f t="shared" si="194"/>
        <v>3.3333333333333437E-2</v>
      </c>
      <c r="DU91" s="1">
        <v>118483.0914865037</v>
      </c>
      <c r="DV91" s="13">
        <f t="shared" si="195"/>
        <v>5.314505240081302E-2</v>
      </c>
      <c r="DW91">
        <v>31</v>
      </c>
      <c r="DX91" s="13">
        <f t="shared" si="196"/>
        <v>0</v>
      </c>
      <c r="DY91" s="1">
        <v>122595.0784266946</v>
      </c>
      <c r="DZ91" s="13">
        <f t="shared" si="197"/>
        <v>3.4705263751995341E-2</v>
      </c>
      <c r="EA91" s="1">
        <v>34</v>
      </c>
      <c r="EB91" s="13">
        <f t="shared" si="198"/>
        <v>9.6774193548387011E-2</v>
      </c>
      <c r="EC91" s="1">
        <v>118323.0237860997</v>
      </c>
      <c r="ED91" s="13">
        <f t="shared" si="199"/>
        <v>-3.4846869021331606E-2</v>
      </c>
      <c r="EE91" s="1">
        <f>IFERROR(VLOOKUP($A91,[1]Москва_продажа_районы!$C$2:$F$148,2,0),"")</f>
        <v>27</v>
      </c>
      <c r="EF91" s="13">
        <v>-0.20588235294117652</v>
      </c>
      <c r="EG91" s="1">
        <v>116855.52244949171</v>
      </c>
      <c r="EH91" s="13">
        <f t="shared" si="200"/>
        <v>-1.2402500288201668E-2</v>
      </c>
      <c r="EI91" s="1">
        <f>IFERROR(VLOOKUP($A91,[2]Москва_продажа_районы!$C$2:$F$150,2,0),"")</f>
        <v>38</v>
      </c>
      <c r="EJ91" s="13">
        <v>0.40740740740740744</v>
      </c>
      <c r="EK91" s="1">
        <v>112271.53898655959</v>
      </c>
      <c r="EL91" s="13">
        <f t="shared" si="201"/>
        <v>-3.9227786302640899E-2</v>
      </c>
      <c r="EM91">
        <v>41</v>
      </c>
      <c r="EN91" s="13">
        <f t="shared" si="202"/>
        <v>7.8947368421052655E-2</v>
      </c>
      <c r="EO91" s="1">
        <v>120939.1425431759</v>
      </c>
      <c r="EP91" s="13">
        <f t="shared" si="203"/>
        <v>7.7202144326657285E-2</v>
      </c>
      <c r="EQ91">
        <v>42</v>
      </c>
      <c r="ER91" s="13">
        <f t="shared" si="204"/>
        <v>2.4390243902439046E-2</v>
      </c>
      <c r="ES91" s="183">
        <v>111741.7421227164</v>
      </c>
      <c r="ET91" s="13">
        <f t="shared" si="205"/>
        <v>-7.6049823299979002E-2</v>
      </c>
      <c r="EU91">
        <v>36</v>
      </c>
      <c r="EV91" s="13">
        <f t="shared" si="206"/>
        <v>-0.1428571428571429</v>
      </c>
      <c r="EW91" s="183">
        <v>118377.9062050872</v>
      </c>
      <c r="EX91" s="13">
        <f t="shared" si="207"/>
        <v>5.9388407199548299E-2</v>
      </c>
      <c r="EY91">
        <v>42</v>
      </c>
      <c r="EZ91" s="13">
        <f t="shared" si="208"/>
        <v>0.16666666666666674</v>
      </c>
      <c r="FA91" s="1">
        <v>114087.7649762418</v>
      </c>
      <c r="FB91" s="13">
        <f t="shared" si="209"/>
        <v>-3.6241063610407354E-2</v>
      </c>
      <c r="FC91" s="1">
        <v>40</v>
      </c>
      <c r="FD91" s="13">
        <f t="shared" si="210"/>
        <v>-4.7619047619047672E-2</v>
      </c>
      <c r="FE91" s="1">
        <v>114909.4367193728</v>
      </c>
      <c r="FF91" s="13">
        <f t="shared" si="211"/>
        <v>7.2021022000221535E-3</v>
      </c>
      <c r="FG91" s="1">
        <v>47</v>
      </c>
      <c r="FH91" s="13">
        <f t="shared" si="212"/>
        <v>0.17500000000000004</v>
      </c>
      <c r="FI91" s="1">
        <v>124690.9668039899</v>
      </c>
      <c r="FJ91" s="13">
        <f t="shared" si="213"/>
        <v>8.5123818929729422E-2</v>
      </c>
      <c r="FK91" s="1">
        <v>47</v>
      </c>
      <c r="FL91" s="13">
        <f t="shared" si="214"/>
        <v>0</v>
      </c>
      <c r="FM91" s="1">
        <v>117614.3192874151</v>
      </c>
      <c r="FN91" s="13">
        <f t="shared" si="215"/>
        <v>-5.6753489831376958E-2</v>
      </c>
      <c r="FO91" s="1">
        <v>47</v>
      </c>
      <c r="FP91" s="13">
        <f t="shared" si="216"/>
        <v>0</v>
      </c>
      <c r="FQ91" s="1">
        <v>113827.868713276</v>
      </c>
      <c r="FR91" s="13">
        <f t="shared" si="217"/>
        <v>-3.2193788962771808E-2</v>
      </c>
      <c r="FS91">
        <v>45</v>
      </c>
      <c r="FT91" s="13">
        <f t="shared" si="218"/>
        <v>-4.2553191489361653E-2</v>
      </c>
      <c r="FU91" s="1">
        <v>128339.22748577769</v>
      </c>
      <c r="FV91" s="13">
        <f t="shared" si="219"/>
        <v>0.12748511358896431</v>
      </c>
      <c r="FW91" s="1">
        <v>16</v>
      </c>
      <c r="FX91" s="13">
        <f t="shared" si="220"/>
        <v>-0.64444444444444438</v>
      </c>
      <c r="FY91" s="1">
        <v>157222.59746059519</v>
      </c>
      <c r="FZ91" s="13">
        <f t="shared" si="221"/>
        <v>0.22505488415861241</v>
      </c>
      <c r="GA91" s="1">
        <v>13</v>
      </c>
      <c r="GB91" s="13">
        <f t="shared" si="222"/>
        <v>-0.1875</v>
      </c>
      <c r="GC91" s="1">
        <v>157710.95638626759</v>
      </c>
      <c r="GD91" s="13">
        <f t="shared" si="223"/>
        <v>3.1061624318653447E-3</v>
      </c>
      <c r="GE91" s="1">
        <v>14</v>
      </c>
      <c r="GF91" s="13">
        <f t="shared" si="224"/>
        <v>7.6923076923076872E-2</v>
      </c>
      <c r="GG91" s="1">
        <f>IFERROR(VLOOKUP(A91,[3]Москва_продажа_районы!$C$2:$F$149,3,0),"")</f>
        <v>153430.45285306301</v>
      </c>
      <c r="GH91" s="13">
        <v>-2.7141446804245573E-2</v>
      </c>
      <c r="GI91" s="1">
        <v>12</v>
      </c>
      <c r="GJ91" s="13">
        <f t="shared" si="225"/>
        <v>-0.1428571428571429</v>
      </c>
      <c r="GK91" s="1">
        <v>152465.90546950791</v>
      </c>
      <c r="GL91" s="13">
        <f t="shared" si="226"/>
        <v>-6.286544591501797E-3</v>
      </c>
      <c r="GM91" s="1">
        <v>10</v>
      </c>
      <c r="GN91" s="13">
        <f t="shared" si="227"/>
        <v>-0.16666666666666663</v>
      </c>
      <c r="GO91" s="1">
        <v>163114.82984832919</v>
      </c>
      <c r="GP91" s="13">
        <f t="shared" si="228"/>
        <v>6.9844627531831849E-2</v>
      </c>
      <c r="GQ91" s="1">
        <v>8.56</v>
      </c>
      <c r="GR91" s="13">
        <f t="shared" si="229"/>
        <v>-0.14399999999999991</v>
      </c>
      <c r="GS91" s="1">
        <v>160107.99219833239</v>
      </c>
      <c r="GT91" s="13">
        <f t="shared" ref="GT91:GT100" si="262">GS91/GO91-1</f>
        <v>-1.8433870499651617E-2</v>
      </c>
      <c r="GU91">
        <v>10</v>
      </c>
      <c r="GV91" s="13">
        <f t="shared" ref="GV91:GV100" si="263">GU91/GQ91-1</f>
        <v>0.16822429906542058</v>
      </c>
      <c r="GW91">
        <v>161267.93432564961</v>
      </c>
      <c r="GX91" s="13">
        <f t="shared" si="230"/>
        <v>7.2447484437900833E-3</v>
      </c>
      <c r="GY91">
        <v>11</v>
      </c>
      <c r="GZ91" s="13">
        <f t="shared" si="231"/>
        <v>0.10000000000000009</v>
      </c>
      <c r="HA91">
        <v>176938.62346589219</v>
      </c>
      <c r="HB91" s="13">
        <v>9.7171760807691854E-2</v>
      </c>
      <c r="HC91">
        <v>12</v>
      </c>
      <c r="HD91" s="13">
        <v>9.0909090909090828E-2</v>
      </c>
      <c r="HE91">
        <v>170074.4052479472</v>
      </c>
      <c r="HF91" s="13">
        <v>-3.8794346217281284E-2</v>
      </c>
      <c r="HG91">
        <v>11</v>
      </c>
      <c r="HH91" s="13">
        <v>-8.333333333333337E-2</v>
      </c>
      <c r="HI91">
        <f>VLOOKUP(A91,[4]Москва_продажа_районы!$C$4:$F$151,3,0)</f>
        <v>168484.00873155799</v>
      </c>
      <c r="HJ91" s="13">
        <f t="shared" si="232"/>
        <v>-9.3511808203627922E-3</v>
      </c>
      <c r="HK91">
        <f>VLOOKUP(A91,[4]Москва_продажа_районы!$C$4:$F$151,2,0)</f>
        <v>8</v>
      </c>
      <c r="HL91" s="13">
        <f t="shared" si="233"/>
        <v>-0.27272727272727271</v>
      </c>
      <c r="HM91" s="1">
        <f>VLOOKUP(A91,Лист3!$C$4:$F$149,3,0)</f>
        <v>168864.1391470526</v>
      </c>
      <c r="HN91" s="13">
        <f t="shared" si="234"/>
        <v>2.2561809773904429E-3</v>
      </c>
      <c r="HO91">
        <f>VLOOKUP(A91,Лист3!$C$4:$F$149,2,0)</f>
        <v>7</v>
      </c>
      <c r="HP91" s="13">
        <f t="shared" si="235"/>
        <v>-0.125</v>
      </c>
      <c r="HQ91" s="1">
        <v>171193.621753671</v>
      </c>
      <c r="HR91" s="13">
        <v>1.3795010701412425E-2</v>
      </c>
      <c r="HS91">
        <v>8</v>
      </c>
      <c r="HT91" s="13">
        <v>0.14285714285714279</v>
      </c>
      <c r="HU91" s="34">
        <v>175768.3742611632</v>
      </c>
      <c r="HV91" s="13">
        <v>2.6722680790495668E-2</v>
      </c>
      <c r="HW91">
        <v>9</v>
      </c>
      <c r="HX91" s="13">
        <v>0.125</v>
      </c>
      <c r="HY91">
        <v>162634.22195694991</v>
      </c>
      <c r="HZ91" s="13">
        <v>-7.4724206555486949E-2</v>
      </c>
      <c r="IA91">
        <v>9</v>
      </c>
      <c r="IB91" s="13">
        <v>0</v>
      </c>
      <c r="IC91" s="34">
        <v>156165.70246318221</v>
      </c>
      <c r="ID91" s="13">
        <v>-3.9773421706287282E-2</v>
      </c>
      <c r="IE91">
        <v>10</v>
      </c>
      <c r="IF91" s="13">
        <v>0.11111111111111116</v>
      </c>
    </row>
    <row r="92" spans="1:240" x14ac:dyDescent="0.3">
      <c r="A92" s="23" t="s">
        <v>102</v>
      </c>
      <c r="B92" s="61">
        <v>111023.76667866665</v>
      </c>
      <c r="C92">
        <v>15</v>
      </c>
      <c r="D92" s="61">
        <v>102847.58654571428</v>
      </c>
      <c r="E92">
        <v>14</v>
      </c>
      <c r="F92" s="61">
        <v>102504.90140999999</v>
      </c>
      <c r="G92">
        <v>13</v>
      </c>
      <c r="H92" s="61">
        <v>106178.20499619823</v>
      </c>
      <c r="I92">
        <v>15</v>
      </c>
      <c r="J92" s="56">
        <v>105100.38992236857</v>
      </c>
      <c r="K92" s="47">
        <v>13</v>
      </c>
      <c r="L92" s="61">
        <v>99916.65072983627</v>
      </c>
      <c r="M92" s="47">
        <v>12</v>
      </c>
      <c r="N92" s="61">
        <v>107103.45331368934</v>
      </c>
      <c r="O92" s="47">
        <v>12</v>
      </c>
      <c r="P92" s="35">
        <v>107877.30177247165</v>
      </c>
      <c r="Q92" s="47">
        <v>13</v>
      </c>
      <c r="R92" s="35"/>
      <c r="S92" s="47"/>
      <c r="T92" s="35">
        <v>113468.1206991364</v>
      </c>
      <c r="U92">
        <v>5</v>
      </c>
      <c r="V92" s="56"/>
      <c r="W92" s="47"/>
      <c r="X92" s="65">
        <v>106532.4451935643</v>
      </c>
      <c r="Y92" s="47">
        <v>18</v>
      </c>
      <c r="AA92" s="81"/>
      <c r="AB92" t="s">
        <v>102</v>
      </c>
      <c r="AC92">
        <v>27</v>
      </c>
      <c r="AF92" s="13"/>
      <c r="AL92" s="35"/>
      <c r="BA92" s="119"/>
      <c r="BI92" s="13"/>
      <c r="BL92" s="13"/>
      <c r="BM92" s="34"/>
      <c r="BN92" s="109"/>
      <c r="BP92" s="13"/>
      <c r="BR92" s="13" t="str">
        <f t="shared" si="178"/>
        <v/>
      </c>
      <c r="BT92" s="13" t="str">
        <f t="shared" si="179"/>
        <v/>
      </c>
      <c r="BV92" s="13"/>
      <c r="BX92" s="13"/>
      <c r="BZ92" s="13"/>
      <c r="CB92" s="13"/>
      <c r="CC92" s="1">
        <v>142138.19326845391</v>
      </c>
      <c r="CD92" s="13"/>
      <c r="CE92">
        <v>26</v>
      </c>
      <c r="CF92" s="13"/>
      <c r="CG92" s="1">
        <v>144419.611709052</v>
      </c>
      <c r="CH92" s="13"/>
      <c r="CI92">
        <v>25</v>
      </c>
      <c r="CJ92" s="13"/>
      <c r="CK92" s="1">
        <v>158433.47096124009</v>
      </c>
      <c r="CL92" s="13">
        <f t="shared" si="260"/>
        <v>9.7035707867851428E-2</v>
      </c>
      <c r="CM92">
        <v>27</v>
      </c>
      <c r="CN92" s="13">
        <f t="shared" si="261"/>
        <v>8.0000000000000071E-2</v>
      </c>
      <c r="CO92" s="1">
        <v>172187.0451443778</v>
      </c>
      <c r="CP92" s="13">
        <v>8.6809776366651992E-2</v>
      </c>
      <c r="CQ92">
        <v>21</v>
      </c>
      <c r="CR92" s="13">
        <v>-0.22222222222222221</v>
      </c>
      <c r="CS92" s="1">
        <v>162427.47073346321</v>
      </c>
      <c r="CT92" s="13">
        <f t="shared" si="181"/>
        <v>-5.6680073711301793E-2</v>
      </c>
      <c r="CU92">
        <v>21</v>
      </c>
      <c r="CV92" s="13">
        <f t="shared" si="182"/>
        <v>0</v>
      </c>
      <c r="CW92" s="1">
        <v>141511.7865351525</v>
      </c>
      <c r="CX92" s="13">
        <f t="shared" si="183"/>
        <v>-0.12876937690319945</v>
      </c>
      <c r="CY92">
        <v>29</v>
      </c>
      <c r="CZ92" s="13">
        <f t="shared" si="184"/>
        <v>0.38095238095238093</v>
      </c>
      <c r="DA92" s="1">
        <v>133268.5838469904</v>
      </c>
      <c r="DB92" s="13">
        <f t="shared" si="185"/>
        <v>-5.8250997249013059E-2</v>
      </c>
      <c r="DC92">
        <v>29</v>
      </c>
      <c r="DD92" s="13">
        <f t="shared" si="186"/>
        <v>0</v>
      </c>
      <c r="DE92" s="1">
        <v>138057.17395041001</v>
      </c>
      <c r="DF92" s="13">
        <f t="shared" si="187"/>
        <v>3.5931875054045159E-2</v>
      </c>
      <c r="DG92" s="1">
        <v>27</v>
      </c>
      <c r="DH92" s="13">
        <f t="shared" si="188"/>
        <v>-6.8965517241379337E-2</v>
      </c>
      <c r="DI92" s="1">
        <v>147085.8641833516</v>
      </c>
      <c r="DJ92" s="13">
        <f t="shared" si="189"/>
        <v>6.5398196809277609E-2</v>
      </c>
      <c r="DK92" s="1">
        <v>23</v>
      </c>
      <c r="DL92" s="13">
        <f t="shared" si="190"/>
        <v>-0.14814814814814814</v>
      </c>
      <c r="DM92" s="1">
        <v>161872.78152322481</v>
      </c>
      <c r="DN92" s="13">
        <f t="shared" si="191"/>
        <v>0.10053255234262615</v>
      </c>
      <c r="DO92" s="1">
        <v>28</v>
      </c>
      <c r="DP92" s="13">
        <f t="shared" si="192"/>
        <v>0.21739130434782616</v>
      </c>
      <c r="DQ92" s="1">
        <v>160988.5387914115</v>
      </c>
      <c r="DR92" s="13">
        <f t="shared" si="193"/>
        <v>-5.4625782265096401E-3</v>
      </c>
      <c r="DS92">
        <v>28</v>
      </c>
      <c r="DT92" s="13">
        <f t="shared" si="194"/>
        <v>0</v>
      </c>
      <c r="DU92" s="1">
        <v>153812.46554245841</v>
      </c>
      <c r="DV92" s="13">
        <f t="shared" si="195"/>
        <v>-4.4575056726559481E-2</v>
      </c>
      <c r="DW92">
        <v>28</v>
      </c>
      <c r="DX92" s="13">
        <f t="shared" si="196"/>
        <v>0</v>
      </c>
      <c r="DY92" s="1">
        <v>145241.30075900891</v>
      </c>
      <c r="DZ92" s="13">
        <f t="shared" si="197"/>
        <v>-5.5724773367497371E-2</v>
      </c>
      <c r="EA92" s="1">
        <v>32</v>
      </c>
      <c r="EB92" s="13">
        <f t="shared" si="198"/>
        <v>0.14285714285714279</v>
      </c>
      <c r="EC92" s="1">
        <v>154075.35166665149</v>
      </c>
      <c r="ED92" s="13">
        <f t="shared" si="199"/>
        <v>6.082327038849944E-2</v>
      </c>
      <c r="EE92" s="1">
        <f>IFERROR(VLOOKUP($A92,[1]Москва_продажа_районы!$C$2:$F$148,2,0),"")</f>
        <v>36</v>
      </c>
      <c r="EF92" s="13">
        <v>0.125</v>
      </c>
      <c r="EG92" s="1">
        <v>152968.22846592529</v>
      </c>
      <c r="EH92" s="13">
        <f t="shared" si="200"/>
        <v>-7.185595805885292E-3</v>
      </c>
      <c r="EI92" s="1">
        <f>IFERROR(VLOOKUP($A92,[2]Москва_продажа_районы!$C$2:$F$150,2,0),"")</f>
        <v>33</v>
      </c>
      <c r="EJ92" s="13">
        <v>-8.333333333333337E-2</v>
      </c>
      <c r="EK92" s="1">
        <v>149898.0690718616</v>
      </c>
      <c r="EL92" s="13">
        <f t="shared" si="201"/>
        <v>-2.007056906426552E-2</v>
      </c>
      <c r="EM92">
        <v>31</v>
      </c>
      <c r="EN92" s="13">
        <f t="shared" si="202"/>
        <v>-6.0606060606060552E-2</v>
      </c>
      <c r="EO92" s="1">
        <v>161759.00725235691</v>
      </c>
      <c r="EP92" s="13">
        <f t="shared" si="203"/>
        <v>7.9126690916939912E-2</v>
      </c>
      <c r="EQ92">
        <v>31</v>
      </c>
      <c r="ER92" s="13">
        <f t="shared" si="204"/>
        <v>0</v>
      </c>
      <c r="ES92" s="183">
        <v>170355.29358513409</v>
      </c>
      <c r="ET92" s="13">
        <f t="shared" si="205"/>
        <v>5.3142551248267056E-2</v>
      </c>
      <c r="EU92">
        <v>28</v>
      </c>
      <c r="EV92" s="13">
        <f t="shared" si="206"/>
        <v>-9.6774193548387122E-2</v>
      </c>
      <c r="EW92" s="183">
        <v>177794.13505364381</v>
      </c>
      <c r="EX92" s="13">
        <f t="shared" si="207"/>
        <v>4.3666629383560585E-2</v>
      </c>
      <c r="EY92">
        <v>28</v>
      </c>
      <c r="EZ92" s="13">
        <f t="shared" si="208"/>
        <v>0</v>
      </c>
      <c r="FA92" s="1">
        <v>172264.9158925685</v>
      </c>
      <c r="FB92" s="13">
        <f t="shared" si="209"/>
        <v>-3.1098996372445287E-2</v>
      </c>
      <c r="FC92" s="1">
        <v>40</v>
      </c>
      <c r="FD92" s="13">
        <f t="shared" si="210"/>
        <v>0.4285714285714286</v>
      </c>
      <c r="FE92" s="1">
        <v>171519.05939432239</v>
      </c>
      <c r="FF92" s="13">
        <f t="shared" si="211"/>
        <v>-4.3297063385283607E-3</v>
      </c>
      <c r="FG92" s="1">
        <v>49</v>
      </c>
      <c r="FH92" s="13">
        <f t="shared" si="212"/>
        <v>0.22500000000000009</v>
      </c>
      <c r="FI92" s="1">
        <v>172337.36945519439</v>
      </c>
      <c r="FJ92" s="13">
        <f t="shared" si="213"/>
        <v>4.770957022278699E-3</v>
      </c>
      <c r="FK92" s="1">
        <v>44</v>
      </c>
      <c r="FL92" s="13">
        <f t="shared" si="214"/>
        <v>-0.10204081632653061</v>
      </c>
      <c r="FM92" s="1">
        <v>162933.42537681921</v>
      </c>
      <c r="FN92" s="13">
        <f t="shared" si="215"/>
        <v>-5.4567062895897855E-2</v>
      </c>
      <c r="FO92" s="1">
        <v>37</v>
      </c>
      <c r="FP92" s="13">
        <f t="shared" si="216"/>
        <v>-0.15909090909090906</v>
      </c>
      <c r="FQ92" s="1">
        <v>166138.27558524651</v>
      </c>
      <c r="FR92" s="13">
        <f t="shared" si="217"/>
        <v>1.9669691476843276E-2</v>
      </c>
      <c r="FS92">
        <v>36</v>
      </c>
      <c r="FT92" s="13">
        <f t="shared" si="218"/>
        <v>-2.7027027027026973E-2</v>
      </c>
      <c r="FU92" s="1">
        <v>167559.90565290951</v>
      </c>
      <c r="FV92" s="13">
        <f t="shared" si="219"/>
        <v>8.5569087716548253E-3</v>
      </c>
      <c r="FW92" s="1">
        <v>41</v>
      </c>
      <c r="FX92" s="13">
        <f t="shared" si="220"/>
        <v>0.13888888888888884</v>
      </c>
      <c r="FY92" s="1">
        <v>165977.38378583861</v>
      </c>
      <c r="FZ92" s="13">
        <f t="shared" si="221"/>
        <v>-9.4445139540063616E-3</v>
      </c>
      <c r="GA92" s="1">
        <v>35</v>
      </c>
      <c r="GB92" s="13">
        <f t="shared" si="222"/>
        <v>-0.14634146341463417</v>
      </c>
      <c r="GC92" s="1">
        <v>157114.70325253499</v>
      </c>
      <c r="GD92" s="13">
        <f t="shared" si="223"/>
        <v>-5.3396916683174034E-2</v>
      </c>
      <c r="GE92" s="1">
        <v>50</v>
      </c>
      <c r="GF92" s="13">
        <f t="shared" si="224"/>
        <v>0.4285714285714286</v>
      </c>
      <c r="GG92" s="1">
        <f>IFERROR(VLOOKUP(A92,[3]Москва_продажа_районы!$C$2:$F$149,3,0),"")</f>
        <v>156064.97232978779</v>
      </c>
      <c r="GH92" s="13">
        <v>-6.6813029017400716E-3</v>
      </c>
      <c r="GI92" s="1">
        <v>49</v>
      </c>
      <c r="GJ92" s="13">
        <f t="shared" si="225"/>
        <v>-2.0000000000000018E-2</v>
      </c>
      <c r="GK92" s="1">
        <v>156028.7311206974</v>
      </c>
      <c r="GL92" s="13">
        <f t="shared" si="226"/>
        <v>-2.3221872627388063E-4</v>
      </c>
      <c r="GM92" s="1">
        <v>26</v>
      </c>
      <c r="GN92" s="13">
        <f t="shared" si="227"/>
        <v>-0.46938775510204078</v>
      </c>
      <c r="GO92" s="1">
        <v>175154.8843341202</v>
      </c>
      <c r="GP92" s="13">
        <f t="shared" si="228"/>
        <v>0.12258097003062596</v>
      </c>
      <c r="GQ92" s="1">
        <v>25.680000000000003</v>
      </c>
      <c r="GR92" s="13">
        <f t="shared" si="229"/>
        <v>-1.2307692307692131E-2</v>
      </c>
      <c r="GS92" s="1">
        <v>163552.67807614719</v>
      </c>
      <c r="GT92" s="13">
        <f t="shared" si="262"/>
        <v>-6.6239695810257793E-2</v>
      </c>
      <c r="GU92">
        <v>21</v>
      </c>
      <c r="GV92" s="13">
        <f t="shared" si="263"/>
        <v>-0.18224299065420568</v>
      </c>
      <c r="GW92">
        <v>174537.407005149</v>
      </c>
      <c r="GX92" s="13">
        <f t="shared" si="230"/>
        <v>6.716324708475585E-2</v>
      </c>
      <c r="GY92">
        <v>27</v>
      </c>
      <c r="GZ92" s="13">
        <f t="shared" si="231"/>
        <v>0.28571428571428581</v>
      </c>
      <c r="HA92">
        <v>174037.22111120119</v>
      </c>
      <c r="HB92" s="13">
        <v>-2.8657804795567676E-3</v>
      </c>
      <c r="HC92">
        <v>25</v>
      </c>
      <c r="HD92" s="13">
        <v>-7.407407407407407E-2</v>
      </c>
      <c r="HE92">
        <v>175779.6470043849</v>
      </c>
      <c r="HF92" s="13">
        <v>1.0011800246284119E-2</v>
      </c>
      <c r="HG92">
        <v>17</v>
      </c>
      <c r="HH92" s="13">
        <v>-0.31999999999999995</v>
      </c>
      <c r="HI92">
        <f>VLOOKUP(A92,[4]Москва_продажа_районы!$C$4:$F$151,3,0)</f>
        <v>165395.4690174486</v>
      </c>
      <c r="HJ92" s="13">
        <f t="shared" si="232"/>
        <v>-5.9074973490402249E-2</v>
      </c>
      <c r="HK92">
        <f>VLOOKUP(A92,[4]Москва_продажа_районы!$C$4:$F$151,2,0)</f>
        <v>22</v>
      </c>
      <c r="HL92" s="13">
        <f t="shared" si="233"/>
        <v>0.29411764705882359</v>
      </c>
      <c r="HM92" s="1">
        <f>VLOOKUP(A92,Лист3!$C$4:$F$149,3,0)</f>
        <v>165417.7969103755</v>
      </c>
      <c r="HN92" s="13">
        <f t="shared" si="234"/>
        <v>1.3499700481234278E-4</v>
      </c>
      <c r="HO92">
        <f>VLOOKUP(A92,Лист3!$C$4:$F$149,2,0)</f>
        <v>18</v>
      </c>
      <c r="HP92" s="13">
        <f t="shared" si="235"/>
        <v>-0.18181818181818177</v>
      </c>
      <c r="HQ92" s="1">
        <v>176103.85382319131</v>
      </c>
      <c r="HR92" s="13">
        <v>6.4600406439976776E-2</v>
      </c>
      <c r="HS92">
        <v>17</v>
      </c>
      <c r="HT92" s="13">
        <v>-5.555555555555558E-2</v>
      </c>
      <c r="HU92" s="34">
        <v>172022.37400189051</v>
      </c>
      <c r="HV92" s="13">
        <v>-2.3176550272424046E-2</v>
      </c>
      <c r="HW92">
        <v>16</v>
      </c>
      <c r="HX92" s="13">
        <v>-5.8823529411764719E-2</v>
      </c>
      <c r="HY92">
        <v>170628.363293017</v>
      </c>
      <c r="HZ92" s="13">
        <v>-8.1036592882864911E-3</v>
      </c>
      <c r="IA92">
        <v>25</v>
      </c>
      <c r="IB92" s="13">
        <v>0.5625</v>
      </c>
      <c r="IC92" s="34">
        <v>172812.70007621159</v>
      </c>
      <c r="ID92" s="13">
        <v>1.2801721478412631E-2</v>
      </c>
      <c r="IE92">
        <v>23</v>
      </c>
      <c r="IF92" s="13">
        <v>-7.999999999999996E-2</v>
      </c>
    </row>
    <row r="93" spans="1:240" x14ac:dyDescent="0.3">
      <c r="A93" s="23" t="s">
        <v>103</v>
      </c>
      <c r="B93" s="61">
        <v>85898.651735833337</v>
      </c>
      <c r="C93">
        <v>60</v>
      </c>
      <c r="D93" s="61">
        <v>84841.683371749998</v>
      </c>
      <c r="E93">
        <v>40</v>
      </c>
      <c r="F93" s="61">
        <v>80997.359390833342</v>
      </c>
      <c r="G93">
        <v>12</v>
      </c>
      <c r="H93" s="61">
        <v>89613.389492365808</v>
      </c>
      <c r="I93">
        <v>14</v>
      </c>
      <c r="J93" s="56">
        <v>98873.101840293661</v>
      </c>
      <c r="K93" s="47">
        <v>17</v>
      </c>
      <c r="L93" s="61">
        <v>108725.97510910542</v>
      </c>
      <c r="M93" s="47">
        <v>20</v>
      </c>
      <c r="N93" s="61">
        <v>113529.29719576446</v>
      </c>
      <c r="O93" s="47">
        <v>27</v>
      </c>
      <c r="P93" s="35">
        <v>125041.66621809472</v>
      </c>
      <c r="Q93" s="47">
        <v>33</v>
      </c>
      <c r="R93" s="35">
        <v>121279.76216073117</v>
      </c>
      <c r="S93" s="47">
        <v>34</v>
      </c>
      <c r="T93" s="35">
        <v>108496.4998928905</v>
      </c>
      <c r="U93">
        <v>38</v>
      </c>
      <c r="V93" s="58">
        <v>112117.7535421689</v>
      </c>
      <c r="W93" s="47">
        <v>44</v>
      </c>
      <c r="X93" s="65">
        <v>120655.8269000256</v>
      </c>
      <c r="Y93" s="47">
        <v>62</v>
      </c>
      <c r="AA93" s="81"/>
      <c r="AB93" t="s">
        <v>103</v>
      </c>
      <c r="AC93">
        <v>71</v>
      </c>
      <c r="AF93" s="13"/>
      <c r="AL93" s="35"/>
      <c r="BA93" s="119"/>
      <c r="BI93" s="13"/>
      <c r="BL93" s="13"/>
      <c r="BM93" s="34"/>
      <c r="BN93" s="109"/>
      <c r="BP93" s="13"/>
      <c r="BR93" s="13" t="str">
        <f t="shared" si="178"/>
        <v/>
      </c>
      <c r="BT93" s="13" t="str">
        <f t="shared" si="179"/>
        <v/>
      </c>
      <c r="BV93" s="13"/>
      <c r="BX93" s="13"/>
      <c r="BZ93" s="13"/>
      <c r="CB93" s="13"/>
      <c r="CC93" s="1">
        <v>159725.13391171701</v>
      </c>
      <c r="CD93" s="13"/>
      <c r="CE93">
        <v>88</v>
      </c>
      <c r="CF93" s="13"/>
      <c r="CG93" s="1">
        <v>158653.52042588181</v>
      </c>
      <c r="CH93" s="13"/>
      <c r="CI93">
        <v>115</v>
      </c>
      <c r="CJ93" s="13"/>
      <c r="CK93" s="1">
        <v>157940.93913129429</v>
      </c>
      <c r="CL93" s="13">
        <f t="shared" si="260"/>
        <v>-4.4914307143938403E-3</v>
      </c>
      <c r="CM93">
        <v>123</v>
      </c>
      <c r="CN93" s="13">
        <f t="shared" si="261"/>
        <v>6.956521739130439E-2</v>
      </c>
      <c r="CO93" s="1">
        <v>159785.24565636879</v>
      </c>
      <c r="CP93" s="13">
        <v>1.1677191076731264E-2</v>
      </c>
      <c r="CQ93">
        <v>129</v>
      </c>
      <c r="CR93" s="13">
        <v>4.8780487804878092E-2</v>
      </c>
      <c r="CS93" s="1">
        <v>160758.85100944279</v>
      </c>
      <c r="CT93" s="13">
        <f t="shared" si="181"/>
        <v>6.0932118549157366E-3</v>
      </c>
      <c r="CU93">
        <v>128</v>
      </c>
      <c r="CV93" s="13">
        <f t="shared" si="182"/>
        <v>-7.7519379844961378E-3</v>
      </c>
      <c r="CW93" s="1">
        <v>162086.4773826286</v>
      </c>
      <c r="CX93" s="13">
        <f t="shared" si="183"/>
        <v>8.2584962809160167E-3</v>
      </c>
      <c r="CY93">
        <v>141</v>
      </c>
      <c r="CZ93" s="13">
        <f t="shared" si="184"/>
        <v>0.1015625</v>
      </c>
      <c r="DA93" s="1">
        <v>155223.84588825781</v>
      </c>
      <c r="DB93" s="13">
        <f t="shared" si="185"/>
        <v>-4.2339321608986236E-2</v>
      </c>
      <c r="DC93">
        <v>133</v>
      </c>
      <c r="DD93" s="13">
        <f t="shared" si="186"/>
        <v>-5.673758865248224E-2</v>
      </c>
      <c r="DE93" s="1">
        <v>148474.08888453341</v>
      </c>
      <c r="DF93" s="13">
        <f t="shared" si="187"/>
        <v>-4.348402118952388E-2</v>
      </c>
      <c r="DG93" s="1">
        <v>120</v>
      </c>
      <c r="DH93" s="13">
        <f t="shared" si="188"/>
        <v>-9.7744360902255689E-2</v>
      </c>
      <c r="DI93" s="1">
        <v>147874.95596436481</v>
      </c>
      <c r="DJ93" s="13">
        <f t="shared" si="189"/>
        <v>-4.0352692154558278E-3</v>
      </c>
      <c r="DK93" s="1">
        <v>108</v>
      </c>
      <c r="DL93" s="13">
        <f t="shared" si="190"/>
        <v>-9.9999999999999978E-2</v>
      </c>
      <c r="DM93" s="1">
        <v>146939.08097755859</v>
      </c>
      <c r="DN93" s="13">
        <f t="shared" si="191"/>
        <v>-6.3288268165688777E-3</v>
      </c>
      <c r="DO93" s="1">
        <v>109</v>
      </c>
      <c r="DP93" s="13">
        <f t="shared" si="192"/>
        <v>9.2592592592593004E-3</v>
      </c>
      <c r="DQ93" s="1">
        <v>150021.1848446439</v>
      </c>
      <c r="DR93" s="13">
        <f t="shared" si="193"/>
        <v>2.0975385490236143E-2</v>
      </c>
      <c r="DS93">
        <v>108</v>
      </c>
      <c r="DT93" s="13">
        <f t="shared" si="194"/>
        <v>-9.1743119266054496E-3</v>
      </c>
      <c r="DU93" s="1">
        <v>149210.8503505853</v>
      </c>
      <c r="DV93" s="13">
        <f t="shared" si="195"/>
        <v>-5.4014670987817537E-3</v>
      </c>
      <c r="DW93">
        <v>59</v>
      </c>
      <c r="DX93" s="13">
        <f t="shared" si="196"/>
        <v>-0.45370370370370372</v>
      </c>
      <c r="DY93" s="1">
        <v>141422.92447401001</v>
      </c>
      <c r="DZ93" s="13">
        <f t="shared" si="197"/>
        <v>-5.2194098876032213E-2</v>
      </c>
      <c r="EA93" s="1">
        <v>34</v>
      </c>
      <c r="EB93" s="13">
        <f t="shared" si="198"/>
        <v>-0.42372881355932202</v>
      </c>
      <c r="EC93" s="1">
        <v>147436.51550359989</v>
      </c>
      <c r="ED93" s="13">
        <f t="shared" si="199"/>
        <v>4.2522038431577203E-2</v>
      </c>
      <c r="EE93" s="1">
        <f>IFERROR(VLOOKUP($A93,[1]Москва_продажа_районы!$C$2:$F$148,2,0),"")</f>
        <v>33</v>
      </c>
      <c r="EF93" s="13">
        <v>-2.9411764705882359E-2</v>
      </c>
      <c r="EG93" s="1">
        <v>147802.9090115123</v>
      </c>
      <c r="EH93" s="13">
        <f t="shared" si="200"/>
        <v>2.4850933750089066E-3</v>
      </c>
      <c r="EI93" s="1">
        <f>IFERROR(VLOOKUP($A93,[2]Москва_продажа_районы!$C$2:$F$150,2,0),"")</f>
        <v>31</v>
      </c>
      <c r="EJ93" s="13">
        <v>-6.0606060606060552E-2</v>
      </c>
      <c r="EK93" s="1">
        <v>152243.86619834061</v>
      </c>
      <c r="EL93" s="13">
        <f t="shared" si="201"/>
        <v>3.0046480252174268E-2</v>
      </c>
      <c r="EM93">
        <v>31</v>
      </c>
      <c r="EN93" s="13">
        <f t="shared" si="202"/>
        <v>0</v>
      </c>
      <c r="EO93" s="1">
        <v>145858.1321135863</v>
      </c>
      <c r="EP93" s="13">
        <f t="shared" si="203"/>
        <v>-4.1944114033698354E-2</v>
      </c>
      <c r="EQ93">
        <v>32</v>
      </c>
      <c r="ER93" s="13">
        <f t="shared" si="204"/>
        <v>3.2258064516129004E-2</v>
      </c>
      <c r="ES93" s="183">
        <v>149530.1184110482</v>
      </c>
      <c r="ET93" s="13">
        <f t="shared" si="205"/>
        <v>2.5175053624040489E-2</v>
      </c>
      <c r="EU93">
        <v>28</v>
      </c>
      <c r="EV93" s="13">
        <f t="shared" si="206"/>
        <v>-0.125</v>
      </c>
      <c r="EW93" s="183">
        <v>157457.02660819521</v>
      </c>
      <c r="EX93" s="13">
        <f t="shared" si="207"/>
        <v>5.3012117434137807E-2</v>
      </c>
      <c r="EY93">
        <v>28</v>
      </c>
      <c r="EZ93" s="13">
        <f t="shared" si="208"/>
        <v>0</v>
      </c>
      <c r="FA93" s="1">
        <v>157953.08056279909</v>
      </c>
      <c r="FB93" s="13">
        <f t="shared" si="209"/>
        <v>3.1504084974132152E-3</v>
      </c>
      <c r="FC93" s="1">
        <v>23</v>
      </c>
      <c r="FD93" s="13">
        <f t="shared" si="210"/>
        <v>-0.1785714285714286</v>
      </c>
      <c r="FE93" s="1">
        <v>163641.37267539499</v>
      </c>
      <c r="FF93" s="13">
        <f t="shared" si="211"/>
        <v>3.6012543043339562E-2</v>
      </c>
      <c r="FG93" s="1">
        <v>21</v>
      </c>
      <c r="FH93" s="13">
        <f t="shared" si="212"/>
        <v>-8.6956521739130488E-2</v>
      </c>
      <c r="FI93" s="1">
        <v>157014.77034301421</v>
      </c>
      <c r="FJ93" s="13">
        <f t="shared" si="213"/>
        <v>-4.0494663568519051E-2</v>
      </c>
      <c r="FK93" s="1">
        <v>22</v>
      </c>
      <c r="FL93" s="13">
        <f t="shared" si="214"/>
        <v>4.7619047619047672E-2</v>
      </c>
      <c r="FM93" s="1">
        <v>160627.980324181</v>
      </c>
      <c r="FN93" s="13">
        <f t="shared" si="215"/>
        <v>2.301191138434544E-2</v>
      </c>
      <c r="FO93" s="1">
        <v>23</v>
      </c>
      <c r="FP93" s="13">
        <f t="shared" si="216"/>
        <v>4.5454545454545414E-2</v>
      </c>
      <c r="FQ93" s="1">
        <v>155125.13833280379</v>
      </c>
      <c r="FR93" s="13">
        <f t="shared" si="217"/>
        <v>-3.4258302820413422E-2</v>
      </c>
      <c r="FS93">
        <v>18</v>
      </c>
      <c r="FT93" s="13">
        <f t="shared" si="218"/>
        <v>-0.21739130434782605</v>
      </c>
      <c r="FU93" s="1">
        <v>159887.32912478389</v>
      </c>
      <c r="FV93" s="13">
        <f t="shared" si="219"/>
        <v>3.069902688346593E-2</v>
      </c>
      <c r="FW93" s="1">
        <v>21</v>
      </c>
      <c r="FX93" s="13">
        <f t="shared" si="220"/>
        <v>0.16666666666666674</v>
      </c>
      <c r="FY93" s="1">
        <v>162045.6372259855</v>
      </c>
      <c r="FZ93" s="13">
        <f t="shared" si="221"/>
        <v>1.3498931485165677E-2</v>
      </c>
      <c r="GA93" s="1">
        <v>20</v>
      </c>
      <c r="GB93" s="13">
        <f t="shared" si="222"/>
        <v>-4.7619047619047672E-2</v>
      </c>
      <c r="GC93" s="1">
        <v>153318.53027034551</v>
      </c>
      <c r="GD93" s="13">
        <f t="shared" si="223"/>
        <v>-5.3855858787912658E-2</v>
      </c>
      <c r="GE93" s="1">
        <v>72</v>
      </c>
      <c r="GF93" s="13">
        <f t="shared" si="224"/>
        <v>2.6</v>
      </c>
      <c r="GG93" s="1">
        <f>IFERROR(VLOOKUP(A93,[3]Москва_продажа_районы!$C$2:$F$149,3,0),"")</f>
        <v>155711.9633204214</v>
      </c>
      <c r="GH93" s="13">
        <v>1.5610853077286713E-2</v>
      </c>
      <c r="GI93" s="1">
        <v>125</v>
      </c>
      <c r="GJ93" s="13">
        <f t="shared" si="225"/>
        <v>0.73611111111111116</v>
      </c>
      <c r="GK93" s="1">
        <v>155601.69363078519</v>
      </c>
      <c r="GL93" s="13">
        <f t="shared" si="226"/>
        <v>-7.0816453202959817E-4</v>
      </c>
      <c r="GM93" s="1">
        <v>145</v>
      </c>
      <c r="GN93" s="13">
        <f t="shared" si="227"/>
        <v>0.15999999999999992</v>
      </c>
      <c r="GO93" s="1">
        <v>154877.28013693361</v>
      </c>
      <c r="GP93" s="13">
        <f t="shared" si="228"/>
        <v>-4.6555630401458048E-3</v>
      </c>
      <c r="GQ93" s="1">
        <v>146.59</v>
      </c>
      <c r="GR93" s="13">
        <f t="shared" si="229"/>
        <v>1.0965517241379397E-2</v>
      </c>
      <c r="GS93" s="1">
        <v>155930.18689931801</v>
      </c>
      <c r="GT93" s="13">
        <f t="shared" si="262"/>
        <v>6.7983293705409231E-3</v>
      </c>
      <c r="GU93">
        <v>133</v>
      </c>
      <c r="GV93" s="13">
        <f t="shared" si="263"/>
        <v>-9.2707551674739097E-2</v>
      </c>
      <c r="GW93">
        <v>153047.0821163092</v>
      </c>
      <c r="GX93" s="13">
        <f t="shared" si="230"/>
        <v>-1.8489715431883602E-2</v>
      </c>
      <c r="GY93">
        <v>111</v>
      </c>
      <c r="GZ93" s="13">
        <f t="shared" si="231"/>
        <v>-0.16541353383458646</v>
      </c>
      <c r="HA93">
        <v>160673.8481545028</v>
      </c>
      <c r="HB93" s="13">
        <v>4.9832809176966864E-2</v>
      </c>
      <c r="HC93">
        <v>90</v>
      </c>
      <c r="HD93" s="13">
        <v>-0.18918918918918914</v>
      </c>
      <c r="HE93">
        <v>161412.37791852659</v>
      </c>
      <c r="HF93" s="13">
        <v>4.5964528297948171E-3</v>
      </c>
      <c r="HG93">
        <v>70</v>
      </c>
      <c r="HH93" s="13">
        <v>-0.22222222222222221</v>
      </c>
      <c r="HI93">
        <f>VLOOKUP(A93,[4]Москва_продажа_районы!$C$4:$F$151,3,0)</f>
        <v>160644.11758026871</v>
      </c>
      <c r="HJ93" s="13">
        <f t="shared" si="232"/>
        <v>-4.759612293461557E-3</v>
      </c>
      <c r="HK93">
        <f>VLOOKUP(A93,[4]Москва_продажа_районы!$C$4:$F$151,2,0)</f>
        <v>69</v>
      </c>
      <c r="HL93" s="13">
        <f t="shared" si="233"/>
        <v>-1.4285714285714235E-2</v>
      </c>
      <c r="HM93" s="1">
        <f>VLOOKUP(A93,Лист3!$C$4:$F$149,3,0)</f>
        <v>160323.29770615659</v>
      </c>
      <c r="HN93" s="13">
        <f t="shared" si="234"/>
        <v>-1.9970844805556887E-3</v>
      </c>
      <c r="HO93">
        <f>VLOOKUP(A93,Лист3!$C$4:$F$149,2,0)</f>
        <v>71</v>
      </c>
      <c r="HP93" s="13">
        <f t="shared" si="235"/>
        <v>2.8985507246376718E-2</v>
      </c>
      <c r="HQ93" s="1">
        <v>159830.84257017469</v>
      </c>
      <c r="HR93" s="13">
        <v>-3.071638015358702E-3</v>
      </c>
      <c r="HS93">
        <v>68</v>
      </c>
      <c r="HT93" s="13">
        <v>-4.2253521126760618E-2</v>
      </c>
      <c r="HU93" s="34">
        <v>162273.9696493159</v>
      </c>
      <c r="HV93" s="13">
        <v>1.5285704810500178E-2</v>
      </c>
      <c r="HW93">
        <v>69</v>
      </c>
      <c r="HX93" s="13">
        <v>1.4705882352941124E-2</v>
      </c>
      <c r="HY93">
        <v>167882.1219557306</v>
      </c>
      <c r="HZ93" s="13">
        <v>3.4559777631213873E-2</v>
      </c>
      <c r="IA93">
        <v>81</v>
      </c>
      <c r="IB93" s="13">
        <v>0.17391304347826098</v>
      </c>
      <c r="IC93" s="34">
        <v>163537.3538114118</v>
      </c>
      <c r="ID93" s="13">
        <v>-2.5879873888325577E-2</v>
      </c>
      <c r="IE93">
        <v>72</v>
      </c>
      <c r="IF93" s="13">
        <v>-0.11111111111111116</v>
      </c>
    </row>
    <row r="94" spans="1:240" x14ac:dyDescent="0.3">
      <c r="A94" s="23" t="s">
        <v>104</v>
      </c>
      <c r="B94" s="61">
        <v>97968.025156666685</v>
      </c>
      <c r="C94">
        <v>30</v>
      </c>
      <c r="D94" s="61">
        <v>103070.67672937499</v>
      </c>
      <c r="E94">
        <v>32</v>
      </c>
      <c r="F94" s="61">
        <v>100265.3883862963</v>
      </c>
      <c r="G94">
        <v>27</v>
      </c>
      <c r="H94" s="61">
        <v>103133.94203340766</v>
      </c>
      <c r="I94">
        <v>20</v>
      </c>
      <c r="J94" s="56">
        <v>111518.73392164742</v>
      </c>
      <c r="K94" s="47">
        <v>24</v>
      </c>
      <c r="L94" s="61">
        <v>113331.49798868998</v>
      </c>
      <c r="M94" s="47">
        <v>34</v>
      </c>
      <c r="N94" s="61">
        <v>113568.59628001454</v>
      </c>
      <c r="O94" s="47">
        <v>31</v>
      </c>
      <c r="P94" s="35">
        <v>119105.13144325934</v>
      </c>
      <c r="Q94" s="47">
        <v>34</v>
      </c>
      <c r="R94" s="35">
        <v>118956</v>
      </c>
      <c r="S94" s="47">
        <v>35</v>
      </c>
      <c r="T94" s="35">
        <v>127908.36800128467</v>
      </c>
      <c r="U94">
        <v>34</v>
      </c>
      <c r="V94" s="56"/>
      <c r="W94" s="47"/>
      <c r="X94" s="65">
        <v>124708.3640763468</v>
      </c>
      <c r="Y94" s="47">
        <v>84</v>
      </c>
      <c r="AA94" s="81"/>
      <c r="AB94" t="s">
        <v>104</v>
      </c>
      <c r="AC94">
        <v>91</v>
      </c>
      <c r="AF94" s="13"/>
      <c r="AL94" s="35"/>
      <c r="BA94" s="119"/>
      <c r="BI94" s="13"/>
      <c r="BL94" s="13"/>
      <c r="BM94" s="34"/>
      <c r="BN94" s="109"/>
      <c r="BP94" s="13"/>
      <c r="BR94" s="13" t="str">
        <f t="shared" si="178"/>
        <v/>
      </c>
      <c r="BT94" s="13" t="str">
        <f t="shared" si="179"/>
        <v/>
      </c>
      <c r="BV94" s="13"/>
      <c r="BX94" s="13"/>
      <c r="BZ94" s="13"/>
      <c r="CB94" s="13"/>
      <c r="CC94" s="1">
        <v>178437.03420982609</v>
      </c>
      <c r="CD94" s="13"/>
      <c r="CE94">
        <v>83</v>
      </c>
      <c r="CF94" s="13"/>
      <c r="CG94" s="1">
        <v>164775.44160579439</v>
      </c>
      <c r="CH94" s="13"/>
      <c r="CI94">
        <v>87</v>
      </c>
      <c r="CJ94" s="13"/>
      <c r="CK94" s="1">
        <v>162626.45051635971</v>
      </c>
      <c r="CL94" s="13">
        <f t="shared" si="260"/>
        <v>-1.3041937976266404E-2</v>
      </c>
      <c r="CM94">
        <v>94</v>
      </c>
      <c r="CN94" s="13">
        <f t="shared" si="261"/>
        <v>8.0459770114942541E-2</v>
      </c>
      <c r="CO94" s="1">
        <v>165209.10500350379</v>
      </c>
      <c r="CP94" s="13">
        <v>1.5880900548120191E-2</v>
      </c>
      <c r="CQ94">
        <v>109</v>
      </c>
      <c r="CR94" s="13">
        <v>0.15957446808510634</v>
      </c>
      <c r="CS94" s="1">
        <v>165884.0852407362</v>
      </c>
      <c r="CT94" s="13">
        <f t="shared" si="181"/>
        <v>4.0856116085010719E-3</v>
      </c>
      <c r="CU94">
        <v>109</v>
      </c>
      <c r="CV94" s="13">
        <f t="shared" si="182"/>
        <v>0</v>
      </c>
      <c r="CW94" s="1">
        <v>160222.59763120121</v>
      </c>
      <c r="CX94" s="13">
        <f t="shared" si="183"/>
        <v>-3.4129178825797912E-2</v>
      </c>
      <c r="CY94">
        <v>107</v>
      </c>
      <c r="CZ94" s="13">
        <f t="shared" si="184"/>
        <v>-1.834862385321101E-2</v>
      </c>
      <c r="DA94" s="1">
        <v>161859.2023364467</v>
      </c>
      <c r="DB94" s="13">
        <f t="shared" si="185"/>
        <v>1.0214568540529045E-2</v>
      </c>
      <c r="DC94">
        <v>107</v>
      </c>
      <c r="DD94" s="13">
        <f t="shared" si="186"/>
        <v>0</v>
      </c>
      <c r="DE94" s="1">
        <v>160901.7594966304</v>
      </c>
      <c r="DF94" s="13">
        <f t="shared" si="187"/>
        <v>-5.9152820846486431E-3</v>
      </c>
      <c r="DG94" s="1">
        <v>112</v>
      </c>
      <c r="DH94" s="13">
        <f t="shared" si="188"/>
        <v>4.6728971962616717E-2</v>
      </c>
      <c r="DI94" s="1">
        <v>161119.71070736489</v>
      </c>
      <c r="DJ94" s="13">
        <f t="shared" si="189"/>
        <v>1.3545607668701276E-3</v>
      </c>
      <c r="DK94" s="1">
        <v>105</v>
      </c>
      <c r="DL94" s="13">
        <f t="shared" si="190"/>
        <v>-6.25E-2</v>
      </c>
      <c r="DM94" s="1">
        <v>163990.74487774001</v>
      </c>
      <c r="DN94" s="13">
        <f t="shared" si="191"/>
        <v>1.7819260956777994E-2</v>
      </c>
      <c r="DO94" s="1">
        <v>124</v>
      </c>
      <c r="DP94" s="13">
        <f t="shared" si="192"/>
        <v>0.18095238095238098</v>
      </c>
      <c r="DQ94" s="1">
        <v>161333.90264683991</v>
      </c>
      <c r="DR94" s="13">
        <f t="shared" si="193"/>
        <v>-1.6201171797108782E-2</v>
      </c>
      <c r="DS94">
        <v>130</v>
      </c>
      <c r="DT94" s="13">
        <f t="shared" si="194"/>
        <v>4.8387096774193505E-2</v>
      </c>
      <c r="DU94" s="1">
        <v>160611.6676211392</v>
      </c>
      <c r="DV94" s="13">
        <f t="shared" si="195"/>
        <v>-4.4766475852361376E-3</v>
      </c>
      <c r="DW94">
        <v>115</v>
      </c>
      <c r="DX94" s="13">
        <f t="shared" si="196"/>
        <v>-0.11538461538461542</v>
      </c>
      <c r="DY94" s="1">
        <v>160739.97116916839</v>
      </c>
      <c r="DZ94" s="13">
        <f t="shared" si="197"/>
        <v>7.9884325920720478E-4</v>
      </c>
      <c r="EA94" s="1">
        <v>114</v>
      </c>
      <c r="EB94" s="13">
        <f t="shared" si="198"/>
        <v>-8.6956521739129933E-3</v>
      </c>
      <c r="EC94" s="1">
        <v>162666.55806966571</v>
      </c>
      <c r="ED94" s="13">
        <f t="shared" si="199"/>
        <v>1.1985736257658752E-2</v>
      </c>
      <c r="EE94" s="1">
        <f>IFERROR(VLOOKUP($A94,[1]Москва_продажа_районы!$C$2:$F$148,2,0),"")</f>
        <v>125</v>
      </c>
      <c r="EF94" s="13">
        <v>9.6491228070175517E-2</v>
      </c>
      <c r="EG94" s="1">
        <v>162189.37044931241</v>
      </c>
      <c r="EH94" s="13">
        <f t="shared" si="200"/>
        <v>-2.9335324114311279E-3</v>
      </c>
      <c r="EI94" s="1">
        <f>IFERROR(VLOOKUP($A94,[2]Москва_продажа_районы!$C$2:$F$150,2,0),"")</f>
        <v>124</v>
      </c>
      <c r="EJ94" s="13">
        <v>-8.0000000000000071E-3</v>
      </c>
      <c r="EK94" s="1">
        <v>163113.11274361881</v>
      </c>
      <c r="EL94" s="13">
        <f t="shared" si="201"/>
        <v>5.6954552061418973E-3</v>
      </c>
      <c r="EM94">
        <v>130</v>
      </c>
      <c r="EN94" s="13">
        <f t="shared" si="202"/>
        <v>4.8387096774193505E-2</v>
      </c>
      <c r="EO94" s="1">
        <v>162066.51690387219</v>
      </c>
      <c r="EP94" s="13">
        <f t="shared" si="203"/>
        <v>-6.4163807687960261E-3</v>
      </c>
      <c r="EQ94">
        <v>133</v>
      </c>
      <c r="ER94" s="13">
        <f t="shared" si="204"/>
        <v>2.3076923076922995E-2</v>
      </c>
      <c r="ES94" s="183">
        <v>161605.3440746789</v>
      </c>
      <c r="ET94" s="13">
        <f t="shared" si="205"/>
        <v>-2.8455774703101122E-3</v>
      </c>
      <c r="EU94">
        <v>133</v>
      </c>
      <c r="EV94" s="13">
        <f t="shared" si="206"/>
        <v>0</v>
      </c>
      <c r="EW94" s="183">
        <v>165485.61124559399</v>
      </c>
      <c r="EX94" s="13">
        <f t="shared" si="207"/>
        <v>2.4010760245168683E-2</v>
      </c>
      <c r="EY94">
        <v>132</v>
      </c>
      <c r="EZ94" s="13">
        <f t="shared" si="208"/>
        <v>-7.5187969924812581E-3</v>
      </c>
      <c r="FA94" s="1">
        <v>164835.81134970731</v>
      </c>
      <c r="FB94" s="13">
        <f t="shared" si="209"/>
        <v>-3.9266247439623259E-3</v>
      </c>
      <c r="FC94" s="1">
        <v>117</v>
      </c>
      <c r="FD94" s="13">
        <f t="shared" si="210"/>
        <v>-0.11363636363636365</v>
      </c>
      <c r="FE94" s="1">
        <v>164833.63293630621</v>
      </c>
      <c r="FF94" s="13">
        <f t="shared" si="211"/>
        <v>-1.3215656132326004E-5</v>
      </c>
      <c r="FG94" s="1">
        <v>100</v>
      </c>
      <c r="FH94" s="13">
        <f t="shared" si="212"/>
        <v>-0.14529914529914534</v>
      </c>
      <c r="FI94" s="1">
        <v>166569.19108311881</v>
      </c>
      <c r="FJ94" s="13">
        <f t="shared" si="213"/>
        <v>1.0529150610198768E-2</v>
      </c>
      <c r="FK94" s="1">
        <v>112</v>
      </c>
      <c r="FL94" s="13">
        <f t="shared" si="214"/>
        <v>0.12000000000000011</v>
      </c>
      <c r="FM94" s="1">
        <v>168052.78692346261</v>
      </c>
      <c r="FN94" s="13">
        <f t="shared" si="215"/>
        <v>8.9067842059908919E-3</v>
      </c>
      <c r="FO94" s="1">
        <v>117</v>
      </c>
      <c r="FP94" s="13">
        <f t="shared" si="216"/>
        <v>4.4642857142857206E-2</v>
      </c>
      <c r="FQ94" s="1">
        <v>171265.31461734039</v>
      </c>
      <c r="FR94" s="13">
        <f t="shared" si="217"/>
        <v>1.9116182198994913E-2</v>
      </c>
      <c r="FS94">
        <v>113</v>
      </c>
      <c r="FT94" s="13">
        <f t="shared" si="218"/>
        <v>-3.4188034188034178E-2</v>
      </c>
      <c r="FU94" s="1">
        <v>169410.99590060499</v>
      </c>
      <c r="FV94" s="13">
        <f t="shared" si="219"/>
        <v>-1.0827170235132133E-2</v>
      </c>
      <c r="FW94" s="1">
        <v>110</v>
      </c>
      <c r="FX94" s="13">
        <f t="shared" si="220"/>
        <v>-2.6548672566371723E-2</v>
      </c>
      <c r="FY94" s="1">
        <v>169248.15508214221</v>
      </c>
      <c r="FZ94" s="13">
        <f t="shared" si="221"/>
        <v>-9.612175266257017E-4</v>
      </c>
      <c r="GA94" s="1">
        <v>112</v>
      </c>
      <c r="GB94" s="13">
        <f t="shared" si="222"/>
        <v>1.8181818181818077E-2</v>
      </c>
      <c r="GC94" s="1">
        <v>173696.61653939699</v>
      </c>
      <c r="GD94" s="13">
        <f t="shared" si="223"/>
        <v>2.6283662915532302E-2</v>
      </c>
      <c r="GE94" s="1">
        <v>177</v>
      </c>
      <c r="GF94" s="13">
        <f t="shared" si="224"/>
        <v>0.58035714285714279</v>
      </c>
      <c r="GG94" s="1">
        <f>IFERROR(VLOOKUP(A94,[3]Москва_продажа_районы!$C$2:$F$149,3,0),"")</f>
        <v>172491.20944992179</v>
      </c>
      <c r="GH94" s="13">
        <v>-6.9397269416689999E-3</v>
      </c>
      <c r="GI94" s="1">
        <v>198</v>
      </c>
      <c r="GJ94" s="13">
        <f t="shared" si="225"/>
        <v>0.11864406779661008</v>
      </c>
      <c r="GK94" s="1">
        <v>185216.03052316041</v>
      </c>
      <c r="GL94" s="13">
        <f t="shared" si="226"/>
        <v>7.3770838025997598E-2</v>
      </c>
      <c r="GM94" s="1">
        <v>192</v>
      </c>
      <c r="GN94" s="13">
        <f t="shared" si="227"/>
        <v>-3.0303030303030276E-2</v>
      </c>
      <c r="GO94" s="1">
        <v>191972.93560234809</v>
      </c>
      <c r="GP94" s="13">
        <f t="shared" si="228"/>
        <v>3.6481210941094799E-2</v>
      </c>
      <c r="GQ94" s="1">
        <v>199.02</v>
      </c>
      <c r="GR94" s="13">
        <f t="shared" si="229"/>
        <v>3.6562500000000053E-2</v>
      </c>
      <c r="GS94" s="1">
        <v>187233.6597533169</v>
      </c>
      <c r="GT94" s="13">
        <f t="shared" si="262"/>
        <v>-2.4687208299237096E-2</v>
      </c>
      <c r="GU94">
        <v>205</v>
      </c>
      <c r="GV94" s="13">
        <f t="shared" si="263"/>
        <v>3.0047231434026767E-2</v>
      </c>
      <c r="GW94">
        <v>181840.1875458014</v>
      </c>
      <c r="GX94" s="13">
        <f t="shared" si="230"/>
        <v>-2.8806103638744696E-2</v>
      </c>
      <c r="GY94">
        <v>178</v>
      </c>
      <c r="GZ94" s="13">
        <f t="shared" si="231"/>
        <v>-0.13170731707317074</v>
      </c>
      <c r="HA94">
        <v>185735.90114323219</v>
      </c>
      <c r="HB94" s="13">
        <v>2.1423831827326767E-2</v>
      </c>
      <c r="HC94">
        <v>164</v>
      </c>
      <c r="HD94" s="13">
        <v>-7.8651685393258397E-2</v>
      </c>
      <c r="HE94">
        <v>186663.10970300849</v>
      </c>
      <c r="HF94" s="13">
        <v>4.9920804436256461E-3</v>
      </c>
      <c r="HG94">
        <v>175</v>
      </c>
      <c r="HH94" s="13">
        <v>6.7073170731707377E-2</v>
      </c>
      <c r="HI94">
        <f>VLOOKUP(A94,[4]Москва_продажа_районы!$C$4:$F$151,3,0)</f>
        <v>176992.3384844274</v>
      </c>
      <c r="HJ94" s="13">
        <f t="shared" si="232"/>
        <v>-5.1808690179692363E-2</v>
      </c>
      <c r="HK94">
        <f>VLOOKUP(A94,[4]Москва_продажа_районы!$C$4:$F$151,2,0)</f>
        <v>172</v>
      </c>
      <c r="HL94" s="13">
        <f t="shared" si="233"/>
        <v>-1.7142857142857126E-2</v>
      </c>
      <c r="HM94" s="1">
        <f>VLOOKUP(A94,Лист3!$C$4:$F$149,3,0)</f>
        <v>173071.84726721249</v>
      </c>
      <c r="HN94" s="13">
        <f t="shared" si="234"/>
        <v>-2.2150626692577724E-2</v>
      </c>
      <c r="HO94">
        <f>VLOOKUP(A94,Лист3!$C$4:$F$149,2,0)</f>
        <v>166</v>
      </c>
      <c r="HP94" s="13">
        <f t="shared" si="235"/>
        <v>-3.4883720930232509E-2</v>
      </c>
      <c r="HQ94" s="1">
        <v>174130.55999732859</v>
      </c>
      <c r="HR94" s="13">
        <v>6.1171862832289925E-3</v>
      </c>
      <c r="HS94">
        <v>166</v>
      </c>
      <c r="HT94" s="13">
        <v>0</v>
      </c>
      <c r="HU94" s="34">
        <v>172788.46550985679</v>
      </c>
      <c r="HV94" s="13">
        <v>-7.7074034993764862E-3</v>
      </c>
      <c r="HW94">
        <v>160</v>
      </c>
      <c r="HX94" s="13">
        <v>-3.6144578313253017E-2</v>
      </c>
      <c r="HY94">
        <v>175419.9037145263</v>
      </c>
      <c r="HZ94" s="13">
        <v>1.5229246911272476E-2</v>
      </c>
      <c r="IA94">
        <v>138</v>
      </c>
      <c r="IB94" s="13">
        <v>-0.13749999999999996</v>
      </c>
      <c r="IC94" s="34">
        <v>174144.19245525479</v>
      </c>
      <c r="ID94" s="13">
        <v>-7.2723290359774095E-3</v>
      </c>
      <c r="IE94">
        <v>138</v>
      </c>
      <c r="IF94" s="13">
        <v>0</v>
      </c>
    </row>
    <row r="95" spans="1:240" x14ac:dyDescent="0.3">
      <c r="A95" s="23" t="s">
        <v>105</v>
      </c>
      <c r="B95" s="61"/>
      <c r="D95" s="61"/>
      <c r="F95" s="61">
        <v>108333.3333</v>
      </c>
      <c r="G95">
        <v>1</v>
      </c>
      <c r="H95" s="61">
        <v>66941.122180532198</v>
      </c>
      <c r="I95">
        <v>5</v>
      </c>
      <c r="J95" s="56">
        <v>68424.494328718676</v>
      </c>
      <c r="K95" s="47">
        <v>4</v>
      </c>
      <c r="L95" s="61">
        <v>59794.868669767697</v>
      </c>
      <c r="M95" s="47">
        <v>9</v>
      </c>
      <c r="N95" s="61">
        <v>59111.292864786825</v>
      </c>
      <c r="O95" s="47">
        <v>9</v>
      </c>
      <c r="P95" s="35">
        <v>58606.246535079234</v>
      </c>
      <c r="Q95" s="47">
        <v>9</v>
      </c>
      <c r="R95" s="35">
        <v>60668.096956571986</v>
      </c>
      <c r="S95" s="47">
        <v>11</v>
      </c>
      <c r="T95" s="35">
        <v>60109.488046892737</v>
      </c>
      <c r="U95">
        <v>11</v>
      </c>
      <c r="V95" s="56"/>
      <c r="W95" s="47"/>
      <c r="X95" s="65">
        <v>74128.712990451066</v>
      </c>
      <c r="Y95" s="47">
        <v>15</v>
      </c>
      <c r="AA95" s="81"/>
      <c r="AB95" t="s">
        <v>105</v>
      </c>
      <c r="AC95">
        <v>15</v>
      </c>
      <c r="AF95" s="13"/>
      <c r="AL95" s="35"/>
      <c r="BA95" s="119"/>
      <c r="BI95" s="13"/>
      <c r="BL95" s="13"/>
      <c r="BM95" s="34"/>
      <c r="BN95" s="109"/>
      <c r="BP95" s="13"/>
      <c r="BR95" s="13" t="str">
        <f t="shared" si="178"/>
        <v/>
      </c>
      <c r="BT95" s="13" t="str">
        <f t="shared" si="179"/>
        <v/>
      </c>
      <c r="BV95" s="13"/>
      <c r="BX95" s="13"/>
      <c r="BZ95" s="13"/>
      <c r="CB95" s="13"/>
      <c r="CC95" s="1">
        <v>138222.81960152971</v>
      </c>
      <c r="CD95" s="13"/>
      <c r="CE95">
        <v>13</v>
      </c>
      <c r="CF95" s="13"/>
      <c r="CG95" s="1">
        <v>140438.1941889509</v>
      </c>
      <c r="CH95" s="13"/>
      <c r="CI95">
        <v>14</v>
      </c>
      <c r="CJ95" s="13"/>
      <c r="CK95" s="1">
        <v>132305.710551728</v>
      </c>
      <c r="CL95" s="13">
        <f t="shared" si="260"/>
        <v>-5.7907919453031087E-2</v>
      </c>
      <c r="CM95">
        <v>13</v>
      </c>
      <c r="CN95" s="13">
        <f t="shared" si="261"/>
        <v>-7.1428571428571397E-2</v>
      </c>
      <c r="CO95" s="1">
        <v>129037.24383621931</v>
      </c>
      <c r="CP95" s="13">
        <v>-2.4703897525502616E-2</v>
      </c>
      <c r="CQ95">
        <v>10</v>
      </c>
      <c r="CR95" s="13">
        <v>-0.23076923076923073</v>
      </c>
      <c r="CS95" s="1">
        <v>121745.4109185808</v>
      </c>
      <c r="CT95" s="13">
        <f t="shared" si="181"/>
        <v>-5.65095215990018E-2</v>
      </c>
      <c r="CU95">
        <v>15</v>
      </c>
      <c r="CV95" s="13">
        <f t="shared" si="182"/>
        <v>0.5</v>
      </c>
      <c r="CW95" s="1">
        <v>112354.2078656347</v>
      </c>
      <c r="CX95" s="13">
        <f t="shared" si="183"/>
        <v>-7.7138045550042333E-2</v>
      </c>
      <c r="CY95">
        <v>14</v>
      </c>
      <c r="CZ95" s="13">
        <f t="shared" si="184"/>
        <v>-6.6666666666666652E-2</v>
      </c>
      <c r="DA95" s="1">
        <v>109498.9721301597</v>
      </c>
      <c r="DB95" s="13">
        <f t="shared" si="185"/>
        <v>-2.5412806424567558E-2</v>
      </c>
      <c r="DC95">
        <v>17</v>
      </c>
      <c r="DD95" s="13">
        <f t="shared" si="186"/>
        <v>0.21428571428571419</v>
      </c>
      <c r="DE95" s="1">
        <v>111127.3136448138</v>
      </c>
      <c r="DF95" s="13">
        <f t="shared" si="187"/>
        <v>1.4870838355619531E-2</v>
      </c>
      <c r="DG95" s="1">
        <v>21</v>
      </c>
      <c r="DH95" s="13">
        <f t="shared" si="188"/>
        <v>0.23529411764705888</v>
      </c>
      <c r="DI95" s="1">
        <v>110224.3809701252</v>
      </c>
      <c r="DJ95" s="13">
        <f t="shared" si="189"/>
        <v>-8.1252092314095803E-3</v>
      </c>
      <c r="DK95" s="1">
        <v>20</v>
      </c>
      <c r="DL95" s="13">
        <f t="shared" si="190"/>
        <v>-4.7619047619047672E-2</v>
      </c>
      <c r="DM95" s="1">
        <v>107876.22759758891</v>
      </c>
      <c r="DN95" s="13">
        <f t="shared" si="191"/>
        <v>-2.130339360375022E-2</v>
      </c>
      <c r="DO95" s="1">
        <v>17</v>
      </c>
      <c r="DP95" s="13">
        <f t="shared" si="192"/>
        <v>-0.15000000000000002</v>
      </c>
      <c r="DQ95" s="1">
        <v>113116.65336182631</v>
      </c>
      <c r="DR95" s="13">
        <f t="shared" si="193"/>
        <v>4.8578133300932524E-2</v>
      </c>
      <c r="DS95">
        <v>22</v>
      </c>
      <c r="DT95" s="13">
        <f t="shared" si="194"/>
        <v>0.29411764705882359</v>
      </c>
      <c r="DU95" s="1">
        <v>115018.8160456343</v>
      </c>
      <c r="DV95" s="13">
        <f t="shared" si="195"/>
        <v>1.6815938478338399E-2</v>
      </c>
      <c r="DW95">
        <v>23</v>
      </c>
      <c r="DX95" s="13">
        <f t="shared" si="196"/>
        <v>4.5454545454545414E-2</v>
      </c>
      <c r="DY95" s="1">
        <v>115320.6838457577</v>
      </c>
      <c r="DZ95" s="13">
        <f t="shared" si="197"/>
        <v>2.6245079761872958E-3</v>
      </c>
      <c r="EA95" s="1">
        <v>27</v>
      </c>
      <c r="EB95" s="13">
        <f t="shared" si="198"/>
        <v>0.17391304347826098</v>
      </c>
      <c r="EC95" s="1">
        <v>112995.96146119251</v>
      </c>
      <c r="ED95" s="13">
        <f t="shared" si="199"/>
        <v>-2.0158763432885363E-2</v>
      </c>
      <c r="EE95" s="1">
        <f>IFERROR(VLOOKUP($A95,[1]Москва_продажа_районы!$C$2:$F$148,2,0),"")</f>
        <v>30</v>
      </c>
      <c r="EF95" s="13">
        <v>0.11111111111111116</v>
      </c>
      <c r="EG95" s="1">
        <v>113695.2307804658</v>
      </c>
      <c r="EH95" s="13">
        <f t="shared" si="200"/>
        <v>6.1884452349516561E-3</v>
      </c>
      <c r="EI95" s="1">
        <f>IFERROR(VLOOKUP($A95,[2]Москва_продажа_районы!$C$2:$F$150,2,0),"")</f>
        <v>22</v>
      </c>
      <c r="EJ95" s="13">
        <v>-0.26666666666666672</v>
      </c>
      <c r="EK95" s="1">
        <v>111684.90193061921</v>
      </c>
      <c r="EL95" s="13">
        <f t="shared" si="201"/>
        <v>-1.7681734194535781E-2</v>
      </c>
      <c r="EM95">
        <v>24</v>
      </c>
      <c r="EN95" s="13">
        <f t="shared" si="202"/>
        <v>9.0909090909090828E-2</v>
      </c>
      <c r="EO95" s="1">
        <v>110763.9204216589</v>
      </c>
      <c r="EP95" s="13">
        <f t="shared" si="203"/>
        <v>-8.2462489829864261E-3</v>
      </c>
      <c r="EQ95">
        <v>19</v>
      </c>
      <c r="ER95" s="13">
        <f t="shared" si="204"/>
        <v>-0.20833333333333337</v>
      </c>
      <c r="ES95" s="183">
        <v>118247.02560674321</v>
      </c>
      <c r="ET95" s="13">
        <f t="shared" si="205"/>
        <v>6.7559049522601056E-2</v>
      </c>
      <c r="EU95">
        <v>18</v>
      </c>
      <c r="EV95" s="13">
        <f t="shared" si="206"/>
        <v>-5.2631578947368474E-2</v>
      </c>
      <c r="EW95" s="183">
        <v>119906.2085084742</v>
      </c>
      <c r="EX95" s="13">
        <f t="shared" si="207"/>
        <v>1.4031497986672248E-2</v>
      </c>
      <c r="EY95">
        <v>16</v>
      </c>
      <c r="EZ95" s="13">
        <f t="shared" si="208"/>
        <v>-0.11111111111111116</v>
      </c>
      <c r="FA95" s="1">
        <v>120715.2101089667</v>
      </c>
      <c r="FB95" s="13">
        <f t="shared" si="209"/>
        <v>6.7469533942883242E-3</v>
      </c>
      <c r="FC95" s="1">
        <v>14</v>
      </c>
      <c r="FD95" s="13">
        <f t="shared" si="210"/>
        <v>-0.125</v>
      </c>
      <c r="FE95" s="1">
        <v>130487.1129814626</v>
      </c>
      <c r="FF95" s="13">
        <f t="shared" si="211"/>
        <v>8.0950054791563142E-2</v>
      </c>
      <c r="FG95" s="1">
        <v>18</v>
      </c>
      <c r="FH95" s="13">
        <f t="shared" si="212"/>
        <v>0.28571428571428581</v>
      </c>
      <c r="FI95" s="1">
        <v>135577.03902241419</v>
      </c>
      <c r="FJ95" s="13">
        <f t="shared" si="213"/>
        <v>3.9007116677297171E-2</v>
      </c>
      <c r="FK95" s="1">
        <v>19</v>
      </c>
      <c r="FL95" s="13">
        <f t="shared" si="214"/>
        <v>5.555555555555558E-2</v>
      </c>
      <c r="FM95" s="1">
        <v>129464.6759767567</v>
      </c>
      <c r="FN95" s="13">
        <f t="shared" si="215"/>
        <v>-4.5084057667367783E-2</v>
      </c>
      <c r="FO95" s="1">
        <v>18</v>
      </c>
      <c r="FP95" s="13">
        <f t="shared" si="216"/>
        <v>-5.2631578947368474E-2</v>
      </c>
      <c r="FQ95" s="1">
        <v>128827.3480734669</v>
      </c>
      <c r="FR95" s="13">
        <f t="shared" si="217"/>
        <v>-4.9227937928352228E-3</v>
      </c>
      <c r="FS95">
        <v>15</v>
      </c>
      <c r="FT95" s="13">
        <f t="shared" si="218"/>
        <v>-0.16666666666666663</v>
      </c>
      <c r="FU95" s="1">
        <v>128903.9833147329</v>
      </c>
      <c r="FV95" s="13">
        <f t="shared" si="219"/>
        <v>5.9486780106898784E-4</v>
      </c>
      <c r="FW95" s="1">
        <v>19</v>
      </c>
      <c r="FX95" s="13">
        <f t="shared" si="220"/>
        <v>0.26666666666666661</v>
      </c>
      <c r="FY95" s="1">
        <v>124488.23712254679</v>
      </c>
      <c r="FZ95" s="13">
        <f t="shared" si="221"/>
        <v>-3.4256087970567894E-2</v>
      </c>
      <c r="GA95" s="1">
        <v>21</v>
      </c>
      <c r="GB95" s="13">
        <f t="shared" si="222"/>
        <v>0.10526315789473695</v>
      </c>
      <c r="GC95" s="1">
        <v>127744.7657030015</v>
      </c>
      <c r="GD95" s="13">
        <f t="shared" si="223"/>
        <v>2.6159327625862039E-2</v>
      </c>
      <c r="GE95" s="1">
        <v>22</v>
      </c>
      <c r="GF95" s="13">
        <f t="shared" si="224"/>
        <v>4.7619047619047672E-2</v>
      </c>
      <c r="GG95" s="1">
        <f>IFERROR(VLOOKUP(A95,[3]Москва_продажа_районы!$C$2:$F$149,3,0),"")</f>
        <v>128464.8091900685</v>
      </c>
      <c r="GH95" s="13">
        <v>5.636579182751511E-3</v>
      </c>
      <c r="GI95" s="1">
        <v>18</v>
      </c>
      <c r="GJ95" s="13">
        <f t="shared" si="225"/>
        <v>-0.18181818181818177</v>
      </c>
      <c r="GK95" s="1">
        <v>129528.3569374584</v>
      </c>
      <c r="GL95" s="13">
        <f t="shared" si="226"/>
        <v>8.2789034140575701E-3</v>
      </c>
      <c r="GM95" s="1">
        <v>17</v>
      </c>
      <c r="GN95" s="13">
        <f t="shared" si="227"/>
        <v>-5.555555555555558E-2</v>
      </c>
      <c r="GO95" s="1">
        <v>122800.1004538288</v>
      </c>
      <c r="GP95" s="13">
        <f t="shared" si="228"/>
        <v>-5.1944274155181991E-2</v>
      </c>
      <c r="GQ95" s="1">
        <v>17.12</v>
      </c>
      <c r="GR95" s="13">
        <f t="shared" si="229"/>
        <v>7.058823529411784E-3</v>
      </c>
      <c r="GS95" s="1">
        <v>121417.411045842</v>
      </c>
      <c r="GT95" s="13">
        <f t="shared" si="262"/>
        <v>-1.1259676522061723E-2</v>
      </c>
      <c r="GU95">
        <v>19</v>
      </c>
      <c r="GV95" s="13">
        <f t="shared" si="263"/>
        <v>0.10981308411214941</v>
      </c>
      <c r="GW95">
        <v>127099.4627399629</v>
      </c>
      <c r="GX95" s="13">
        <f t="shared" si="230"/>
        <v>4.6797668021232974E-2</v>
      </c>
      <c r="GY95">
        <v>24</v>
      </c>
      <c r="GZ95" s="13">
        <f t="shared" si="231"/>
        <v>0.26315789473684204</v>
      </c>
      <c r="HA95">
        <v>125723.842593312</v>
      </c>
      <c r="HB95" s="13">
        <v>-1.0823178296711755E-2</v>
      </c>
      <c r="HC95">
        <v>25</v>
      </c>
      <c r="HD95" s="13">
        <v>4.1666666666666741E-2</v>
      </c>
      <c r="HE95">
        <v>121551.4999511693</v>
      </c>
      <c r="HF95" s="13">
        <v>-3.3186566335227874E-2</v>
      </c>
      <c r="HG95">
        <v>22</v>
      </c>
      <c r="HH95" s="13">
        <v>-0.12</v>
      </c>
      <c r="HI95">
        <f>VLOOKUP(A95,[4]Москва_продажа_районы!$C$4:$F$151,3,0)</f>
        <v>119382.1453908855</v>
      </c>
      <c r="HJ95" s="13">
        <f t="shared" si="232"/>
        <v>-1.7847205185911208E-2</v>
      </c>
      <c r="HK95">
        <f>VLOOKUP(A95,[4]Москва_продажа_районы!$C$4:$F$151,2,0)</f>
        <v>16</v>
      </c>
      <c r="HL95" s="13">
        <f t="shared" si="233"/>
        <v>-0.27272727272727271</v>
      </c>
      <c r="HM95" s="1">
        <f>VLOOKUP(A95,Лист3!$C$4:$F$149,3,0)</f>
        <v>128611.4485569455</v>
      </c>
      <c r="HN95" s="13">
        <f t="shared" si="234"/>
        <v>7.7308906921056408E-2</v>
      </c>
      <c r="HO95">
        <f>VLOOKUP(A95,Лист3!$C$4:$F$149,2,0)</f>
        <v>13</v>
      </c>
      <c r="HP95" s="13">
        <f t="shared" si="235"/>
        <v>-0.1875</v>
      </c>
      <c r="HQ95" s="1">
        <v>126953.8197177964</v>
      </c>
      <c r="HR95" s="13">
        <v>-1.2888656941105414E-2</v>
      </c>
      <c r="HS95">
        <v>19</v>
      </c>
      <c r="HT95" s="13">
        <v>0.46153846153846145</v>
      </c>
      <c r="HU95" s="34">
        <v>123117.2191984583</v>
      </c>
      <c r="HV95" s="13">
        <v>-3.0220441794239994E-2</v>
      </c>
      <c r="HW95">
        <v>16</v>
      </c>
      <c r="HX95" s="13">
        <v>-0.15789473684210531</v>
      </c>
      <c r="HY95">
        <v>120853.60114215589</v>
      </c>
      <c r="HZ95" s="13">
        <v>-1.83858770612223E-2</v>
      </c>
      <c r="IA95">
        <v>15</v>
      </c>
      <c r="IB95" s="13">
        <v>-6.25E-2</v>
      </c>
      <c r="IC95" s="34">
        <v>120737.09707674041</v>
      </c>
      <c r="ID95" s="13">
        <v>-9.6400987901423818E-4</v>
      </c>
      <c r="IE95">
        <v>16</v>
      </c>
      <c r="IF95" s="13">
        <v>6.6666666666666652E-2</v>
      </c>
    </row>
    <row r="96" spans="1:240" x14ac:dyDescent="0.3">
      <c r="A96" s="23" t="s">
        <v>106</v>
      </c>
      <c r="B96" s="61">
        <v>127484.84255961538</v>
      </c>
      <c r="C96">
        <v>78</v>
      </c>
      <c r="D96" s="61">
        <v>129684.31301696977</v>
      </c>
      <c r="E96">
        <v>66</v>
      </c>
      <c r="F96" s="61">
        <v>126842.62678306126</v>
      </c>
      <c r="G96">
        <v>49</v>
      </c>
      <c r="H96" s="61">
        <v>133263.36616902179</v>
      </c>
      <c r="I96">
        <v>54</v>
      </c>
      <c r="J96" s="56">
        <v>133942.95876277957</v>
      </c>
      <c r="K96" s="47">
        <v>70</v>
      </c>
      <c r="L96" s="61">
        <v>135406.27836712269</v>
      </c>
      <c r="M96" s="47">
        <v>72</v>
      </c>
      <c r="N96" s="61">
        <v>141069.60715402616</v>
      </c>
      <c r="O96" s="47">
        <v>70</v>
      </c>
      <c r="P96" s="35">
        <v>143208.00918926828</v>
      </c>
      <c r="Q96" s="47">
        <v>58</v>
      </c>
      <c r="R96" s="35">
        <v>150567.74334177072</v>
      </c>
      <c r="S96" s="47">
        <v>50</v>
      </c>
      <c r="T96" s="35">
        <v>153087.53293773945</v>
      </c>
      <c r="U96">
        <v>34</v>
      </c>
      <c r="V96" s="56"/>
      <c r="W96" s="47"/>
      <c r="X96" s="65">
        <v>155089.98863355859</v>
      </c>
      <c r="Y96" s="47">
        <v>104</v>
      </c>
      <c r="AA96" s="81"/>
      <c r="AB96" t="s">
        <v>106</v>
      </c>
      <c r="AC96">
        <v>100</v>
      </c>
      <c r="AF96" s="13"/>
      <c r="AL96" s="35"/>
      <c r="BA96" s="119"/>
      <c r="BI96" s="13"/>
      <c r="BL96" s="13"/>
      <c r="BM96" s="34"/>
      <c r="BN96" s="109"/>
      <c r="BP96" s="13"/>
      <c r="BR96" s="13" t="str">
        <f t="shared" si="178"/>
        <v/>
      </c>
      <c r="BT96" s="13" t="str">
        <f t="shared" si="179"/>
        <v/>
      </c>
      <c r="BV96" s="13"/>
      <c r="BX96" s="13"/>
      <c r="BZ96" s="13"/>
      <c r="CB96" s="13"/>
      <c r="CC96" s="1">
        <v>209406.76377477261</v>
      </c>
      <c r="CD96" s="13"/>
      <c r="CE96">
        <v>169</v>
      </c>
      <c r="CF96" s="13"/>
      <c r="CG96" s="1">
        <v>203340.36644516551</v>
      </c>
      <c r="CH96" s="13"/>
      <c r="CI96">
        <v>190</v>
      </c>
      <c r="CJ96" s="13"/>
      <c r="CK96" s="1">
        <v>204012.85991723041</v>
      </c>
      <c r="CL96" s="13">
        <f t="shared" si="260"/>
        <v>3.3072305505372768E-3</v>
      </c>
      <c r="CM96">
        <v>208</v>
      </c>
      <c r="CN96" s="13">
        <f t="shared" si="261"/>
        <v>9.473684210526323E-2</v>
      </c>
      <c r="CO96" s="1">
        <v>203238.14338374339</v>
      </c>
      <c r="CP96" s="13">
        <v>-3.7973906831232362E-3</v>
      </c>
      <c r="CQ96">
        <v>208</v>
      </c>
      <c r="CR96" s="13">
        <v>0</v>
      </c>
      <c r="CS96" s="1">
        <v>200837.6489754529</v>
      </c>
      <c r="CT96" s="13">
        <f t="shared" si="181"/>
        <v>-1.1811239604555879E-2</v>
      </c>
      <c r="CU96">
        <v>227</v>
      </c>
      <c r="CV96" s="13">
        <f t="shared" si="182"/>
        <v>9.1346153846153744E-2</v>
      </c>
      <c r="CW96" s="1">
        <v>198940.50158827851</v>
      </c>
      <c r="CX96" s="13">
        <f t="shared" si="183"/>
        <v>-9.4461740458148258E-3</v>
      </c>
      <c r="CY96">
        <v>230</v>
      </c>
      <c r="CZ96" s="13">
        <f t="shared" si="184"/>
        <v>1.3215859030837107E-2</v>
      </c>
      <c r="DA96" s="1">
        <v>199661.9096841205</v>
      </c>
      <c r="DB96" s="13">
        <f t="shared" si="185"/>
        <v>3.6262505125024269E-3</v>
      </c>
      <c r="DC96">
        <v>228</v>
      </c>
      <c r="DD96" s="13">
        <f t="shared" si="186"/>
        <v>-8.6956521739129933E-3</v>
      </c>
      <c r="DE96" s="1">
        <v>200684.01398607399</v>
      </c>
      <c r="DF96" s="13">
        <f t="shared" si="187"/>
        <v>5.1191752276160685E-3</v>
      </c>
      <c r="DG96" s="1">
        <v>210</v>
      </c>
      <c r="DH96" s="13">
        <f t="shared" si="188"/>
        <v>-7.8947368421052655E-2</v>
      </c>
      <c r="DI96" s="1">
        <v>200706.71798696881</v>
      </c>
      <c r="DJ96" s="13">
        <f t="shared" si="189"/>
        <v>1.131330814241327E-4</v>
      </c>
      <c r="DK96" s="1">
        <v>189</v>
      </c>
      <c r="DL96" s="13">
        <f t="shared" si="190"/>
        <v>-9.9999999999999978E-2</v>
      </c>
      <c r="DM96" s="1">
        <v>199032.4667409414</v>
      </c>
      <c r="DN96" s="13">
        <f t="shared" si="191"/>
        <v>-8.3417798009935984E-3</v>
      </c>
      <c r="DO96" s="1">
        <v>201</v>
      </c>
      <c r="DP96" s="13">
        <f t="shared" si="192"/>
        <v>6.3492063492063489E-2</v>
      </c>
      <c r="DQ96" s="1">
        <v>198529.58452371249</v>
      </c>
      <c r="DR96" s="13">
        <f t="shared" si="193"/>
        <v>-2.5266340987646352E-3</v>
      </c>
      <c r="DS96">
        <v>218</v>
      </c>
      <c r="DT96" s="13">
        <f t="shared" si="194"/>
        <v>8.4577114427860645E-2</v>
      </c>
      <c r="DU96" s="1">
        <v>198258.94206862591</v>
      </c>
      <c r="DV96" s="13">
        <f t="shared" si="195"/>
        <v>-1.3632348837875341E-3</v>
      </c>
      <c r="DW96">
        <v>236</v>
      </c>
      <c r="DX96" s="13">
        <f t="shared" si="196"/>
        <v>8.256880733944949E-2</v>
      </c>
      <c r="DY96" s="1">
        <v>198199.31534110039</v>
      </c>
      <c r="DZ96" s="13">
        <f t="shared" si="197"/>
        <v>-3.0075176889066135E-4</v>
      </c>
      <c r="EA96" s="1">
        <v>244</v>
      </c>
      <c r="EB96" s="13">
        <f t="shared" si="198"/>
        <v>3.3898305084745672E-2</v>
      </c>
      <c r="EC96" s="1">
        <v>197009.92606769959</v>
      </c>
      <c r="ED96" s="13">
        <f t="shared" si="199"/>
        <v>-6.0009756913330659E-3</v>
      </c>
      <c r="EE96" s="1">
        <f>IFERROR(VLOOKUP($A96,[1]Москва_продажа_районы!$C$2:$F$148,2,0),"")</f>
        <v>220</v>
      </c>
      <c r="EF96" s="13">
        <v>-9.8360655737704916E-2</v>
      </c>
      <c r="EG96" s="1">
        <v>199737.2595439764</v>
      </c>
      <c r="EH96" s="13">
        <f t="shared" si="200"/>
        <v>1.3843634839696417E-2</v>
      </c>
      <c r="EI96" s="1">
        <f>IFERROR(VLOOKUP($A96,[2]Москва_продажа_районы!$C$2:$F$150,2,0),"")</f>
        <v>215</v>
      </c>
      <c r="EJ96" s="13">
        <v>-2.2727272727272707E-2</v>
      </c>
      <c r="EK96" s="1">
        <v>203912.5305673806</v>
      </c>
      <c r="EL96" s="13">
        <f t="shared" si="201"/>
        <v>2.0903816508431206E-2</v>
      </c>
      <c r="EM96">
        <v>221</v>
      </c>
      <c r="EN96" s="13">
        <f t="shared" si="202"/>
        <v>2.7906976744185963E-2</v>
      </c>
      <c r="EO96" s="1">
        <v>201909.7140069764</v>
      </c>
      <c r="EP96" s="13">
        <f t="shared" si="203"/>
        <v>-9.82193960729838E-3</v>
      </c>
      <c r="EQ96">
        <v>199</v>
      </c>
      <c r="ER96" s="13">
        <f t="shared" si="204"/>
        <v>-9.9547511312217174E-2</v>
      </c>
      <c r="ES96" s="183">
        <v>202579.70342546949</v>
      </c>
      <c r="ET96" s="13">
        <f t="shared" si="205"/>
        <v>3.3182624312466658E-3</v>
      </c>
      <c r="EU96">
        <v>199</v>
      </c>
      <c r="EV96" s="13">
        <f t="shared" si="206"/>
        <v>0</v>
      </c>
      <c r="EW96" s="183">
        <v>204702.48804249929</v>
      </c>
      <c r="EX96" s="13">
        <f t="shared" si="207"/>
        <v>1.0478762586454193E-2</v>
      </c>
      <c r="EY96">
        <v>215</v>
      </c>
      <c r="EZ96" s="13">
        <f t="shared" si="208"/>
        <v>8.040201005025116E-2</v>
      </c>
      <c r="FA96" s="1">
        <v>203078.92106916039</v>
      </c>
      <c r="FB96" s="13">
        <f t="shared" si="209"/>
        <v>-7.9313494860981937E-3</v>
      </c>
      <c r="FC96" s="1">
        <v>197</v>
      </c>
      <c r="FD96" s="13">
        <f t="shared" si="210"/>
        <v>-8.3720930232558111E-2</v>
      </c>
      <c r="FE96" s="1">
        <v>202700.30439350969</v>
      </c>
      <c r="FF96" s="13">
        <f t="shared" si="211"/>
        <v>-1.8643819538599615E-3</v>
      </c>
      <c r="FG96" s="1">
        <v>203</v>
      </c>
      <c r="FH96" s="13">
        <f t="shared" si="212"/>
        <v>3.0456852791878264E-2</v>
      </c>
      <c r="FI96" s="1">
        <v>199516.0624857909</v>
      </c>
      <c r="FJ96" s="13">
        <f t="shared" si="213"/>
        <v>-1.5709112609604725E-2</v>
      </c>
      <c r="FK96" s="1">
        <v>239</v>
      </c>
      <c r="FL96" s="13">
        <f t="shared" si="214"/>
        <v>0.17733990147783252</v>
      </c>
      <c r="FM96" s="1">
        <v>202646.58525122091</v>
      </c>
      <c r="FN96" s="13">
        <f t="shared" si="215"/>
        <v>1.5690580128870479E-2</v>
      </c>
      <c r="FO96" s="1">
        <v>256</v>
      </c>
      <c r="FP96" s="13">
        <f t="shared" si="216"/>
        <v>7.1129707112970619E-2</v>
      </c>
      <c r="FQ96" s="1">
        <v>200279.44472236451</v>
      </c>
      <c r="FR96" s="13">
        <f t="shared" si="217"/>
        <v>-1.1681127150116266E-2</v>
      </c>
      <c r="FS96">
        <v>245</v>
      </c>
      <c r="FT96" s="13">
        <f t="shared" si="218"/>
        <v>-4.296875E-2</v>
      </c>
      <c r="FU96" s="1">
        <v>201625.5484915516</v>
      </c>
      <c r="FV96" s="13">
        <f t="shared" si="219"/>
        <v>6.7211279272973989E-3</v>
      </c>
      <c r="FW96" s="1">
        <v>248</v>
      </c>
      <c r="FX96" s="13">
        <f t="shared" si="220"/>
        <v>1.2244897959183598E-2</v>
      </c>
      <c r="FY96" s="1">
        <v>200956.20713092311</v>
      </c>
      <c r="FZ96" s="13">
        <f t="shared" si="221"/>
        <v>-3.3197249338494661E-3</v>
      </c>
      <c r="GA96" s="1">
        <v>249</v>
      </c>
      <c r="GB96" s="13">
        <f t="shared" si="222"/>
        <v>4.0322580645162365E-3</v>
      </c>
      <c r="GC96" s="1">
        <v>201873.1108409263</v>
      </c>
      <c r="GD96" s="13">
        <f t="shared" si="223"/>
        <v>4.5627040990370293E-3</v>
      </c>
      <c r="GE96" s="1">
        <v>252</v>
      </c>
      <c r="GF96" s="13">
        <f t="shared" si="224"/>
        <v>1.2048192771084265E-2</v>
      </c>
      <c r="GG96" s="1">
        <f>IFERROR(VLOOKUP(A96,[3]Москва_продажа_районы!$C$2:$F$149,3,0),"")</f>
        <v>201602.15178348109</v>
      </c>
      <c r="GH96" s="13">
        <v>-1.3422246098873103E-3</v>
      </c>
      <c r="GI96" s="1">
        <v>268</v>
      </c>
      <c r="GJ96" s="13">
        <f t="shared" si="225"/>
        <v>6.3492063492063489E-2</v>
      </c>
      <c r="GK96" s="1">
        <v>202955.26165178261</v>
      </c>
      <c r="GL96" s="13">
        <f t="shared" si="226"/>
        <v>6.7117828670535395E-3</v>
      </c>
      <c r="GM96" s="1">
        <v>243</v>
      </c>
      <c r="GN96" s="13">
        <f t="shared" si="227"/>
        <v>-9.3283582089552231E-2</v>
      </c>
      <c r="GO96" s="1">
        <v>203613.770515563</v>
      </c>
      <c r="GP96" s="13">
        <f t="shared" si="228"/>
        <v>3.2446010929749747E-3</v>
      </c>
      <c r="GQ96" s="1">
        <v>251.45000000000002</v>
      </c>
      <c r="GR96" s="13">
        <f t="shared" si="229"/>
        <v>3.4773662551440321E-2</v>
      </c>
      <c r="GS96" s="1">
        <v>204067.89641349539</v>
      </c>
      <c r="GT96" s="13">
        <f t="shared" si="262"/>
        <v>2.2303299859460779E-3</v>
      </c>
      <c r="GU96">
        <v>240</v>
      </c>
      <c r="GV96" s="13">
        <f t="shared" si="263"/>
        <v>-4.5535891827401143E-2</v>
      </c>
      <c r="GW96">
        <v>203399.9601475173</v>
      </c>
      <c r="GX96" s="13">
        <f t="shared" si="230"/>
        <v>-3.2731080082516462E-3</v>
      </c>
      <c r="GY96">
        <v>199</v>
      </c>
      <c r="GZ96" s="13">
        <f t="shared" si="231"/>
        <v>-0.17083333333333328</v>
      </c>
      <c r="HA96">
        <v>202231.11575357401</v>
      </c>
      <c r="HB96" s="13">
        <v>-5.7465320696010735E-3</v>
      </c>
      <c r="HC96">
        <v>183</v>
      </c>
      <c r="HD96" s="13">
        <v>-8.0402010050251271E-2</v>
      </c>
      <c r="HE96">
        <v>204539.2036806301</v>
      </c>
      <c r="HF96" s="13">
        <v>1.1413119679706485E-2</v>
      </c>
      <c r="HG96">
        <v>195</v>
      </c>
      <c r="HH96" s="13">
        <v>6.5573770491803351E-2</v>
      </c>
      <c r="HI96">
        <f>VLOOKUP(A96,[4]Москва_продажа_районы!$C$4:$F$151,3,0)</f>
        <v>207761.67883618831</v>
      </c>
      <c r="HJ96" s="13">
        <f t="shared" si="232"/>
        <v>1.57548044461433E-2</v>
      </c>
      <c r="HK96">
        <f>VLOOKUP(A96,[4]Москва_продажа_районы!$C$4:$F$151,2,0)</f>
        <v>190</v>
      </c>
      <c r="HL96" s="13">
        <f t="shared" si="233"/>
        <v>-2.5641025641025661E-2</v>
      </c>
      <c r="HM96" s="1">
        <f>VLOOKUP(A96,Лист3!$C$4:$F$149,3,0)</f>
        <v>208848.3691125224</v>
      </c>
      <c r="HN96" s="13">
        <f t="shared" si="234"/>
        <v>5.2304654179797794E-3</v>
      </c>
      <c r="HO96">
        <f>VLOOKUP(A96,Лист3!$C$4:$F$149,2,0)</f>
        <v>200</v>
      </c>
      <c r="HP96" s="13">
        <f t="shared" si="235"/>
        <v>5.2631578947368363E-2</v>
      </c>
      <c r="HQ96" s="1">
        <v>208090.5479617278</v>
      </c>
      <c r="HR96" s="13">
        <v>-3.6285710729505594E-3</v>
      </c>
      <c r="HS96">
        <v>192</v>
      </c>
      <c r="HT96" s="13">
        <v>-4.0000000000000036E-2</v>
      </c>
      <c r="HU96" s="34">
        <v>208758.77320963351</v>
      </c>
      <c r="HV96" s="13">
        <v>3.2112234527279515E-3</v>
      </c>
      <c r="HW96">
        <v>178</v>
      </c>
      <c r="HX96" s="13">
        <v>-7.291666666666663E-2</v>
      </c>
      <c r="HY96">
        <v>209683.75541281031</v>
      </c>
      <c r="HZ96" s="13">
        <v>4.4308662527343667E-3</v>
      </c>
      <c r="IA96">
        <v>186</v>
      </c>
      <c r="IB96" s="13">
        <v>4.4943820224719211E-2</v>
      </c>
      <c r="IC96" s="34">
        <v>212566.524612888</v>
      </c>
      <c r="ID96" s="13">
        <v>1.3748176125529143E-2</v>
      </c>
      <c r="IE96">
        <v>175</v>
      </c>
      <c r="IF96" s="13">
        <v>-5.9139784946236507E-2</v>
      </c>
    </row>
    <row r="97" spans="1:240" x14ac:dyDescent="0.3">
      <c r="A97" s="23" t="s">
        <v>107</v>
      </c>
      <c r="B97" s="61"/>
      <c r="D97" s="61"/>
      <c r="F97" s="61"/>
      <c r="H97" s="61"/>
      <c r="J97" s="56">
        <v>154545.45454545456</v>
      </c>
      <c r="K97" s="47">
        <v>1</v>
      </c>
      <c r="L97" s="61">
        <v>150667.22268557129</v>
      </c>
      <c r="M97" s="47">
        <v>2</v>
      </c>
      <c r="N97" s="61">
        <v>131739.45488517321</v>
      </c>
      <c r="O97" s="47">
        <v>3</v>
      </c>
      <c r="P97" s="35">
        <v>124214.68691491574</v>
      </c>
      <c r="Q97" s="47">
        <v>2</v>
      </c>
      <c r="R97" s="35">
        <v>146030.15002676466</v>
      </c>
      <c r="S97" s="47">
        <v>2</v>
      </c>
      <c r="T97" s="62"/>
      <c r="U97" s="62"/>
      <c r="V97" s="56"/>
      <c r="W97" s="47"/>
      <c r="X97" s="65">
        <v>132784.87582888969</v>
      </c>
      <c r="Y97" s="47">
        <v>19</v>
      </c>
      <c r="AA97" s="81"/>
      <c r="AB97" t="s">
        <v>107</v>
      </c>
      <c r="AC97">
        <v>31</v>
      </c>
      <c r="AF97" s="13"/>
      <c r="AL97" s="35"/>
      <c r="BA97" s="119"/>
      <c r="BI97" s="13"/>
      <c r="BL97" s="13"/>
      <c r="BM97" s="34"/>
      <c r="BN97" s="109"/>
      <c r="BP97" s="13"/>
      <c r="BR97" s="13" t="str">
        <f t="shared" si="178"/>
        <v/>
      </c>
      <c r="BT97" s="13" t="str">
        <f t="shared" si="179"/>
        <v/>
      </c>
      <c r="BV97" s="13"/>
      <c r="BX97" s="13"/>
      <c r="BZ97" s="13"/>
      <c r="CB97" s="13"/>
      <c r="CC97" s="1">
        <v>158864.43533646539</v>
      </c>
      <c r="CD97" s="13"/>
      <c r="CE97">
        <v>37</v>
      </c>
      <c r="CF97" s="13"/>
      <c r="CG97" s="1">
        <v>158388.09628224041</v>
      </c>
      <c r="CH97" s="13"/>
      <c r="CI97">
        <v>31</v>
      </c>
      <c r="CJ97" s="13"/>
      <c r="CK97" s="1">
        <v>155817.65693399089</v>
      </c>
      <c r="CL97" s="13">
        <f t="shared" si="260"/>
        <v>-1.6228740723476576E-2</v>
      </c>
      <c r="CM97">
        <v>36</v>
      </c>
      <c r="CN97" s="13">
        <f t="shared" si="261"/>
        <v>0.16129032258064524</v>
      </c>
      <c r="CO97" s="1">
        <v>157092.37067437221</v>
      </c>
      <c r="CP97" s="13">
        <v>8.1808041878164151E-3</v>
      </c>
      <c r="CQ97">
        <v>32</v>
      </c>
      <c r="CR97" s="13">
        <v>-0.11111111111111116</v>
      </c>
      <c r="CS97" s="1">
        <v>162253.725738518</v>
      </c>
      <c r="CT97" s="13">
        <f t="shared" si="181"/>
        <v>3.2855542519276471E-2</v>
      </c>
      <c r="CU97">
        <v>38</v>
      </c>
      <c r="CV97" s="13">
        <f t="shared" si="182"/>
        <v>0.1875</v>
      </c>
      <c r="CW97" s="1">
        <v>164216.35518344771</v>
      </c>
      <c r="CX97" s="13">
        <f t="shared" si="183"/>
        <v>1.2096051637622285E-2</v>
      </c>
      <c r="CY97">
        <v>35</v>
      </c>
      <c r="CZ97" s="13">
        <f t="shared" si="184"/>
        <v>-7.8947368421052655E-2</v>
      </c>
      <c r="DA97" s="1">
        <v>161571.58747077009</v>
      </c>
      <c r="DB97" s="13">
        <f t="shared" si="185"/>
        <v>-1.6105385542890205E-2</v>
      </c>
      <c r="DC97">
        <v>35</v>
      </c>
      <c r="DD97" s="13">
        <f t="shared" si="186"/>
        <v>0</v>
      </c>
      <c r="DE97" s="1">
        <v>156731.9052046288</v>
      </c>
      <c r="DF97" s="13">
        <f t="shared" si="187"/>
        <v>-2.9953795354129564E-2</v>
      </c>
      <c r="DG97" s="1">
        <v>36</v>
      </c>
      <c r="DH97" s="13">
        <f t="shared" si="188"/>
        <v>2.857142857142847E-2</v>
      </c>
      <c r="DI97" s="1">
        <v>157037.18251645201</v>
      </c>
      <c r="DJ97" s="13">
        <f t="shared" si="189"/>
        <v>1.9477675041634779E-3</v>
      </c>
      <c r="DK97" s="1">
        <v>40</v>
      </c>
      <c r="DL97" s="13">
        <f t="shared" si="190"/>
        <v>0.11111111111111116</v>
      </c>
      <c r="DM97" s="1">
        <v>155384.62221586131</v>
      </c>
      <c r="DN97" s="13">
        <f t="shared" si="191"/>
        <v>-1.052336952375954E-2</v>
      </c>
      <c r="DO97" s="1">
        <v>39</v>
      </c>
      <c r="DP97" s="13">
        <f t="shared" si="192"/>
        <v>-2.5000000000000022E-2</v>
      </c>
      <c r="DQ97" s="1">
        <v>156627.47486029079</v>
      </c>
      <c r="DR97" s="13">
        <f t="shared" si="193"/>
        <v>7.9985562709217195E-3</v>
      </c>
      <c r="DS97">
        <v>42</v>
      </c>
      <c r="DT97" s="13">
        <f t="shared" si="194"/>
        <v>7.6923076923076872E-2</v>
      </c>
      <c r="DU97" s="1">
        <v>156759.1569310065</v>
      </c>
      <c r="DV97" s="13">
        <f t="shared" si="195"/>
        <v>8.4073417408503381E-4</v>
      </c>
      <c r="DW97">
        <v>43</v>
      </c>
      <c r="DX97" s="13">
        <f t="shared" si="196"/>
        <v>2.3809523809523725E-2</v>
      </c>
      <c r="DY97" s="1">
        <v>155157.18146698401</v>
      </c>
      <c r="DZ97" s="13">
        <f t="shared" si="197"/>
        <v>-1.0219342176786217E-2</v>
      </c>
      <c r="EA97" s="1">
        <v>50</v>
      </c>
      <c r="EB97" s="13">
        <f t="shared" si="198"/>
        <v>0.16279069767441867</v>
      </c>
      <c r="EC97" s="1">
        <v>158578.96707225821</v>
      </c>
      <c r="ED97" s="13">
        <f t="shared" si="199"/>
        <v>2.2053672107999134E-2</v>
      </c>
      <c r="EE97" s="1">
        <f>IFERROR(VLOOKUP($A97,[1]Москва_продажа_районы!$C$2:$F$148,2,0),"")</f>
        <v>46</v>
      </c>
      <c r="EF97" s="13">
        <v>-7.999999999999996E-2</v>
      </c>
      <c r="EG97" s="1">
        <v>155722.1304196027</v>
      </c>
      <c r="EH97" s="13">
        <f t="shared" si="200"/>
        <v>-1.8015230552950623E-2</v>
      </c>
      <c r="EI97" s="1">
        <f>IFERROR(VLOOKUP($A97,[2]Москва_продажа_районы!$C$2:$F$150,2,0),"")</f>
        <v>43</v>
      </c>
      <c r="EJ97" s="13">
        <v>-6.5217391304347783E-2</v>
      </c>
      <c r="EK97" s="1">
        <v>157099.7199332703</v>
      </c>
      <c r="EL97" s="13">
        <f t="shared" si="201"/>
        <v>8.8464594592663204E-3</v>
      </c>
      <c r="EM97">
        <v>46</v>
      </c>
      <c r="EN97" s="13">
        <f t="shared" si="202"/>
        <v>6.9767441860465018E-2</v>
      </c>
      <c r="EO97" s="1">
        <v>156263.6721270562</v>
      </c>
      <c r="EP97" s="13">
        <f t="shared" si="203"/>
        <v>-5.3217650965210472E-3</v>
      </c>
      <c r="EQ97">
        <v>42</v>
      </c>
      <c r="ER97" s="13">
        <f t="shared" si="204"/>
        <v>-8.6956521739130488E-2</v>
      </c>
      <c r="ES97" s="183">
        <v>155973.1339959694</v>
      </c>
      <c r="ET97" s="13">
        <f t="shared" si="205"/>
        <v>-1.859281348838171E-3</v>
      </c>
      <c r="EU97">
        <v>41</v>
      </c>
      <c r="EV97" s="13">
        <f t="shared" si="206"/>
        <v>-2.3809523809523836E-2</v>
      </c>
      <c r="EW97" s="183">
        <v>158041.84145868121</v>
      </c>
      <c r="EX97" s="13">
        <f t="shared" si="207"/>
        <v>1.3263229440303892E-2</v>
      </c>
      <c r="EY97">
        <v>33</v>
      </c>
      <c r="EZ97" s="13">
        <f t="shared" si="208"/>
        <v>-0.19512195121951215</v>
      </c>
      <c r="FA97" s="1">
        <v>154623.46710056969</v>
      </c>
      <c r="FB97" s="13">
        <f t="shared" si="209"/>
        <v>-2.1629552823232756E-2</v>
      </c>
      <c r="FC97" s="1">
        <v>29</v>
      </c>
      <c r="FD97" s="13">
        <f t="shared" si="210"/>
        <v>-0.12121212121212122</v>
      </c>
      <c r="FE97" s="1">
        <v>156642.67649197899</v>
      </c>
      <c r="FF97" s="13">
        <f t="shared" si="211"/>
        <v>1.3058880577913712E-2</v>
      </c>
      <c r="FG97" s="1">
        <v>30</v>
      </c>
      <c r="FH97" s="13">
        <f t="shared" si="212"/>
        <v>3.4482758620689724E-2</v>
      </c>
      <c r="FI97" s="1">
        <v>157672.50650148161</v>
      </c>
      <c r="FJ97" s="13">
        <f t="shared" si="213"/>
        <v>6.5743897676273644E-3</v>
      </c>
      <c r="FK97" s="1">
        <v>34</v>
      </c>
      <c r="FL97" s="13">
        <f t="shared" si="214"/>
        <v>0.1333333333333333</v>
      </c>
      <c r="FM97" s="1">
        <v>157364.82209363801</v>
      </c>
      <c r="FN97" s="13">
        <f t="shared" si="215"/>
        <v>-1.951414451832223E-3</v>
      </c>
      <c r="FO97" s="1">
        <v>35</v>
      </c>
      <c r="FP97" s="13">
        <f t="shared" si="216"/>
        <v>2.9411764705882248E-2</v>
      </c>
      <c r="FQ97" s="1">
        <v>156998.4851761442</v>
      </c>
      <c r="FR97" s="13">
        <f t="shared" si="217"/>
        <v>-2.3279466949470695E-3</v>
      </c>
      <c r="FS97">
        <v>32</v>
      </c>
      <c r="FT97" s="13">
        <f t="shared" si="218"/>
        <v>-8.5714285714285743E-2</v>
      </c>
      <c r="FU97" s="1">
        <v>155008.9785546356</v>
      </c>
      <c r="FV97" s="13">
        <f t="shared" si="219"/>
        <v>-1.2672138965394986E-2</v>
      </c>
      <c r="FW97" s="1">
        <v>28</v>
      </c>
      <c r="FX97" s="13">
        <f t="shared" si="220"/>
        <v>-0.125</v>
      </c>
      <c r="FY97" s="1">
        <v>153119.966787552</v>
      </c>
      <c r="FZ97" s="13">
        <f t="shared" si="221"/>
        <v>-1.2186466775650606E-2</v>
      </c>
      <c r="GA97" s="1">
        <v>34</v>
      </c>
      <c r="GB97" s="13">
        <f t="shared" si="222"/>
        <v>0.21428571428571419</v>
      </c>
      <c r="GC97" s="1">
        <v>155918.5323580406</v>
      </c>
      <c r="GD97" s="13">
        <f t="shared" si="223"/>
        <v>1.8276947345289729E-2</v>
      </c>
      <c r="GE97" s="1">
        <v>43</v>
      </c>
      <c r="GF97" s="13">
        <f t="shared" si="224"/>
        <v>0.26470588235294112</v>
      </c>
      <c r="GG97" s="1">
        <f>IFERROR(VLOOKUP(A97,[3]Москва_продажа_районы!$C$2:$F$149,3,0),"")</f>
        <v>164077.5287503041</v>
      </c>
      <c r="GH97" s="13">
        <v>5.2328586402594857E-2</v>
      </c>
      <c r="GI97" s="1">
        <v>41</v>
      </c>
      <c r="GJ97" s="13">
        <f t="shared" si="225"/>
        <v>-4.6511627906976716E-2</v>
      </c>
      <c r="GK97" s="1">
        <v>165443.047045752</v>
      </c>
      <c r="GL97" s="13">
        <f t="shared" si="226"/>
        <v>8.3223967708945246E-3</v>
      </c>
      <c r="GM97" s="1">
        <v>42</v>
      </c>
      <c r="GN97" s="13">
        <f t="shared" si="227"/>
        <v>2.4390243902439046E-2</v>
      </c>
      <c r="GO97" s="1">
        <v>163956.26261161381</v>
      </c>
      <c r="GP97" s="13">
        <f t="shared" si="228"/>
        <v>-8.98668430427918E-3</v>
      </c>
      <c r="GQ97" s="1">
        <v>36.380000000000003</v>
      </c>
      <c r="GR97" s="13">
        <f t="shared" si="229"/>
        <v>-0.13380952380952371</v>
      </c>
      <c r="GS97" s="1">
        <v>163381.26971284431</v>
      </c>
      <c r="GT97" s="13">
        <f t="shared" si="262"/>
        <v>-3.5069895447151778E-3</v>
      </c>
      <c r="GU97">
        <v>37</v>
      </c>
      <c r="GV97" s="13">
        <f t="shared" si="263"/>
        <v>1.7042330951071882E-2</v>
      </c>
      <c r="GW97">
        <v>161448.2183404307</v>
      </c>
      <c r="GX97" s="13">
        <f t="shared" si="230"/>
        <v>-1.1831535988250708E-2</v>
      </c>
      <c r="GY97">
        <v>37</v>
      </c>
      <c r="GZ97" s="13">
        <f t="shared" si="231"/>
        <v>0</v>
      </c>
      <c r="HA97">
        <v>159533.42761635399</v>
      </c>
      <c r="HB97" s="13">
        <v>-1.1860092008195267E-2</v>
      </c>
      <c r="HC97">
        <v>26</v>
      </c>
      <c r="HD97" s="13">
        <v>-0.29729729729729726</v>
      </c>
      <c r="HE97">
        <v>160945.57062703281</v>
      </c>
      <c r="HF97" s="13">
        <v>8.851706076764998E-3</v>
      </c>
      <c r="HG97">
        <v>25</v>
      </c>
      <c r="HH97" s="13">
        <v>-3.8461538461538436E-2</v>
      </c>
      <c r="HI97">
        <f>VLOOKUP(A97,[4]Москва_продажа_районы!$C$4:$F$151,3,0)</f>
        <v>167007.35177187159</v>
      </c>
      <c r="HJ97" s="13">
        <f t="shared" si="232"/>
        <v>3.7663547503808292E-2</v>
      </c>
      <c r="HK97">
        <f>VLOOKUP(A97,[4]Москва_продажа_районы!$C$4:$F$151,2,0)</f>
        <v>29</v>
      </c>
      <c r="HL97" s="13">
        <f t="shared" si="233"/>
        <v>0.15999999999999992</v>
      </c>
      <c r="HM97" s="1">
        <f>VLOOKUP(A97,Лист3!$C$4:$F$149,3,0)</f>
        <v>166976.93398620791</v>
      </c>
      <c r="HN97" s="13">
        <f t="shared" si="234"/>
        <v>-1.8213441109604656E-4</v>
      </c>
      <c r="HO97">
        <f>VLOOKUP(A97,Лист3!$C$4:$F$149,2,0)</f>
        <v>27</v>
      </c>
      <c r="HP97" s="13">
        <f t="shared" si="235"/>
        <v>-6.8965517241379337E-2</v>
      </c>
      <c r="HQ97" s="1">
        <v>167928.0420569203</v>
      </c>
      <c r="HR97" s="13">
        <v>5.6960446452498648E-3</v>
      </c>
      <c r="HS97">
        <v>33</v>
      </c>
      <c r="HT97" s="13">
        <v>0.22222222222222232</v>
      </c>
      <c r="HU97" s="34">
        <v>171060.01909209311</v>
      </c>
      <c r="HV97" s="13">
        <v>1.865070893943499E-2</v>
      </c>
      <c r="HW97">
        <v>37</v>
      </c>
      <c r="HX97" s="13">
        <v>0.1212121212121211</v>
      </c>
      <c r="HY97">
        <v>172205.67426697101</v>
      </c>
      <c r="HZ97" s="13">
        <v>6.6973871566162746E-3</v>
      </c>
      <c r="IA97">
        <v>40</v>
      </c>
      <c r="IB97" s="13">
        <v>8.1081081081081141E-2</v>
      </c>
      <c r="IC97" s="34">
        <v>171452.65682903901</v>
      </c>
      <c r="ID97" s="13">
        <v>-4.3727794751095006E-3</v>
      </c>
      <c r="IE97">
        <v>38</v>
      </c>
      <c r="IF97" s="13">
        <v>-5.0000000000000044E-2</v>
      </c>
    </row>
    <row r="98" spans="1:240" x14ac:dyDescent="0.3">
      <c r="A98" t="s">
        <v>177</v>
      </c>
      <c r="B98" s="61"/>
      <c r="D98" s="61"/>
      <c r="F98" s="61"/>
      <c r="H98" s="61"/>
      <c r="J98" s="56"/>
      <c r="K98" s="47"/>
      <c r="L98" s="61"/>
      <c r="M98" s="47"/>
      <c r="N98" s="61"/>
      <c r="O98" s="47"/>
      <c r="P98" s="35"/>
      <c r="Q98" s="47"/>
      <c r="R98" s="35"/>
      <c r="S98" s="47"/>
      <c r="T98" s="62"/>
      <c r="U98" s="62"/>
      <c r="V98" s="56"/>
      <c r="W98" s="47"/>
      <c r="X98" s="65">
        <v>130975.5601981794</v>
      </c>
      <c r="Y98" s="47">
        <v>18</v>
      </c>
      <c r="AA98" s="81"/>
      <c r="AB98" t="s">
        <v>177</v>
      </c>
      <c r="AC98">
        <v>14</v>
      </c>
      <c r="AF98" s="13"/>
      <c r="AL98" s="35"/>
      <c r="BA98" s="119"/>
      <c r="BI98" s="13"/>
      <c r="BL98" s="13"/>
      <c r="BM98" s="34"/>
      <c r="BN98" s="109"/>
      <c r="BP98" s="13"/>
      <c r="BR98" s="13" t="str">
        <f t="shared" si="178"/>
        <v/>
      </c>
      <c r="BT98" s="13" t="str">
        <f t="shared" si="179"/>
        <v/>
      </c>
      <c r="BV98" s="13"/>
      <c r="BX98" s="13"/>
      <c r="BZ98" s="13"/>
      <c r="CB98" s="13"/>
      <c r="CC98" s="1">
        <v>150607.60360748149</v>
      </c>
      <c r="CD98" s="13"/>
      <c r="CE98">
        <v>26</v>
      </c>
      <c r="CF98" s="13"/>
      <c r="CG98" s="1">
        <v>148999.90862726251</v>
      </c>
      <c r="CH98" s="13"/>
      <c r="CI98">
        <v>27</v>
      </c>
      <c r="CJ98" s="13"/>
      <c r="CK98" s="1">
        <v>154546.5061598522</v>
      </c>
      <c r="CL98" s="13">
        <f t="shared" si="260"/>
        <v>3.7225509624069897E-2</v>
      </c>
      <c r="CM98">
        <v>29</v>
      </c>
      <c r="CN98" s="13">
        <f t="shared" si="261"/>
        <v>7.4074074074074181E-2</v>
      </c>
      <c r="CO98" s="1">
        <v>155578.25070420851</v>
      </c>
      <c r="CP98" s="13">
        <v>6.6759486836223125E-3</v>
      </c>
      <c r="CQ98">
        <v>35</v>
      </c>
      <c r="CR98" s="13">
        <v>0.2068965517241379</v>
      </c>
      <c r="CS98" s="1">
        <v>155078.3419817143</v>
      </c>
      <c r="CT98" s="13">
        <f t="shared" si="181"/>
        <v>-3.2132301284493181E-3</v>
      </c>
      <c r="CU98">
        <v>34</v>
      </c>
      <c r="CV98" s="13">
        <f t="shared" si="182"/>
        <v>-2.8571428571428581E-2</v>
      </c>
      <c r="CW98" s="1">
        <v>156485.5895702719</v>
      </c>
      <c r="CX98" s="13">
        <f t="shared" si="183"/>
        <v>9.0744301916996228E-3</v>
      </c>
      <c r="CY98">
        <v>27</v>
      </c>
      <c r="CZ98" s="13">
        <f t="shared" si="184"/>
        <v>-0.20588235294117652</v>
      </c>
      <c r="DA98" s="1">
        <v>153968.27482577009</v>
      </c>
      <c r="DB98" s="13">
        <f t="shared" si="185"/>
        <v>-1.6086559480746221E-2</v>
      </c>
      <c r="DC98">
        <v>25</v>
      </c>
      <c r="DD98" s="13">
        <f t="shared" si="186"/>
        <v>-7.407407407407407E-2</v>
      </c>
      <c r="DE98" s="1">
        <v>155239.6141221085</v>
      </c>
      <c r="DF98" s="13">
        <f t="shared" si="187"/>
        <v>8.2571510122917413E-3</v>
      </c>
      <c r="DG98" s="1">
        <v>25</v>
      </c>
      <c r="DH98" s="13">
        <f t="shared" si="188"/>
        <v>0</v>
      </c>
      <c r="DI98" s="1">
        <v>154186.38191231049</v>
      </c>
      <c r="DJ98" s="13">
        <f t="shared" si="189"/>
        <v>-6.7845582827174011E-3</v>
      </c>
      <c r="DK98" s="1">
        <v>24</v>
      </c>
      <c r="DL98" s="13">
        <f t="shared" si="190"/>
        <v>-4.0000000000000036E-2</v>
      </c>
      <c r="DM98" s="1">
        <v>156616.3589167686</v>
      </c>
      <c r="DN98" s="13">
        <f t="shared" si="191"/>
        <v>1.5759997571251683E-2</v>
      </c>
      <c r="DO98" s="1">
        <v>26</v>
      </c>
      <c r="DP98" s="13">
        <f t="shared" si="192"/>
        <v>8.3333333333333259E-2</v>
      </c>
      <c r="DQ98" s="1">
        <v>160135.72481386829</v>
      </c>
      <c r="DR98" s="13">
        <f t="shared" si="193"/>
        <v>2.2471253459352969E-2</v>
      </c>
      <c r="DS98">
        <v>28</v>
      </c>
      <c r="DT98" s="13">
        <f t="shared" si="194"/>
        <v>7.6923076923076872E-2</v>
      </c>
      <c r="DU98" s="1">
        <v>157532.1384342885</v>
      </c>
      <c r="DV98" s="13">
        <f t="shared" si="195"/>
        <v>-1.6258623006240702E-2</v>
      </c>
      <c r="DW98">
        <v>31</v>
      </c>
      <c r="DX98" s="13">
        <f t="shared" si="196"/>
        <v>0.10714285714285721</v>
      </c>
      <c r="DY98" s="1">
        <v>158183.99917680331</v>
      </c>
      <c r="DZ98" s="13">
        <f t="shared" si="197"/>
        <v>4.1379540009653937E-3</v>
      </c>
      <c r="EA98" s="1">
        <v>40</v>
      </c>
      <c r="EB98" s="13">
        <f t="shared" si="198"/>
        <v>0.29032258064516125</v>
      </c>
      <c r="EC98" s="1">
        <v>160090.88600272001</v>
      </c>
      <c r="ED98" s="13">
        <f t="shared" si="199"/>
        <v>1.2054865446822882E-2</v>
      </c>
      <c r="EE98" s="1">
        <f>IFERROR(VLOOKUP($A98,[1]Москва_продажа_районы!$C$2:$F$148,2,0),"")</f>
        <v>40</v>
      </c>
      <c r="EF98" s="13">
        <v>0</v>
      </c>
      <c r="EG98" s="1">
        <v>160495.73235318091</v>
      </c>
      <c r="EH98" s="13">
        <f t="shared" si="200"/>
        <v>2.5288532068841185E-3</v>
      </c>
      <c r="EI98" s="1">
        <f>IFERROR(VLOOKUP($A98,[2]Москва_продажа_районы!$C$2:$F$150,2,0),"")</f>
        <v>30</v>
      </c>
      <c r="EJ98" s="13">
        <v>-0.25</v>
      </c>
      <c r="EK98" s="1">
        <v>162709.18963869161</v>
      </c>
      <c r="EL98" s="13">
        <f t="shared" si="201"/>
        <v>1.3791377833273666E-2</v>
      </c>
      <c r="EM98">
        <v>31</v>
      </c>
      <c r="EN98" s="13">
        <f t="shared" si="202"/>
        <v>3.3333333333333437E-2</v>
      </c>
      <c r="EO98" s="1">
        <v>151432.30532852939</v>
      </c>
      <c r="EP98" s="13">
        <f t="shared" si="203"/>
        <v>-6.9306990804904212E-2</v>
      </c>
      <c r="EQ98">
        <v>31</v>
      </c>
      <c r="ER98" s="13">
        <f t="shared" si="204"/>
        <v>0</v>
      </c>
      <c r="ES98" s="183">
        <v>154856.00142371579</v>
      </c>
      <c r="ET98" s="13">
        <f t="shared" si="205"/>
        <v>2.2608756353267978E-2</v>
      </c>
      <c r="EU98">
        <v>26</v>
      </c>
      <c r="EV98" s="13">
        <f t="shared" si="206"/>
        <v>-0.16129032258064513</v>
      </c>
      <c r="EW98" s="183">
        <v>159827.44681631619</v>
      </c>
      <c r="EX98" s="13">
        <f t="shared" si="207"/>
        <v>3.2103666289287514E-2</v>
      </c>
      <c r="EY98">
        <v>29</v>
      </c>
      <c r="EZ98" s="13">
        <f t="shared" si="208"/>
        <v>0.11538461538461542</v>
      </c>
      <c r="FA98" s="1">
        <v>153452.84636474511</v>
      </c>
      <c r="FB98" s="13">
        <f t="shared" si="209"/>
        <v>-3.9884266304379912E-2</v>
      </c>
      <c r="FC98" s="1">
        <v>23</v>
      </c>
      <c r="FD98" s="13">
        <f t="shared" si="210"/>
        <v>-0.2068965517241379</v>
      </c>
      <c r="FE98" s="1">
        <v>158936.17200331829</v>
      </c>
      <c r="FF98" s="13">
        <f t="shared" si="211"/>
        <v>3.5732967934265281E-2</v>
      </c>
      <c r="FG98" s="1">
        <v>23</v>
      </c>
      <c r="FH98" s="13">
        <f t="shared" si="212"/>
        <v>0</v>
      </c>
      <c r="FI98" s="1">
        <v>168094.14146042679</v>
      </c>
      <c r="FJ98" s="13">
        <f t="shared" si="213"/>
        <v>5.7620422976572661E-2</v>
      </c>
      <c r="FK98" s="1">
        <v>27</v>
      </c>
      <c r="FL98" s="13">
        <f t="shared" si="214"/>
        <v>0.17391304347826098</v>
      </c>
      <c r="FM98" s="1">
        <v>167299.37936469159</v>
      </c>
      <c r="FN98" s="13">
        <f t="shared" si="215"/>
        <v>-4.7280773073361537E-3</v>
      </c>
      <c r="FO98" s="1">
        <v>30</v>
      </c>
      <c r="FP98" s="13">
        <f t="shared" si="216"/>
        <v>0.11111111111111116</v>
      </c>
      <c r="FQ98" s="1">
        <v>174388.70108833749</v>
      </c>
      <c r="FR98" s="13">
        <f t="shared" si="217"/>
        <v>4.2375062899618232E-2</v>
      </c>
      <c r="FS98">
        <v>29</v>
      </c>
      <c r="FT98" s="13">
        <f t="shared" si="218"/>
        <v>-3.3333333333333326E-2</v>
      </c>
      <c r="FU98" s="1">
        <v>175596.667451018</v>
      </c>
      <c r="FV98" s="13">
        <f t="shared" si="219"/>
        <v>6.9268614029565079E-3</v>
      </c>
      <c r="FW98" s="1">
        <v>24</v>
      </c>
      <c r="FX98" s="13">
        <f t="shared" si="220"/>
        <v>-0.17241379310344829</v>
      </c>
      <c r="FY98" s="1">
        <v>175356.0663696634</v>
      </c>
      <c r="FZ98" s="13">
        <f t="shared" si="221"/>
        <v>-1.3701916149503335E-3</v>
      </c>
      <c r="GA98" s="1">
        <v>29</v>
      </c>
      <c r="GB98" s="13">
        <f t="shared" si="222"/>
        <v>0.20833333333333326</v>
      </c>
      <c r="GC98" s="1">
        <v>173588.6257151</v>
      </c>
      <c r="GD98" s="13">
        <f t="shared" si="223"/>
        <v>-1.0079153183315093E-2</v>
      </c>
      <c r="GE98" s="1">
        <v>28</v>
      </c>
      <c r="GF98" s="13">
        <f t="shared" si="224"/>
        <v>-3.4482758620689613E-2</v>
      </c>
      <c r="GG98" s="1">
        <f>IFERROR(VLOOKUP(A98,[3]Москва_продажа_районы!$C$2:$F$149,3,0),"")</f>
        <v>170295.4129402304</v>
      </c>
      <c r="GH98" s="13">
        <v>-1.8971362676000192E-2</v>
      </c>
      <c r="GI98" s="1">
        <v>28</v>
      </c>
      <c r="GJ98" s="13">
        <f t="shared" si="225"/>
        <v>0</v>
      </c>
      <c r="GK98" s="1">
        <v>176762.90238478291</v>
      </c>
      <c r="GL98" s="13">
        <f t="shared" si="226"/>
        <v>3.7978060200731578E-2</v>
      </c>
      <c r="GM98" s="1">
        <v>28</v>
      </c>
      <c r="GN98" s="13">
        <f t="shared" si="227"/>
        <v>0</v>
      </c>
      <c r="GO98" s="1">
        <v>163256.86483225209</v>
      </c>
      <c r="GP98" s="13">
        <f t="shared" si="228"/>
        <v>-7.6407647590728378E-2</v>
      </c>
      <c r="GQ98" s="1">
        <v>11.770000000000001</v>
      </c>
      <c r="GR98" s="13">
        <f t="shared" si="229"/>
        <v>-0.57964285714285713</v>
      </c>
      <c r="GS98" s="1">
        <v>174248.9884398763</v>
      </c>
      <c r="GT98" s="13">
        <f t="shared" si="262"/>
        <v>6.7330238265439712E-2</v>
      </c>
      <c r="GU98">
        <v>37</v>
      </c>
      <c r="GV98" s="13">
        <f t="shared" si="263"/>
        <v>2.1435853865760404</v>
      </c>
      <c r="GW98">
        <v>165376.2612867624</v>
      </c>
      <c r="GX98" s="13">
        <f t="shared" si="230"/>
        <v>-5.091982015250196E-2</v>
      </c>
      <c r="GY98">
        <v>10</v>
      </c>
      <c r="GZ98" s="13">
        <f t="shared" si="231"/>
        <v>-0.72972972972972971</v>
      </c>
      <c r="HA98">
        <v>169342.9407235512</v>
      </c>
      <c r="HB98" s="13">
        <v>2.3985784936270793E-2</v>
      </c>
      <c r="HC98">
        <v>24</v>
      </c>
      <c r="HD98" s="13">
        <v>1.4</v>
      </c>
      <c r="HE98">
        <v>167799.69223021329</v>
      </c>
      <c r="HF98" s="13">
        <v>-9.1131551557099844E-3</v>
      </c>
      <c r="HG98">
        <v>23</v>
      </c>
      <c r="HH98" s="13">
        <v>-4.166666666666663E-2</v>
      </c>
      <c r="HI98">
        <f>VLOOKUP(A98,[4]Москва_продажа_районы!$C$4:$F$151,3,0)</f>
        <v>167574.4290387033</v>
      </c>
      <c r="HJ98" s="13">
        <f t="shared" si="232"/>
        <v>-1.3424529480121628E-3</v>
      </c>
      <c r="HK98">
        <f>VLOOKUP(A98,[4]Москва_продажа_районы!$C$4:$F$151,2,0)</f>
        <v>27</v>
      </c>
      <c r="HL98" s="13">
        <f t="shared" si="233"/>
        <v>0.17391304347826098</v>
      </c>
      <c r="HM98" s="1">
        <f>VLOOKUP(A98,Лист3!$C$4:$F$149,3,0)</f>
        <v>179962.1067617581</v>
      </c>
      <c r="HN98" s="13">
        <f t="shared" si="234"/>
        <v>7.3923436852013413E-2</v>
      </c>
      <c r="HO98">
        <f>VLOOKUP(A98,Лист3!$C$4:$F$149,2,0)</f>
        <v>29</v>
      </c>
      <c r="HP98" s="13">
        <f t="shared" si="235"/>
        <v>7.4074074074074181E-2</v>
      </c>
      <c r="HQ98" s="1">
        <v>175173.3789927102</v>
      </c>
      <c r="HR98" s="13">
        <v>-2.6609644970357116E-2</v>
      </c>
      <c r="HS98">
        <v>31</v>
      </c>
      <c r="HT98" s="13">
        <v>6.8965517241379226E-2</v>
      </c>
      <c r="HU98" s="34">
        <v>152195.498929344</v>
      </c>
      <c r="HV98" s="13">
        <v>-0.13117221461100215</v>
      </c>
      <c r="HW98">
        <v>10</v>
      </c>
      <c r="HX98" s="13">
        <v>-0.67741935483870974</v>
      </c>
      <c r="HY98">
        <v>175050.44684141109</v>
      </c>
      <c r="HZ98" s="13">
        <v>0.15016835631044101</v>
      </c>
      <c r="IA98">
        <v>26</v>
      </c>
      <c r="IB98" s="13">
        <v>1.6</v>
      </c>
      <c r="IC98" s="34">
        <v>169270.6047608252</v>
      </c>
      <c r="ID98" s="13">
        <v>-3.3018150966630855E-2</v>
      </c>
      <c r="IE98">
        <v>25</v>
      </c>
      <c r="IF98" s="13">
        <v>-3.8461538461538436E-2</v>
      </c>
    </row>
    <row r="99" spans="1:240" x14ac:dyDescent="0.3">
      <c r="A99" t="s">
        <v>178</v>
      </c>
      <c r="B99" s="61"/>
      <c r="D99" s="61"/>
      <c r="F99" s="61"/>
      <c r="H99" s="61"/>
      <c r="J99" s="56"/>
      <c r="K99" s="47"/>
      <c r="L99" s="61"/>
      <c r="M99" s="47"/>
      <c r="N99" s="61"/>
      <c r="O99" s="47"/>
      <c r="P99" s="35"/>
      <c r="Q99" s="47"/>
      <c r="R99" s="35"/>
      <c r="S99" s="47"/>
      <c r="T99" s="62"/>
      <c r="U99" s="62"/>
      <c r="V99" s="56"/>
      <c r="W99" s="47"/>
      <c r="X99" s="65">
        <v>125646.8139663578</v>
      </c>
      <c r="Y99" s="47">
        <v>10</v>
      </c>
      <c r="AA99" s="81"/>
      <c r="AB99" t="s">
        <v>178</v>
      </c>
      <c r="AC99">
        <v>15</v>
      </c>
      <c r="AF99" s="13"/>
      <c r="AL99" s="35"/>
      <c r="BA99" s="119"/>
      <c r="BI99" s="13"/>
      <c r="BL99" s="13"/>
      <c r="BM99" s="34"/>
      <c r="BN99" s="109"/>
      <c r="BP99" s="13"/>
      <c r="BR99" s="13" t="str">
        <f t="shared" si="178"/>
        <v/>
      </c>
      <c r="BT99" s="13" t="str">
        <f t="shared" si="179"/>
        <v/>
      </c>
      <c r="BV99" s="13"/>
      <c r="BX99" s="13"/>
      <c r="BZ99" s="13"/>
      <c r="CB99" s="13"/>
      <c r="CC99" s="1">
        <v>182314.4032110812</v>
      </c>
      <c r="CD99" s="13"/>
      <c r="CE99">
        <v>29</v>
      </c>
      <c r="CF99" s="13"/>
      <c r="CG99" s="1">
        <v>173244.4396422772</v>
      </c>
      <c r="CH99" s="13"/>
      <c r="CI99">
        <v>30</v>
      </c>
      <c r="CJ99" s="13"/>
      <c r="CK99" s="1">
        <v>171418.44499576389</v>
      </c>
      <c r="CL99" s="13">
        <f t="shared" si="260"/>
        <v>-1.0539989914156611E-2</v>
      </c>
      <c r="CM99">
        <v>25</v>
      </c>
      <c r="CN99" s="13">
        <f t="shared" si="261"/>
        <v>-0.16666666666666663</v>
      </c>
      <c r="CO99" s="1">
        <v>168670.0115832556</v>
      </c>
      <c r="CP99" s="13">
        <v>-1.6033475350778037E-2</v>
      </c>
      <c r="CQ99">
        <v>30</v>
      </c>
      <c r="CR99" s="13">
        <v>0.19999999999999996</v>
      </c>
      <c r="CS99" s="1">
        <v>164413.25055048749</v>
      </c>
      <c r="CT99" s="13">
        <f t="shared" si="181"/>
        <v>-2.5237213140683168E-2</v>
      </c>
      <c r="CU99">
        <v>32</v>
      </c>
      <c r="CV99" s="13">
        <f t="shared" si="182"/>
        <v>6.6666666666666652E-2</v>
      </c>
      <c r="CW99" s="1">
        <v>169985.35325781809</v>
      </c>
      <c r="CX99" s="13">
        <f t="shared" si="183"/>
        <v>3.3890837196357992E-2</v>
      </c>
      <c r="CY99">
        <v>27</v>
      </c>
      <c r="CZ99" s="13">
        <f t="shared" si="184"/>
        <v>-0.15625</v>
      </c>
      <c r="DA99" s="1">
        <v>167532.61038993171</v>
      </c>
      <c r="DB99" s="13">
        <f t="shared" si="185"/>
        <v>-1.4429142398911798E-2</v>
      </c>
      <c r="DC99">
        <v>41</v>
      </c>
      <c r="DD99" s="13">
        <f t="shared" si="186"/>
        <v>0.5185185185185186</v>
      </c>
      <c r="DE99" s="1">
        <v>165129.10483035829</v>
      </c>
      <c r="DF99" s="13">
        <f t="shared" si="187"/>
        <v>-1.4346493819795803E-2</v>
      </c>
      <c r="DG99" s="1">
        <v>37</v>
      </c>
      <c r="DH99" s="13">
        <f t="shared" si="188"/>
        <v>-9.7560975609756073E-2</v>
      </c>
      <c r="DI99" s="1">
        <v>166022.2969997139</v>
      </c>
      <c r="DJ99" s="13">
        <f t="shared" si="189"/>
        <v>5.4090535419131225E-3</v>
      </c>
      <c r="DK99" s="1">
        <v>36</v>
      </c>
      <c r="DL99" s="13">
        <f t="shared" si="190"/>
        <v>-2.7027027027026973E-2</v>
      </c>
      <c r="DM99" s="1">
        <v>168852.43283033819</v>
      </c>
      <c r="DN99" s="13">
        <f t="shared" si="191"/>
        <v>1.7046721324601055E-2</v>
      </c>
      <c r="DO99" s="1">
        <v>46</v>
      </c>
      <c r="DP99" s="13">
        <f t="shared" si="192"/>
        <v>0.27777777777777768</v>
      </c>
      <c r="DQ99" s="1">
        <v>161135.0470702172</v>
      </c>
      <c r="DR99" s="13">
        <f t="shared" si="193"/>
        <v>-4.5704913046028639E-2</v>
      </c>
      <c r="DS99">
        <v>50</v>
      </c>
      <c r="DT99" s="13">
        <f t="shared" si="194"/>
        <v>8.6956521739130377E-2</v>
      </c>
      <c r="DU99" s="1">
        <v>161473.46051459759</v>
      </c>
      <c r="DV99" s="13">
        <f t="shared" si="195"/>
        <v>2.1001852206175009E-3</v>
      </c>
      <c r="DW99">
        <v>43</v>
      </c>
      <c r="DX99" s="13">
        <f t="shared" si="196"/>
        <v>-0.14000000000000001</v>
      </c>
      <c r="DY99" s="1">
        <v>162893.14655676429</v>
      </c>
      <c r="DZ99" s="13">
        <f t="shared" si="197"/>
        <v>8.7920704593951182E-3</v>
      </c>
      <c r="EA99" s="1">
        <v>43</v>
      </c>
      <c r="EB99" s="13">
        <f t="shared" si="198"/>
        <v>0</v>
      </c>
      <c r="EC99" s="1">
        <v>159420.29968050649</v>
      </c>
      <c r="ED99" s="13">
        <f t="shared" si="199"/>
        <v>-2.1319785084067955E-2</v>
      </c>
      <c r="EE99" s="1">
        <f>IFERROR(VLOOKUP($A99,[1]Москва_продажа_районы!$C$2:$F$148,2,0),"")</f>
        <v>38</v>
      </c>
      <c r="EF99" s="13">
        <v>-0.11627906976744184</v>
      </c>
      <c r="EG99" s="1">
        <v>164974.70745197299</v>
      </c>
      <c r="EH99" s="13">
        <f t="shared" si="200"/>
        <v>3.4841282964579001E-2</v>
      </c>
      <c r="EI99" s="1">
        <f>IFERROR(VLOOKUP($A99,[2]Москва_продажа_районы!$C$2:$F$150,2,0),"")</f>
        <v>39</v>
      </c>
      <c r="EJ99" s="13">
        <v>2.6315789473684292E-2</v>
      </c>
      <c r="EK99" s="1">
        <v>158931.27987001551</v>
      </c>
      <c r="EL99" s="13">
        <f t="shared" si="201"/>
        <v>-3.6632449151133284E-2</v>
      </c>
      <c r="EM99">
        <v>37</v>
      </c>
      <c r="EN99" s="13">
        <f t="shared" si="202"/>
        <v>-5.1282051282051322E-2</v>
      </c>
      <c r="EO99" s="1">
        <v>169582.6144479771</v>
      </c>
      <c r="EP99" s="13">
        <f t="shared" si="203"/>
        <v>6.701849117853298E-2</v>
      </c>
      <c r="EQ99">
        <v>32</v>
      </c>
      <c r="ER99" s="13">
        <f t="shared" si="204"/>
        <v>-0.13513513513513509</v>
      </c>
      <c r="ES99" s="183">
        <v>166331.92680698269</v>
      </c>
      <c r="ET99" s="13">
        <f t="shared" si="205"/>
        <v>-1.9168755308885843E-2</v>
      </c>
      <c r="EU99">
        <v>37</v>
      </c>
      <c r="EV99" s="13">
        <f t="shared" si="206"/>
        <v>0.15625</v>
      </c>
      <c r="EW99" s="183">
        <v>166467.59560144061</v>
      </c>
      <c r="EX99" s="13">
        <f t="shared" si="207"/>
        <v>8.1565095205893279E-4</v>
      </c>
      <c r="EY99">
        <v>36</v>
      </c>
      <c r="EZ99" s="13">
        <f t="shared" si="208"/>
        <v>-2.7027027027026973E-2</v>
      </c>
      <c r="FA99" s="1">
        <v>166997.30503236959</v>
      </c>
      <c r="FB99" s="13">
        <f t="shared" si="209"/>
        <v>3.1820573188143797E-3</v>
      </c>
      <c r="FC99" s="1">
        <v>32</v>
      </c>
      <c r="FD99" s="13">
        <f t="shared" si="210"/>
        <v>-0.11111111111111116</v>
      </c>
      <c r="FE99" s="1">
        <v>168260.5860675057</v>
      </c>
      <c r="FF99" s="13">
        <f t="shared" si="211"/>
        <v>7.5646791718659845E-3</v>
      </c>
      <c r="FG99" s="1">
        <v>35</v>
      </c>
      <c r="FH99" s="13">
        <f t="shared" si="212"/>
        <v>9.375E-2</v>
      </c>
      <c r="FI99" s="1">
        <v>171765.46508462651</v>
      </c>
      <c r="FJ99" s="13">
        <f t="shared" si="213"/>
        <v>2.0830065430264666E-2</v>
      </c>
      <c r="FK99" s="1">
        <v>39</v>
      </c>
      <c r="FL99" s="13">
        <f t="shared" si="214"/>
        <v>0.11428571428571432</v>
      </c>
      <c r="FM99" s="1">
        <v>168588.38255081451</v>
      </c>
      <c r="FN99" s="13">
        <f t="shared" si="215"/>
        <v>-1.8496631626425564E-2</v>
      </c>
      <c r="FO99" s="1">
        <v>48</v>
      </c>
      <c r="FP99" s="13">
        <f t="shared" si="216"/>
        <v>0.23076923076923084</v>
      </c>
      <c r="FQ99" s="1">
        <v>173011.78699123929</v>
      </c>
      <c r="FR99" s="13">
        <f t="shared" si="217"/>
        <v>2.623789595401993E-2</v>
      </c>
      <c r="FS99">
        <v>52</v>
      </c>
      <c r="FT99" s="13">
        <f t="shared" si="218"/>
        <v>8.3333333333333259E-2</v>
      </c>
      <c r="FU99" s="1">
        <v>169113.88989566051</v>
      </c>
      <c r="FV99" s="13">
        <f t="shared" si="219"/>
        <v>-2.2529662073117351E-2</v>
      </c>
      <c r="FW99" s="1">
        <v>46</v>
      </c>
      <c r="FX99" s="13">
        <f t="shared" si="220"/>
        <v>-0.11538461538461542</v>
      </c>
      <c r="FY99" s="1">
        <v>170496.71380363009</v>
      </c>
      <c r="FZ99" s="13">
        <f t="shared" si="221"/>
        <v>8.176879550359617E-3</v>
      </c>
      <c r="GA99" s="1">
        <v>55</v>
      </c>
      <c r="GB99" s="13">
        <f t="shared" si="222"/>
        <v>0.19565217391304346</v>
      </c>
      <c r="GC99" s="1">
        <v>173140.24053120459</v>
      </c>
      <c r="GD99" s="13">
        <f t="shared" si="223"/>
        <v>1.5504854425635317E-2</v>
      </c>
      <c r="GE99" s="1">
        <v>47</v>
      </c>
      <c r="GF99" s="13">
        <f t="shared" si="224"/>
        <v>-0.1454545454545455</v>
      </c>
      <c r="GG99" s="1">
        <f>IFERROR(VLOOKUP(A99,[3]Москва_продажа_районы!$C$2:$F$149,3,0),"")</f>
        <v>171394.00744121219</v>
      </c>
      <c r="GH99" s="13">
        <v>-1.0085657064093589E-2</v>
      </c>
      <c r="GI99" s="1">
        <v>50</v>
      </c>
      <c r="GJ99" s="13">
        <f t="shared" si="225"/>
        <v>6.3829787234042534E-2</v>
      </c>
      <c r="GK99" s="1">
        <v>170313.97695506929</v>
      </c>
      <c r="GL99" s="13">
        <f t="shared" si="226"/>
        <v>-6.3014483543909483E-3</v>
      </c>
      <c r="GM99" s="1">
        <v>57</v>
      </c>
      <c r="GN99" s="13">
        <f t="shared" si="227"/>
        <v>0.1399999999999999</v>
      </c>
      <c r="GO99" s="1">
        <v>173822.15713073779</v>
      </c>
      <c r="GP99" s="13">
        <f t="shared" si="228"/>
        <v>2.0598310475681059E-2</v>
      </c>
      <c r="GQ99" s="1">
        <v>51.360000000000007</v>
      </c>
      <c r="GR99" s="13">
        <f t="shared" si="229"/>
        <v>-9.8947368421052562E-2</v>
      </c>
      <c r="GS99" s="1">
        <v>173638.9288970156</v>
      </c>
      <c r="GT99" s="13">
        <f t="shared" si="262"/>
        <v>-1.0541132197799952E-3</v>
      </c>
      <c r="GU99">
        <v>43</v>
      </c>
      <c r="GV99" s="13">
        <f t="shared" si="263"/>
        <v>-0.16277258566978203</v>
      </c>
      <c r="GW99">
        <v>171078.64476391501</v>
      </c>
      <c r="GX99" s="13">
        <f t="shared" si="230"/>
        <v>-1.4744874028905564E-2</v>
      </c>
      <c r="GY99">
        <v>34</v>
      </c>
      <c r="GZ99" s="13">
        <f t="shared" si="231"/>
        <v>-0.20930232558139539</v>
      </c>
      <c r="HA99">
        <v>172288.74084101609</v>
      </c>
      <c r="HB99" s="13">
        <v>7.0733321436522445E-3</v>
      </c>
      <c r="HC99">
        <v>38</v>
      </c>
      <c r="HD99" s="13">
        <v>0.11764705882352944</v>
      </c>
      <c r="HE99">
        <v>171688.89523334571</v>
      </c>
      <c r="HF99" s="13">
        <v>-3.4816297614241876E-3</v>
      </c>
      <c r="HG99">
        <v>37</v>
      </c>
      <c r="HH99" s="13">
        <v>-2.6315789473684181E-2</v>
      </c>
      <c r="HI99">
        <f>VLOOKUP(A99,[4]Москва_продажа_районы!$C$4:$F$151,3,0)</f>
        <v>168448.54466018439</v>
      </c>
      <c r="HJ99" s="13">
        <f t="shared" si="232"/>
        <v>-1.8873384727400744E-2</v>
      </c>
      <c r="HK99">
        <f>VLOOKUP(A99,[4]Москва_продажа_районы!$C$4:$F$151,2,0)</f>
        <v>38</v>
      </c>
      <c r="HL99" s="13">
        <f t="shared" si="233"/>
        <v>2.7027027027026973E-2</v>
      </c>
      <c r="HM99" s="1">
        <f>VLOOKUP(A99,Лист3!$C$4:$F$149,3,0)</f>
        <v>169681.2427593027</v>
      </c>
      <c r="HN99" s="13">
        <f t="shared" si="234"/>
        <v>7.3179504257816497E-3</v>
      </c>
      <c r="HO99">
        <f>VLOOKUP(A99,Лист3!$C$4:$F$149,2,0)</f>
        <v>37</v>
      </c>
      <c r="HP99" s="13">
        <f t="shared" si="235"/>
        <v>-2.6315789473684181E-2</v>
      </c>
      <c r="HQ99" s="1">
        <v>164390.5122800403</v>
      </c>
      <c r="HR99" s="13">
        <v>-3.1180408589813524E-2</v>
      </c>
      <c r="HS99">
        <v>43</v>
      </c>
      <c r="HT99" s="13">
        <v>0.16216216216216206</v>
      </c>
      <c r="HU99" s="34">
        <v>162409.22410762121</v>
      </c>
      <c r="HV99" s="13">
        <v>-1.2052326773238309E-2</v>
      </c>
      <c r="HW99">
        <v>36</v>
      </c>
      <c r="HX99" s="13">
        <v>-0.16279069767441856</v>
      </c>
      <c r="HY99">
        <v>165240.6743721682</v>
      </c>
      <c r="HZ99" s="13">
        <v>1.7434048343650144E-2</v>
      </c>
      <c r="IA99">
        <v>38</v>
      </c>
      <c r="IB99" s="13">
        <v>5.555555555555558E-2</v>
      </c>
      <c r="IC99" s="34">
        <v>166465.5841217213</v>
      </c>
      <c r="ID99" s="13">
        <v>7.4128827796615671E-3</v>
      </c>
      <c r="IE99">
        <v>37</v>
      </c>
      <c r="IF99" s="13">
        <v>-2.6315789473684181E-2</v>
      </c>
    </row>
    <row r="100" spans="1:240" ht="15" thickBot="1" x14ac:dyDescent="0.35">
      <c r="A100" t="s">
        <v>169</v>
      </c>
      <c r="B100" s="61"/>
      <c r="D100" s="61"/>
      <c r="F100" s="61"/>
      <c r="H100" s="61"/>
      <c r="J100" s="57"/>
      <c r="K100" s="49"/>
      <c r="L100" s="71"/>
      <c r="M100" s="49"/>
      <c r="N100" s="71"/>
      <c r="O100" s="49"/>
      <c r="P100" s="72"/>
      <c r="Q100" s="49"/>
      <c r="R100" s="72"/>
      <c r="S100" s="49"/>
      <c r="T100" s="73"/>
      <c r="U100" s="73"/>
      <c r="V100" s="57"/>
      <c r="W100" s="49"/>
      <c r="X100" s="74">
        <v>143770.9759984522</v>
      </c>
      <c r="Y100" s="49">
        <v>11</v>
      </c>
      <c r="AA100" s="81"/>
      <c r="AB100" t="s">
        <v>169</v>
      </c>
      <c r="AC100">
        <v>14</v>
      </c>
      <c r="AF100" s="13"/>
      <c r="AL100" s="35"/>
      <c r="BA100" s="119"/>
      <c r="BI100" s="13"/>
      <c r="BL100" s="13"/>
      <c r="BM100" s="34"/>
      <c r="BN100" s="109"/>
      <c r="BP100" s="13"/>
      <c r="BR100" s="13" t="str">
        <f t="shared" ref="BR100:BR131" si="264">IFERROR(BQ100/BM100-1,"")</f>
        <v/>
      </c>
      <c r="BT100" s="13" t="str">
        <f t="shared" ref="BT100:BT131" si="265">IFERROR(BS100/BO100-1,"")</f>
        <v/>
      </c>
      <c r="BV100" s="13"/>
      <c r="BX100" s="13"/>
      <c r="BZ100" s="13"/>
      <c r="CB100" s="13"/>
      <c r="CC100" s="1">
        <v>172856.73368259589</v>
      </c>
      <c r="CD100" s="13"/>
      <c r="CE100">
        <v>13</v>
      </c>
      <c r="CF100" s="13"/>
      <c r="CG100" s="1">
        <v>173072.3780183786</v>
      </c>
      <c r="CH100" s="13"/>
      <c r="CI100">
        <v>11</v>
      </c>
      <c r="CJ100" s="13"/>
      <c r="CK100" s="1">
        <v>170156.90436954191</v>
      </c>
      <c r="CL100" s="13">
        <f t="shared" si="260"/>
        <v>-1.684540122587963E-2</v>
      </c>
      <c r="CM100">
        <v>15</v>
      </c>
      <c r="CN100" s="13">
        <f t="shared" si="261"/>
        <v>0.36363636363636354</v>
      </c>
      <c r="CO100" s="1">
        <v>169011.19658662271</v>
      </c>
      <c r="CP100" s="13">
        <v>-6.7332429863145027E-3</v>
      </c>
      <c r="CQ100">
        <v>9</v>
      </c>
      <c r="CR100" s="13">
        <v>-0.4</v>
      </c>
      <c r="CS100" s="1">
        <v>168335.11614183179</v>
      </c>
      <c r="CT100" s="13">
        <f t="shared" si="181"/>
        <v>-4.0002109827345089E-3</v>
      </c>
      <c r="CU100">
        <v>12</v>
      </c>
      <c r="CV100" s="13">
        <f t="shared" si="182"/>
        <v>0.33333333333333326</v>
      </c>
      <c r="CW100" s="1">
        <v>162703.28704646649</v>
      </c>
      <c r="CX100" s="13">
        <f t="shared" si="183"/>
        <v>-3.3456056136380807E-2</v>
      </c>
      <c r="CY100">
        <v>13</v>
      </c>
      <c r="CZ100" s="13">
        <f t="shared" si="184"/>
        <v>8.3333333333333259E-2</v>
      </c>
      <c r="DA100" s="1">
        <v>159463.74500591811</v>
      </c>
      <c r="DB100" s="13">
        <f t="shared" si="185"/>
        <v>-1.9910735052471318E-2</v>
      </c>
      <c r="DC100">
        <v>11</v>
      </c>
      <c r="DD100" s="13">
        <f t="shared" si="186"/>
        <v>-0.15384615384615385</v>
      </c>
      <c r="DE100" s="1">
        <v>155973.07740689479</v>
      </c>
      <c r="DF100" s="13">
        <f t="shared" si="187"/>
        <v>-2.1890039011022711E-2</v>
      </c>
      <c r="DG100" s="1">
        <v>16</v>
      </c>
      <c r="DH100" s="13">
        <f t="shared" si="188"/>
        <v>0.45454545454545459</v>
      </c>
      <c r="DI100" s="1">
        <v>154451.12482889619</v>
      </c>
      <c r="DJ100" s="13">
        <f t="shared" si="189"/>
        <v>-9.7577902757423063E-3</v>
      </c>
      <c r="DK100" s="1">
        <v>18</v>
      </c>
      <c r="DL100" s="13">
        <f t="shared" si="190"/>
        <v>0.125</v>
      </c>
      <c r="DM100" s="1">
        <v>152102.52732986369</v>
      </c>
      <c r="DN100" s="13">
        <f t="shared" si="191"/>
        <v>-1.5206088668077489E-2</v>
      </c>
      <c r="DO100" s="1">
        <v>19</v>
      </c>
      <c r="DP100" s="13">
        <f t="shared" si="192"/>
        <v>5.555555555555558E-2</v>
      </c>
      <c r="DQ100" s="1">
        <v>155240.89699440761</v>
      </c>
      <c r="DR100" s="13">
        <f t="shared" si="193"/>
        <v>2.0633251265692376E-2</v>
      </c>
      <c r="DS100">
        <v>20</v>
      </c>
      <c r="DT100" s="13">
        <f t="shared" si="194"/>
        <v>5.2631578947368363E-2</v>
      </c>
      <c r="DU100" s="1">
        <v>162486.38909204901</v>
      </c>
      <c r="DV100" s="13">
        <f t="shared" si="195"/>
        <v>4.6672573000543949E-2</v>
      </c>
      <c r="DW100">
        <v>23</v>
      </c>
      <c r="DX100" s="13">
        <f t="shared" si="196"/>
        <v>0.14999999999999991</v>
      </c>
      <c r="DY100" s="1">
        <v>172186.26447370349</v>
      </c>
      <c r="DZ100" s="13">
        <f t="shared" si="197"/>
        <v>5.9696540958636746E-2</v>
      </c>
      <c r="EA100" s="1">
        <v>23</v>
      </c>
      <c r="EB100" s="13">
        <f t="shared" si="198"/>
        <v>0</v>
      </c>
      <c r="EC100" s="1">
        <v>168754.24240751399</v>
      </c>
      <c r="ED100" s="13">
        <f t="shared" si="199"/>
        <v>-1.9932031609371736E-2</v>
      </c>
      <c r="EE100" s="1">
        <f>IFERROR(VLOOKUP($A100,[1]Москва_продажа_районы!$C$2:$F$148,2,0),"")</f>
        <v>21</v>
      </c>
      <c r="EF100" s="13">
        <v>-8.6956521739130488E-2</v>
      </c>
      <c r="EG100" s="1">
        <v>162873.30742459089</v>
      </c>
      <c r="EH100" s="13">
        <f t="shared" si="200"/>
        <v>-3.4849108970674614E-2</v>
      </c>
      <c r="EI100" s="1">
        <f>IFERROR(VLOOKUP($A100,[2]Москва_продажа_районы!$C$2:$F$150,2,0),"")</f>
        <v>25</v>
      </c>
      <c r="EJ100" s="13">
        <v>0.19047619047619047</v>
      </c>
      <c r="EK100" s="1">
        <v>161440.78774622391</v>
      </c>
      <c r="EL100" s="13">
        <f t="shared" si="201"/>
        <v>-8.7953004762933995E-3</v>
      </c>
      <c r="EM100">
        <v>19</v>
      </c>
      <c r="EN100" s="13">
        <f t="shared" si="202"/>
        <v>-0.24</v>
      </c>
      <c r="EO100" s="1">
        <v>162001.6756017158</v>
      </c>
      <c r="EP100" s="13">
        <f t="shared" si="203"/>
        <v>3.474263619015483E-3</v>
      </c>
      <c r="EQ100">
        <v>18</v>
      </c>
      <c r="ER100" s="13">
        <f t="shared" si="204"/>
        <v>-5.2631578947368474E-2</v>
      </c>
      <c r="ES100" s="183">
        <v>165419.3230879273</v>
      </c>
      <c r="ET100" s="13">
        <f t="shared" si="205"/>
        <v>2.1096371216640097E-2</v>
      </c>
      <c r="EU100">
        <v>14</v>
      </c>
      <c r="EV100" s="13">
        <f t="shared" si="206"/>
        <v>-0.22222222222222221</v>
      </c>
      <c r="EW100" s="183">
        <v>167181.66943356601</v>
      </c>
      <c r="EX100" s="13">
        <f t="shared" si="207"/>
        <v>1.0653811856683459E-2</v>
      </c>
      <c r="EY100">
        <v>15</v>
      </c>
      <c r="EZ100" s="13">
        <f t="shared" si="208"/>
        <v>7.1428571428571397E-2</v>
      </c>
      <c r="FA100" s="1">
        <v>161452.70146023729</v>
      </c>
      <c r="FB100" s="13">
        <f t="shared" si="209"/>
        <v>-3.4267919400130631E-2</v>
      </c>
      <c r="FC100" s="1">
        <v>16</v>
      </c>
      <c r="FD100" s="13">
        <f t="shared" si="210"/>
        <v>6.6666666666666652E-2</v>
      </c>
      <c r="FE100" s="1">
        <v>165271.66742772609</v>
      </c>
      <c r="FF100" s="13">
        <f t="shared" si="211"/>
        <v>2.3653775582252123E-2</v>
      </c>
      <c r="FG100" s="1">
        <v>17</v>
      </c>
      <c r="FH100" s="13">
        <f t="shared" si="212"/>
        <v>6.25E-2</v>
      </c>
      <c r="FI100" s="1">
        <v>161359.5695028367</v>
      </c>
      <c r="FJ100" s="13">
        <f t="shared" si="213"/>
        <v>-2.3670711294784708E-2</v>
      </c>
      <c r="FK100" s="1">
        <v>14</v>
      </c>
      <c r="FL100" s="13">
        <f t="shared" si="214"/>
        <v>-0.17647058823529416</v>
      </c>
      <c r="FM100" s="1">
        <v>164054.24601099611</v>
      </c>
      <c r="FN100" s="13">
        <f t="shared" si="215"/>
        <v>1.6699824599569535E-2</v>
      </c>
      <c r="FO100" s="1">
        <v>15</v>
      </c>
      <c r="FP100" s="13">
        <f t="shared" si="216"/>
        <v>7.1428571428571397E-2</v>
      </c>
      <c r="FQ100" s="1">
        <v>165974.60774657389</v>
      </c>
      <c r="FR100" s="13">
        <f t="shared" si="217"/>
        <v>1.1705650918959254E-2</v>
      </c>
      <c r="FS100">
        <v>15</v>
      </c>
      <c r="FT100" s="13">
        <f t="shared" si="218"/>
        <v>0</v>
      </c>
      <c r="FU100" s="1">
        <v>159507.57005607689</v>
      </c>
      <c r="FV100" s="13">
        <f t="shared" si="219"/>
        <v>-3.896401852246878E-2</v>
      </c>
      <c r="FW100" s="1">
        <v>14</v>
      </c>
      <c r="FX100" s="13">
        <f t="shared" si="220"/>
        <v>-6.6666666666666652E-2</v>
      </c>
      <c r="FY100" s="1">
        <v>164619.8454125257</v>
      </c>
      <c r="FZ100" s="13">
        <f t="shared" si="221"/>
        <v>3.2050361964962137E-2</v>
      </c>
      <c r="GA100" s="1">
        <v>16</v>
      </c>
      <c r="GB100" s="13">
        <f t="shared" si="222"/>
        <v>0.14285714285714279</v>
      </c>
      <c r="GC100" s="1">
        <v>161501.37015292581</v>
      </c>
      <c r="GD100" s="13">
        <f t="shared" si="223"/>
        <v>-1.8943495249829745E-2</v>
      </c>
      <c r="GE100" s="1">
        <v>15</v>
      </c>
      <c r="GF100" s="13">
        <f t="shared" si="224"/>
        <v>-6.25E-2</v>
      </c>
      <c r="GG100" s="1">
        <f>IFERROR(VLOOKUP(A100,[3]Москва_продажа_районы!$C$2:$F$149,3,0),"")</f>
        <v>153979.3915294511</v>
      </c>
      <c r="GH100" s="13">
        <v>-4.6575323889525788E-2</v>
      </c>
      <c r="GI100" s="1">
        <v>13</v>
      </c>
      <c r="GJ100" s="13">
        <f t="shared" si="225"/>
        <v>-0.1333333333333333</v>
      </c>
      <c r="GK100" s="1">
        <v>161041.78848661191</v>
      </c>
      <c r="GL100" s="13">
        <f t="shared" si="226"/>
        <v>4.5865858326956888E-2</v>
      </c>
      <c r="GM100" s="1">
        <v>23</v>
      </c>
      <c r="GN100" s="13">
        <f t="shared" si="227"/>
        <v>0.76923076923076916</v>
      </c>
      <c r="GO100" s="1">
        <v>153053.33515603261</v>
      </c>
      <c r="GP100" s="13">
        <f t="shared" si="228"/>
        <v>-4.9604847323484691E-2</v>
      </c>
      <c r="GQ100" s="1">
        <v>13.910000000000002</v>
      </c>
      <c r="GR100" s="13">
        <f t="shared" si="229"/>
        <v>-0.39521739130434774</v>
      </c>
      <c r="GS100" s="1">
        <v>167247.96210869731</v>
      </c>
      <c r="GT100" s="13">
        <f t="shared" si="262"/>
        <v>9.2743009737055182E-2</v>
      </c>
      <c r="GU100">
        <v>20</v>
      </c>
      <c r="GV100" s="13">
        <f t="shared" si="263"/>
        <v>0.43781452192667136</v>
      </c>
      <c r="GW100">
        <v>160594.79849815671</v>
      </c>
      <c r="GX100" s="13">
        <f t="shared" si="230"/>
        <v>-3.9780237239701588E-2</v>
      </c>
      <c r="GY100">
        <v>11</v>
      </c>
      <c r="GZ100" s="13">
        <f t="shared" si="231"/>
        <v>-0.44999999999999996</v>
      </c>
      <c r="HA100">
        <v>159491.26607749579</v>
      </c>
      <c r="HB100" s="13">
        <v>-6.8715327705559659E-3</v>
      </c>
      <c r="HC100">
        <v>11</v>
      </c>
      <c r="HD100" s="13">
        <v>0</v>
      </c>
      <c r="HE100">
        <v>165607.6986346328</v>
      </c>
      <c r="HF100" s="13">
        <v>3.8349639497908816E-2</v>
      </c>
      <c r="HG100">
        <v>15</v>
      </c>
      <c r="HH100" s="13">
        <v>0.36363636363636354</v>
      </c>
      <c r="HI100">
        <f>VLOOKUP(A100,[4]Москва_продажа_районы!$C$4:$F$151,3,0)</f>
        <v>167700.79045133459</v>
      </c>
      <c r="HJ100" s="13">
        <f t="shared" si="232"/>
        <v>1.2638855765513712E-2</v>
      </c>
      <c r="HK100">
        <f>VLOOKUP(A100,[4]Москва_продажа_районы!$C$4:$F$151,2,0)</f>
        <v>16</v>
      </c>
      <c r="HL100" s="13">
        <f t="shared" si="233"/>
        <v>6.6666666666666652E-2</v>
      </c>
      <c r="HM100" s="1">
        <f>VLOOKUP(A100,Лист3!$C$4:$F$149,3,0)</f>
        <v>161749.3978868082</v>
      </c>
      <c r="HN100" s="13">
        <f t="shared" si="234"/>
        <v>-3.5488160482185838E-2</v>
      </c>
      <c r="HO100">
        <f>VLOOKUP(A100,Лист3!$C$4:$F$149,2,0)</f>
        <v>10</v>
      </c>
      <c r="HP100" s="13">
        <f t="shared" si="235"/>
        <v>-0.375</v>
      </c>
      <c r="HQ100" s="1">
        <v>167767.77427812421</v>
      </c>
      <c r="HR100" s="13">
        <v>3.7208029643038598E-2</v>
      </c>
      <c r="HS100">
        <v>10</v>
      </c>
      <c r="HT100" s="13">
        <v>0</v>
      </c>
      <c r="HU100" s="34">
        <v>170969.19229023709</v>
      </c>
      <c r="HV100" s="13">
        <v>1.9082437171787259E-2</v>
      </c>
      <c r="HW100">
        <v>12</v>
      </c>
      <c r="HX100" s="13">
        <v>0.19999999999999996</v>
      </c>
      <c r="HY100">
        <v>163422.0440557957</v>
      </c>
      <c r="HZ100" s="13">
        <v>-4.4143322743370961E-2</v>
      </c>
      <c r="IA100">
        <v>13</v>
      </c>
      <c r="IB100" s="13">
        <v>8.3333333333333259E-2</v>
      </c>
      <c r="IC100" s="34">
        <v>164913.65113391439</v>
      </c>
      <c r="ID100" s="13">
        <v>9.1273309346775466E-3</v>
      </c>
      <c r="IE100">
        <v>11</v>
      </c>
      <c r="IF100" s="13">
        <v>-0.15384615384615385</v>
      </c>
    </row>
    <row r="101" spans="1:240" ht="15.6" thickTop="1" thickBot="1" x14ac:dyDescent="0.35">
      <c r="A101" s="229" t="s">
        <v>164</v>
      </c>
      <c r="B101" s="228"/>
      <c r="C101" s="228"/>
      <c r="D101" s="228"/>
      <c r="E101" s="228"/>
      <c r="F101" s="228"/>
      <c r="G101" s="228"/>
      <c r="H101" s="228"/>
      <c r="I101" s="228"/>
      <c r="J101" s="228"/>
      <c r="K101" s="228"/>
      <c r="L101" s="228"/>
      <c r="M101" s="228"/>
      <c r="N101" s="228"/>
      <c r="O101" s="228"/>
      <c r="P101" s="228"/>
      <c r="Q101" s="228"/>
      <c r="U101" s="13"/>
      <c r="V101" s="1"/>
      <c r="AA101" s="81"/>
      <c r="AF101" s="13"/>
      <c r="AK101" s="35">
        <f>AK102-AJ102</f>
        <v>736</v>
      </c>
      <c r="AL101" s="35"/>
      <c r="BA101" s="119"/>
      <c r="BI101" s="13"/>
      <c r="BL101" s="13"/>
      <c r="BM101" s="34"/>
      <c r="BN101" s="109"/>
      <c r="BP101" s="13"/>
      <c r="BR101" s="13" t="str">
        <f t="shared" si="264"/>
        <v/>
      </c>
      <c r="BT101" s="13" t="str">
        <f t="shared" si="265"/>
        <v/>
      </c>
      <c r="BV101" s="13"/>
      <c r="BX101" s="13"/>
      <c r="BZ101" s="13"/>
      <c r="CB101" s="13"/>
      <c r="CC101" s="1"/>
      <c r="CD101" s="13"/>
      <c r="CF101" s="13"/>
      <c r="CG101" s="1"/>
      <c r="CH101" s="13"/>
      <c r="CJ101" s="13"/>
      <c r="CK101" s="1"/>
      <c r="CL101" s="13"/>
      <c r="CN101" s="13"/>
      <c r="CO101" s="1" t="s">
        <v>184</v>
      </c>
      <c r="CP101" s="13" t="s">
        <v>184</v>
      </c>
      <c r="CQ101" t="s">
        <v>184</v>
      </c>
      <c r="CR101" s="13" t="s">
        <v>184</v>
      </c>
      <c r="CS101" s="1" t="s">
        <v>184</v>
      </c>
      <c r="CT101" s="13" t="str">
        <f t="shared" si="181"/>
        <v/>
      </c>
      <c r="CU101" t="s">
        <v>184</v>
      </c>
      <c r="CV101" s="13" t="str">
        <f t="shared" si="182"/>
        <v/>
      </c>
      <c r="CW101" s="1" t="s">
        <v>184</v>
      </c>
      <c r="CX101" s="13" t="str">
        <f t="shared" si="183"/>
        <v/>
      </c>
      <c r="CY101" t="s">
        <v>184</v>
      </c>
      <c r="CZ101" s="13" t="str">
        <f t="shared" si="184"/>
        <v/>
      </c>
      <c r="DA101" s="1" t="s">
        <v>184</v>
      </c>
      <c r="DB101" s="13" t="str">
        <f t="shared" si="185"/>
        <v/>
      </c>
      <c r="DC101" t="s">
        <v>184</v>
      </c>
      <c r="DD101" s="13" t="str">
        <f t="shared" si="186"/>
        <v/>
      </c>
      <c r="DE101" s="1" t="s">
        <v>184</v>
      </c>
      <c r="DF101" s="13" t="str">
        <f t="shared" si="187"/>
        <v/>
      </c>
      <c r="DG101" s="1" t="s">
        <v>184</v>
      </c>
      <c r="DH101" s="13" t="str">
        <f t="shared" si="188"/>
        <v/>
      </c>
      <c r="DI101" s="1" t="s">
        <v>184</v>
      </c>
      <c r="DJ101" s="13" t="str">
        <f t="shared" si="189"/>
        <v/>
      </c>
      <c r="DK101" s="1" t="s">
        <v>184</v>
      </c>
      <c r="DL101" s="13" t="str">
        <f t="shared" si="190"/>
        <v/>
      </c>
      <c r="DM101" s="1" t="s">
        <v>184</v>
      </c>
      <c r="DN101" s="13" t="str">
        <f t="shared" si="191"/>
        <v/>
      </c>
      <c r="DO101" s="1" t="s">
        <v>184</v>
      </c>
      <c r="DP101" s="13" t="str">
        <f t="shared" si="192"/>
        <v/>
      </c>
      <c r="DQ101" s="1" t="s">
        <v>184</v>
      </c>
      <c r="DR101" s="13" t="str">
        <f t="shared" si="193"/>
        <v/>
      </c>
      <c r="DS101" t="s">
        <v>184</v>
      </c>
      <c r="DT101" s="13" t="str">
        <f t="shared" si="194"/>
        <v/>
      </c>
      <c r="DU101" s="1" t="s">
        <v>184</v>
      </c>
      <c r="DV101" s="13" t="str">
        <f t="shared" si="195"/>
        <v/>
      </c>
      <c r="DW101" t="s">
        <v>184</v>
      </c>
      <c r="DX101" s="13" t="str">
        <f t="shared" si="196"/>
        <v/>
      </c>
      <c r="DY101" s="1" t="s">
        <v>184</v>
      </c>
      <c r="DZ101" s="13" t="str">
        <f t="shared" si="197"/>
        <v/>
      </c>
      <c r="EA101" s="1" t="s">
        <v>184</v>
      </c>
      <c r="EB101" s="13" t="str">
        <f t="shared" si="198"/>
        <v/>
      </c>
      <c r="EC101" s="1" t="s">
        <v>184</v>
      </c>
      <c r="ED101" s="13" t="str">
        <f t="shared" si="199"/>
        <v/>
      </c>
      <c r="EE101" s="1" t="str">
        <f>IFERROR(VLOOKUP($A101,[1]Москва_продажа_районы!$C$2:$F$148,2,0),"")</f>
        <v/>
      </c>
      <c r="EF101" s="13" t="s">
        <v>184</v>
      </c>
      <c r="EG101" s="1" t="s">
        <v>184</v>
      </c>
      <c r="EH101" s="13" t="str">
        <f t="shared" si="200"/>
        <v/>
      </c>
      <c r="EI101" s="1" t="str">
        <f>IFERROR(VLOOKUP($A101,[2]Москва_продажа_районы!$C$2:$F$150,2,0),"")</f>
        <v/>
      </c>
      <c r="EJ101" s="13" t="s">
        <v>184</v>
      </c>
      <c r="EK101" s="1" t="s">
        <v>184</v>
      </c>
      <c r="EL101" s="13" t="str">
        <f t="shared" si="201"/>
        <v/>
      </c>
      <c r="EM101" t="s">
        <v>184</v>
      </c>
      <c r="EN101" s="13" t="str">
        <f t="shared" si="202"/>
        <v/>
      </c>
      <c r="EO101" s="1" t="s">
        <v>184</v>
      </c>
      <c r="EP101" s="13" t="str">
        <f t="shared" si="203"/>
        <v/>
      </c>
      <c r="EQ101" t="s">
        <v>184</v>
      </c>
      <c r="ER101" s="13" t="str">
        <f t="shared" si="204"/>
        <v/>
      </c>
      <c r="ES101" s="183" t="s">
        <v>184</v>
      </c>
      <c r="ET101" s="13" t="str">
        <f t="shared" si="205"/>
        <v/>
      </c>
      <c r="EU101" t="s">
        <v>184</v>
      </c>
      <c r="EV101" s="13" t="str">
        <f t="shared" si="206"/>
        <v/>
      </c>
      <c r="EW101" s="183" t="s">
        <v>184</v>
      </c>
      <c r="EX101" s="13" t="str">
        <f t="shared" si="207"/>
        <v/>
      </c>
      <c r="EY101" t="s">
        <v>184</v>
      </c>
      <c r="EZ101" s="13" t="str">
        <f t="shared" si="208"/>
        <v/>
      </c>
      <c r="FA101" s="1" t="s">
        <v>184</v>
      </c>
      <c r="FB101" s="13" t="str">
        <f t="shared" si="209"/>
        <v/>
      </c>
      <c r="FC101" s="1" t="s">
        <v>184</v>
      </c>
      <c r="FD101" s="13" t="str">
        <f t="shared" si="210"/>
        <v/>
      </c>
      <c r="FE101" s="1" t="s">
        <v>184</v>
      </c>
      <c r="FF101" s="13" t="str">
        <f t="shared" si="211"/>
        <v/>
      </c>
      <c r="FG101" s="1" t="s">
        <v>184</v>
      </c>
      <c r="FH101" s="13" t="str">
        <f t="shared" si="212"/>
        <v/>
      </c>
      <c r="FI101" s="1" t="s">
        <v>184</v>
      </c>
      <c r="FJ101" s="13" t="str">
        <f t="shared" si="213"/>
        <v/>
      </c>
      <c r="FK101" s="1" t="s">
        <v>184</v>
      </c>
      <c r="FL101" s="13" t="str">
        <f t="shared" si="214"/>
        <v/>
      </c>
      <c r="FM101" s="1" t="s">
        <v>184</v>
      </c>
      <c r="FN101" s="13" t="str">
        <f t="shared" si="215"/>
        <v/>
      </c>
      <c r="FO101" s="1" t="s">
        <v>184</v>
      </c>
      <c r="FP101" s="13" t="str">
        <f t="shared" si="216"/>
        <v/>
      </c>
      <c r="FQ101" s="1" t="s">
        <v>184</v>
      </c>
      <c r="FR101" s="13" t="str">
        <f t="shared" si="217"/>
        <v/>
      </c>
      <c r="FS101" t="s">
        <v>184</v>
      </c>
      <c r="FT101" s="13" t="str">
        <f t="shared" si="218"/>
        <v/>
      </c>
      <c r="FU101" s="1" t="s">
        <v>184</v>
      </c>
      <c r="FV101" s="13" t="str">
        <f t="shared" si="219"/>
        <v/>
      </c>
      <c r="FW101" s="1" t="s">
        <v>184</v>
      </c>
      <c r="FX101" s="13" t="str">
        <f t="shared" si="220"/>
        <v/>
      </c>
      <c r="FY101" s="1" t="s">
        <v>184</v>
      </c>
      <c r="FZ101" s="13" t="str">
        <f t="shared" si="221"/>
        <v/>
      </c>
      <c r="GA101" s="1" t="s">
        <v>184</v>
      </c>
      <c r="GB101" s="13" t="str">
        <f t="shared" si="222"/>
        <v/>
      </c>
      <c r="GC101" s="1" t="s">
        <v>184</v>
      </c>
      <c r="GD101" s="13" t="str">
        <f t="shared" si="223"/>
        <v/>
      </c>
      <c r="GE101" s="1" t="s">
        <v>184</v>
      </c>
      <c r="GF101" s="13" t="str">
        <f t="shared" si="224"/>
        <v/>
      </c>
      <c r="GG101" s="1" t="str">
        <f>IFERROR(VLOOKUP(A101,[3]Москва_продажа_районы!$C$2:$F$149,3,0),"")</f>
        <v/>
      </c>
      <c r="GH101" s="13" t="s">
        <v>184</v>
      </c>
      <c r="GI101" s="1" t="s">
        <v>184</v>
      </c>
      <c r="GJ101" s="13" t="str">
        <f t="shared" si="225"/>
        <v/>
      </c>
      <c r="GK101" s="1" t="s">
        <v>184</v>
      </c>
      <c r="GL101" s="13" t="str">
        <f t="shared" si="226"/>
        <v/>
      </c>
      <c r="GM101" s="1" t="s">
        <v>184</v>
      </c>
      <c r="GN101" s="13" t="str">
        <f t="shared" si="227"/>
        <v/>
      </c>
      <c r="GO101" s="1" t="s">
        <v>184</v>
      </c>
      <c r="GP101" s="13" t="str">
        <f t="shared" si="228"/>
        <v/>
      </c>
      <c r="GQ101" s="1" t="s">
        <v>184</v>
      </c>
      <c r="GR101" s="13" t="str">
        <f t="shared" si="229"/>
        <v/>
      </c>
      <c r="GT101" s="13"/>
      <c r="GV101" s="13"/>
      <c r="GX101" s="13"/>
      <c r="GZ101" s="13"/>
      <c r="HB101" s="13"/>
      <c r="HD101" s="13"/>
      <c r="HE101" t="e">
        <v>#N/A</v>
      </c>
      <c r="HF101" s="13" t="e">
        <v>#N/A</v>
      </c>
      <c r="HG101" t="e">
        <v>#N/A</v>
      </c>
      <c r="HH101" s="13" t="e">
        <v>#N/A</v>
      </c>
      <c r="HI101" t="e">
        <f>VLOOKUP(A101,[4]Москва_продажа_районы!$C$4:$F$151,3,0)</f>
        <v>#N/A</v>
      </c>
      <c r="HJ101" s="13" t="e">
        <f t="shared" si="232"/>
        <v>#N/A</v>
      </c>
      <c r="HK101" t="e">
        <f>VLOOKUP(A101,[4]Москва_продажа_районы!$C$4:$F$151,2,0)</f>
        <v>#N/A</v>
      </c>
      <c r="HL101" s="13" t="e">
        <f t="shared" si="233"/>
        <v>#N/A</v>
      </c>
      <c r="HM101" s="1" t="e">
        <f>VLOOKUP(A101,Лист3!$C$4:$F$149,3,0)</f>
        <v>#N/A</v>
      </c>
      <c r="HN101" s="13" t="e">
        <f t="shared" si="234"/>
        <v>#N/A</v>
      </c>
      <c r="HO101" t="e">
        <f>VLOOKUP(A101,Лист3!$C$4:$F$149,2,0)</f>
        <v>#N/A</v>
      </c>
      <c r="HP101" s="13" t="e">
        <f t="shared" si="235"/>
        <v>#N/A</v>
      </c>
      <c r="HQ101" s="1" t="e">
        <v>#N/A</v>
      </c>
      <c r="HR101" s="13" t="e">
        <v>#N/A</v>
      </c>
      <c r="HS101" t="e">
        <v>#N/A</v>
      </c>
      <c r="HT101" s="13" t="e">
        <v>#N/A</v>
      </c>
      <c r="HU101" s="34" t="e">
        <v>#N/A</v>
      </c>
      <c r="HV101" s="13" t="e">
        <v>#N/A</v>
      </c>
      <c r="HW101" t="e">
        <v>#N/A</v>
      </c>
      <c r="HX101" s="13" t="e">
        <v>#N/A</v>
      </c>
      <c r="HY101" t="e">
        <v>#N/A</v>
      </c>
      <c r="HZ101" s="13" t="e">
        <v>#N/A</v>
      </c>
      <c r="IA101" t="e">
        <v>#N/A</v>
      </c>
      <c r="IB101" s="13" t="e">
        <v>#N/A</v>
      </c>
      <c r="IC101" s="34" t="e">
        <v>#N/A</v>
      </c>
      <c r="ID101" s="13" t="e">
        <v>#N/A</v>
      </c>
      <c r="IE101" t="e">
        <v>#N/A</v>
      </c>
      <c r="IF101" s="13" t="e">
        <v>#N/A</v>
      </c>
    </row>
    <row r="102" spans="1:240" ht="15" thickTop="1" x14ac:dyDescent="0.3">
      <c r="A102" s="24" t="s">
        <v>108</v>
      </c>
      <c r="B102" s="25">
        <v>537588.83597495069</v>
      </c>
      <c r="C102" s="26">
        <v>511</v>
      </c>
      <c r="D102" s="25">
        <v>578887.70184256078</v>
      </c>
      <c r="E102" s="26">
        <v>531</v>
      </c>
      <c r="F102" s="25">
        <v>660008.90029830218</v>
      </c>
      <c r="G102" s="26">
        <v>530</v>
      </c>
      <c r="H102" s="25">
        <v>621060.6560112579</v>
      </c>
      <c r="I102" s="26">
        <v>516</v>
      </c>
      <c r="J102" s="25">
        <v>617313.35903541732</v>
      </c>
      <c r="K102" s="26">
        <v>573</v>
      </c>
      <c r="L102" s="25">
        <v>591787.04606712016</v>
      </c>
      <c r="M102" s="26">
        <v>534</v>
      </c>
      <c r="N102" s="25">
        <v>586772.66427212919</v>
      </c>
      <c r="O102" s="27">
        <v>548</v>
      </c>
      <c r="P102" s="38">
        <v>595459.48330777208</v>
      </c>
      <c r="Q102" s="27">
        <v>568</v>
      </c>
      <c r="R102" s="38">
        <v>602852.18346782203</v>
      </c>
      <c r="S102" s="26">
        <v>570</v>
      </c>
      <c r="T102" s="50">
        <v>608217.06609738269</v>
      </c>
      <c r="U102" s="45">
        <v>541</v>
      </c>
      <c r="V102" s="55">
        <v>616778.56108163891</v>
      </c>
      <c r="W102" s="45">
        <v>492</v>
      </c>
      <c r="X102" s="55">
        <v>639354.43734945462</v>
      </c>
      <c r="Y102" s="45">
        <v>435</v>
      </c>
      <c r="Z102" s="34">
        <v>639784.21681752917</v>
      </c>
      <c r="AA102" s="81">
        <v>429</v>
      </c>
      <c r="AB102" s="1">
        <v>664847.1218223609</v>
      </c>
      <c r="AC102">
        <v>498</v>
      </c>
      <c r="AD102" s="1">
        <v>668301.09509397903</v>
      </c>
      <c r="AE102">
        <v>396</v>
      </c>
      <c r="AF102" s="13">
        <f t="shared" si="180"/>
        <v>4.5274821059391401E-2</v>
      </c>
      <c r="AG102" s="85">
        <f>AE102/$AJ$102</f>
        <v>6.9303465173258666E-2</v>
      </c>
      <c r="AH102">
        <f>ROUNDUP(AG102*AE102,0)</f>
        <v>28</v>
      </c>
      <c r="AI102" s="89">
        <f>AH102+AE102</f>
        <v>424</v>
      </c>
      <c r="AJ102" s="1">
        <v>5714</v>
      </c>
      <c r="AK102">
        <v>6450</v>
      </c>
      <c r="AL102" s="1">
        <v>659494.28736809723</v>
      </c>
      <c r="AM102">
        <v>395</v>
      </c>
      <c r="AN102" s="13">
        <f>AM102/SUM($AM$102:$AM$111)</f>
        <v>6.9862044570215776E-2</v>
      </c>
      <c r="AO102">
        <f>SUM(AM102:AM111)</f>
        <v>5654</v>
      </c>
      <c r="AP102">
        <f>6427-AO102</f>
        <v>773</v>
      </c>
      <c r="AQ102">
        <f>ROUNDDOWN($AP$102*AN102,0)</f>
        <v>54</v>
      </c>
      <c r="AR102" s="89">
        <f>AQ102+AM102</f>
        <v>449</v>
      </c>
      <c r="AS102">
        <v>399</v>
      </c>
      <c r="AT102" s="1">
        <v>663778.37360259506</v>
      </c>
      <c r="AU102" s="13">
        <f>AT102/AL102-1</f>
        <v>6.4960172006867101E-3</v>
      </c>
      <c r="AV102" s="35">
        <v>402</v>
      </c>
      <c r="AW102" s="1">
        <v>659487.71814439597</v>
      </c>
      <c r="AX102" s="35">
        <v>450.60453400503781</v>
      </c>
      <c r="AY102" s="119">
        <v>646049.23121743021</v>
      </c>
      <c r="AZ102" s="120">
        <v>428</v>
      </c>
      <c r="BA102" s="119">
        <v>662337.14552505175</v>
      </c>
      <c r="BB102">
        <v>384</v>
      </c>
      <c r="BC102" s="13">
        <f>BA102/AY102-1</f>
        <v>2.5211568283934449E-2</v>
      </c>
      <c r="BD102">
        <v>394</v>
      </c>
      <c r="BE102" s="1">
        <v>667398.71635837178</v>
      </c>
      <c r="BF102" s="13">
        <f t="shared" ref="BF102:BF111" si="266">BE102/BA102-1</f>
        <v>7.6419854563760659E-3</v>
      </c>
      <c r="BG102">
        <v>371</v>
      </c>
      <c r="BH102" s="1">
        <v>692905.88527825836</v>
      </c>
      <c r="BI102" s="13">
        <f t="shared" ref="BI102:BI154" si="267">BH102/BE102-1</f>
        <v>3.8218786303733321E-2</v>
      </c>
      <c r="BJ102">
        <v>354</v>
      </c>
      <c r="BK102" s="1">
        <v>698729.7412315238</v>
      </c>
      <c r="BL102" s="13">
        <f t="shared" ref="BL102:BL111" si="268">BK102/BH102-1</f>
        <v>8.4049740044085386E-3</v>
      </c>
      <c r="BM102" s="1">
        <v>716081.35257436254</v>
      </c>
      <c r="BN102" s="109">
        <f t="shared" ref="BN102:BN111" si="269">BM102/BK102-1</f>
        <v>2.4833079685796955E-2</v>
      </c>
      <c r="BO102">
        <v>313</v>
      </c>
      <c r="BP102" s="13">
        <f t="shared" ref="BP102:BP111" si="270">BO102/BJ102-1</f>
        <v>-0.11581920903954801</v>
      </c>
      <c r="BQ102" s="1">
        <v>746256.73193729506</v>
      </c>
      <c r="BR102" s="13">
        <f t="shared" si="264"/>
        <v>4.2139596645618393E-2</v>
      </c>
      <c r="BS102">
        <v>328</v>
      </c>
      <c r="BT102" s="13">
        <f t="shared" si="265"/>
        <v>4.7923322683706138E-2</v>
      </c>
      <c r="BU102" s="1">
        <v>805374.60801712098</v>
      </c>
      <c r="BV102" s="13">
        <f t="shared" ref="BV102:BV111" si="271">BU102/BQ102-1</f>
        <v>7.9219219807042718E-2</v>
      </c>
      <c r="BW102">
        <v>335</v>
      </c>
      <c r="BX102" s="13">
        <f t="shared" ref="BX102:BX111" si="272">BW102/BS102-1</f>
        <v>2.1341463414634054E-2</v>
      </c>
      <c r="BY102" s="1">
        <v>775981.46898514417</v>
      </c>
      <c r="BZ102" s="13">
        <f t="shared" ref="BZ102:BZ111" si="273">BY102/BU102-1</f>
        <v>-3.6496232609498858E-2</v>
      </c>
      <c r="CA102">
        <v>306</v>
      </c>
      <c r="CB102" s="13">
        <f t="shared" ref="CB102:CB111" si="274">CA102/BW102-1</f>
        <v>-8.6567164179104483E-2</v>
      </c>
      <c r="CC102" s="1">
        <v>737654.95646277408</v>
      </c>
      <c r="CD102" s="13">
        <f t="shared" ref="CD102:CD111" si="275">CC102/BY102-1</f>
        <v>-4.9391015190729859E-2</v>
      </c>
      <c r="CE102">
        <v>331</v>
      </c>
      <c r="CF102" s="13">
        <f t="shared" ref="CF102:CF111" si="276">CE102/CA102-1</f>
        <v>8.169934640522869E-2</v>
      </c>
      <c r="CG102" s="1">
        <v>712816.8761566988</v>
      </c>
      <c r="CH102" s="13">
        <f t="shared" ref="CH102:CH111" si="277">CG102/CC102-1</f>
        <v>-3.3671678185665077E-2</v>
      </c>
      <c r="CI102">
        <v>360</v>
      </c>
      <c r="CJ102" s="13">
        <f t="shared" ref="CJ102:CJ111" si="278">CI102/CE102-1</f>
        <v>8.7613293051359564E-2</v>
      </c>
      <c r="CK102" s="1">
        <v>714841.63096798852</v>
      </c>
      <c r="CL102" s="13">
        <f t="shared" ref="CL102:CL111" si="279">CK102/CG102-1</f>
        <v>2.840497859992519E-3</v>
      </c>
      <c r="CM102">
        <v>361</v>
      </c>
      <c r="CN102" s="13">
        <f t="shared" ref="CN102:CN111" si="280">CM102/CI102-1</f>
        <v>2.7777777777777679E-3</v>
      </c>
      <c r="CO102" s="1">
        <v>708962.73348242766</v>
      </c>
      <c r="CP102" s="13">
        <v>-8.2240558340175296E-3</v>
      </c>
      <c r="CQ102">
        <v>345</v>
      </c>
      <c r="CR102" s="13">
        <v>-4.4321329639889218E-2</v>
      </c>
      <c r="CS102" s="1">
        <v>701182.71723940701</v>
      </c>
      <c r="CT102" s="13">
        <f t="shared" si="181"/>
        <v>-1.0973801408157513E-2</v>
      </c>
      <c r="CU102">
        <v>369</v>
      </c>
      <c r="CV102" s="13">
        <f t="shared" si="182"/>
        <v>6.956521739130439E-2</v>
      </c>
      <c r="CW102" s="1">
        <v>696521.99460453272</v>
      </c>
      <c r="CX102" s="13">
        <f t="shared" si="183"/>
        <v>-6.6469445413940287E-3</v>
      </c>
      <c r="CY102">
        <v>359</v>
      </c>
      <c r="CZ102" s="13">
        <f t="shared" si="184"/>
        <v>-2.7100271002710064E-2</v>
      </c>
      <c r="DA102" s="1">
        <v>680860.30612414482</v>
      </c>
      <c r="DB102" s="13">
        <f t="shared" si="185"/>
        <v>-2.2485561980394086E-2</v>
      </c>
      <c r="DC102">
        <v>388</v>
      </c>
      <c r="DD102" s="13">
        <f t="shared" si="186"/>
        <v>8.0779944289693484E-2</v>
      </c>
      <c r="DE102" s="1">
        <v>690249.97416950029</v>
      </c>
      <c r="DF102" s="13">
        <f t="shared" si="187"/>
        <v>1.37908877355577E-2</v>
      </c>
      <c r="DG102" s="1">
        <v>364</v>
      </c>
      <c r="DH102" s="13">
        <f t="shared" si="188"/>
        <v>-6.1855670103092786E-2</v>
      </c>
      <c r="DI102" s="1">
        <v>694876.86809684127</v>
      </c>
      <c r="DJ102" s="13">
        <f t="shared" si="189"/>
        <v>6.7032149228372084E-3</v>
      </c>
      <c r="DK102" s="1">
        <v>356</v>
      </c>
      <c r="DL102" s="13">
        <f t="shared" si="190"/>
        <v>-2.1978021978022011E-2</v>
      </c>
      <c r="DM102" s="1">
        <v>677203.69897767308</v>
      </c>
      <c r="DN102" s="13">
        <f t="shared" si="191"/>
        <v>-2.5433526327581224E-2</v>
      </c>
      <c r="DO102" s="1">
        <v>376</v>
      </c>
      <c r="DP102" s="13">
        <f t="shared" si="192"/>
        <v>5.6179775280898792E-2</v>
      </c>
      <c r="DQ102" s="1">
        <v>681071.14031400334</v>
      </c>
      <c r="DR102" s="13">
        <f t="shared" si="193"/>
        <v>5.7108981273561454E-3</v>
      </c>
      <c r="DS102">
        <v>385</v>
      </c>
      <c r="DT102" s="13">
        <f t="shared" si="194"/>
        <v>2.3936170212766061E-2</v>
      </c>
      <c r="DU102" s="1">
        <v>695552.88908773451</v>
      </c>
      <c r="DV102" s="13">
        <f t="shared" si="195"/>
        <v>2.1263195452760675E-2</v>
      </c>
      <c r="DW102">
        <v>362</v>
      </c>
      <c r="DX102" s="13">
        <f t="shared" si="196"/>
        <v>-5.974025974025976E-2</v>
      </c>
      <c r="DY102" s="1">
        <v>695223.1930325079</v>
      </c>
      <c r="DZ102" s="13">
        <f t="shared" si="197"/>
        <v>-4.7400573040390359E-4</v>
      </c>
      <c r="EA102" s="1">
        <v>359</v>
      </c>
      <c r="EB102" s="13">
        <f t="shared" si="198"/>
        <v>-8.2872928176795924E-3</v>
      </c>
      <c r="EC102" s="1">
        <v>709873.93239809852</v>
      </c>
      <c r="ED102" s="13">
        <f t="shared" si="199"/>
        <v>2.1073432981551177E-2</v>
      </c>
      <c r="EE102" s="1">
        <f>IFERROR(VLOOKUP($A102,[1]Москва_продажа_районы!$C$2:$F$148,2,0),"")</f>
        <v>354</v>
      </c>
      <c r="EF102" s="13">
        <v>-1.3927576601671321E-2</v>
      </c>
      <c r="EG102" s="1">
        <v>729477.74709530454</v>
      </c>
      <c r="EH102" s="13">
        <f t="shared" si="200"/>
        <v>2.7615910096853824E-2</v>
      </c>
      <c r="EI102" s="1">
        <f>IFERROR(VLOOKUP($A102,[2]Москва_продажа_районы!$C$2:$F$150,2,0),"")</f>
        <v>332</v>
      </c>
      <c r="EJ102" s="13">
        <v>-6.2146892655367214E-2</v>
      </c>
      <c r="EK102" s="1">
        <v>749721.82558099809</v>
      </c>
      <c r="EL102" s="13">
        <f t="shared" si="201"/>
        <v>2.7751468178848659E-2</v>
      </c>
      <c r="EM102">
        <v>323</v>
      </c>
      <c r="EN102" s="13">
        <f t="shared" si="202"/>
        <v>-2.7108433734939763E-2</v>
      </c>
      <c r="EO102" s="1">
        <v>791663.53876721882</v>
      </c>
      <c r="EP102" s="13">
        <f t="shared" si="203"/>
        <v>5.5943033476073545E-2</v>
      </c>
      <c r="EQ102">
        <v>310</v>
      </c>
      <c r="ER102" s="13">
        <f t="shared" si="204"/>
        <v>-4.0247678018575872E-2</v>
      </c>
      <c r="ES102" s="183">
        <v>816496.29241794872</v>
      </c>
      <c r="ET102" s="13">
        <f t="shared" si="205"/>
        <v>3.1367812757171487E-2</v>
      </c>
      <c r="EU102">
        <v>314</v>
      </c>
      <c r="EV102" s="13">
        <f t="shared" si="206"/>
        <v>1.2903225806451646E-2</v>
      </c>
      <c r="EW102" s="183">
        <v>804779.04280717717</v>
      </c>
      <c r="EX102" s="13">
        <f t="shared" si="207"/>
        <v>-1.4350646438420989E-2</v>
      </c>
      <c r="EY102">
        <v>313</v>
      </c>
      <c r="EZ102" s="13">
        <f t="shared" si="208"/>
        <v>-3.1847133757961776E-3</v>
      </c>
      <c r="FA102" s="1">
        <v>781841.6572423646</v>
      </c>
      <c r="FB102" s="13">
        <f t="shared" si="209"/>
        <v>-2.8501469775857879E-2</v>
      </c>
      <c r="FC102" s="1">
        <v>277</v>
      </c>
      <c r="FD102" s="13">
        <f t="shared" si="210"/>
        <v>-0.11501597444089462</v>
      </c>
      <c r="FE102" s="1">
        <v>790881.33718856622</v>
      </c>
      <c r="FF102" s="13">
        <f t="shared" si="211"/>
        <v>1.1562034156744172E-2</v>
      </c>
      <c r="FG102" s="1">
        <v>275</v>
      </c>
      <c r="FH102" s="13">
        <f t="shared" si="212"/>
        <v>-7.2202166064981865E-3</v>
      </c>
      <c r="FI102" s="1">
        <v>798761.48475887976</v>
      </c>
      <c r="FJ102" s="13">
        <f t="shared" si="213"/>
        <v>9.9637546111859265E-3</v>
      </c>
      <c r="FK102" s="1">
        <v>286</v>
      </c>
      <c r="FL102" s="13">
        <f t="shared" si="214"/>
        <v>4.0000000000000036E-2</v>
      </c>
      <c r="FM102" s="1">
        <v>816624.52465981245</v>
      </c>
      <c r="FN102" s="13">
        <f t="shared" si="215"/>
        <v>2.2363421674399975E-2</v>
      </c>
      <c r="FO102" s="1">
        <v>282</v>
      </c>
      <c r="FP102" s="13">
        <f t="shared" si="216"/>
        <v>-1.3986013986013957E-2</v>
      </c>
      <c r="FQ102" s="1">
        <v>822047.51746934839</v>
      </c>
      <c r="FR102" s="13">
        <f t="shared" si="217"/>
        <v>6.6407420372234238E-3</v>
      </c>
      <c r="FS102">
        <v>294</v>
      </c>
      <c r="FT102" s="13">
        <f t="shared" si="218"/>
        <v>4.2553191489361764E-2</v>
      </c>
      <c r="FU102" s="1">
        <v>819589.29701163142</v>
      </c>
      <c r="FV102" s="13">
        <f t="shared" si="219"/>
        <v>-2.9903629723067038E-3</v>
      </c>
      <c r="FW102" s="1">
        <v>287</v>
      </c>
      <c r="FX102" s="13">
        <f t="shared" si="220"/>
        <v>-2.3809523809523836E-2</v>
      </c>
      <c r="FY102" s="1">
        <v>810992.98712649278</v>
      </c>
      <c r="FZ102" s="13">
        <f t="shared" si="221"/>
        <v>-1.0488558008849513E-2</v>
      </c>
      <c r="GA102" s="1">
        <v>289</v>
      </c>
      <c r="GB102" s="13">
        <f t="shared" si="222"/>
        <v>6.9686411149825211E-3</v>
      </c>
      <c r="GC102" s="1">
        <v>828206.33150738408</v>
      </c>
      <c r="GD102" s="13">
        <f t="shared" si="223"/>
        <v>2.1225022477545208E-2</v>
      </c>
      <c r="GE102" s="1">
        <v>285</v>
      </c>
      <c r="GF102" s="13">
        <f t="shared" si="224"/>
        <v>-1.384083044982698E-2</v>
      </c>
      <c r="GG102" s="1">
        <f>IFERROR(VLOOKUP(A102,[3]Москва_продажа_районы!$C$2:$F$149,3,0),"")</f>
        <v>840243.48897287901</v>
      </c>
      <c r="GH102" s="13">
        <v>1.453400802139071E-2</v>
      </c>
      <c r="GI102" s="1">
        <v>272</v>
      </c>
      <c r="GJ102" s="13">
        <f t="shared" si="225"/>
        <v>-4.5614035087719329E-2</v>
      </c>
      <c r="GK102" s="1">
        <v>810199.01010428369</v>
      </c>
      <c r="GL102" s="13">
        <f t="shared" si="226"/>
        <v>-3.5756871981622806E-2</v>
      </c>
      <c r="GM102" s="1">
        <v>275</v>
      </c>
      <c r="GN102" s="13">
        <f t="shared" si="227"/>
        <v>1.1029411764705843E-2</v>
      </c>
      <c r="GO102" s="1">
        <v>847282.43996148778</v>
      </c>
      <c r="GP102" s="13">
        <f t="shared" si="228"/>
        <v>4.5770766681671127E-2</v>
      </c>
      <c r="GQ102" s="1">
        <v>286.76</v>
      </c>
      <c r="GR102" s="13">
        <f t="shared" si="229"/>
        <v>4.2763636363636337E-2</v>
      </c>
      <c r="GS102" s="1">
        <v>917934.67642249248</v>
      </c>
      <c r="GT102" s="13">
        <f t="shared" ref="GT102:GT111" si="281">GS102/GO102-1</f>
        <v>8.3386876829662837E-2</v>
      </c>
      <c r="GU102">
        <v>291</v>
      </c>
      <c r="GV102" s="13">
        <f t="shared" ref="GV102:GV111" si="282">GU102/GQ102-1</f>
        <v>1.4785883665783262E-2</v>
      </c>
      <c r="GW102">
        <v>954257.24398115999</v>
      </c>
      <c r="GX102" s="13">
        <f t="shared" si="230"/>
        <v>3.9569882794088462E-2</v>
      </c>
      <c r="GY102">
        <v>266</v>
      </c>
      <c r="GZ102" s="13">
        <f t="shared" si="231"/>
        <v>-8.5910652920962227E-2</v>
      </c>
      <c r="HA102">
        <v>982307.49537361076</v>
      </c>
      <c r="HB102" s="13">
        <v>2.9394852980549668E-2</v>
      </c>
      <c r="HC102">
        <v>268</v>
      </c>
      <c r="HD102" s="13">
        <v>7.5187969924812581E-3</v>
      </c>
      <c r="HE102">
        <v>934755.45882591442</v>
      </c>
      <c r="HF102" s="13">
        <v>-4.8408504232791527E-2</v>
      </c>
      <c r="HG102">
        <v>273</v>
      </c>
      <c r="HH102" s="13">
        <v>1.8656716417910557E-2</v>
      </c>
      <c r="HI102">
        <f>VLOOKUP(A102,[4]Москва_продажа_районы!$C$4:$F$151,3,0)</f>
        <v>932033.81790774514</v>
      </c>
      <c r="HJ102" s="13">
        <f t="shared" si="232"/>
        <v>-2.9116074075542508E-3</v>
      </c>
      <c r="HK102">
        <f>VLOOKUP(A102,[4]Москва_продажа_районы!$C$4:$F$151,2,0)</f>
        <v>286</v>
      </c>
      <c r="HL102" s="13">
        <f t="shared" si="233"/>
        <v>4.7619047619047672E-2</v>
      </c>
      <c r="HM102" s="1">
        <f>VLOOKUP(A102,Лист3!$C$4:$F$149,3,0)</f>
        <v>938665.10130205017</v>
      </c>
      <c r="HN102" s="13">
        <f t="shared" si="234"/>
        <v>7.1148527734659073E-3</v>
      </c>
      <c r="HO102">
        <f>VLOOKUP(A102,Лист3!$C$4:$F$149,2,0)</f>
        <v>276</v>
      </c>
      <c r="HP102" s="13">
        <f t="shared" si="235"/>
        <v>-3.4965034965035002E-2</v>
      </c>
      <c r="HQ102" s="1">
        <v>905097.15360209334</v>
      </c>
      <c r="HR102" s="13">
        <v>-3.5761367556324086E-2</v>
      </c>
      <c r="HS102">
        <v>275</v>
      </c>
      <c r="HT102" s="13">
        <v>-3.6231884057971175E-3</v>
      </c>
      <c r="HU102" s="34">
        <v>923551.31910488231</v>
      </c>
      <c r="HV102" s="13">
        <v>2.038915427956578E-2</v>
      </c>
      <c r="HW102">
        <v>264</v>
      </c>
      <c r="HX102" s="13">
        <v>-4.0000000000000036E-2</v>
      </c>
      <c r="HY102">
        <v>891923.72733156197</v>
      </c>
      <c r="HZ102" s="13">
        <v>-3.4245624600454438E-2</v>
      </c>
      <c r="IA102">
        <v>280</v>
      </c>
      <c r="IB102" s="13">
        <v>6.0606060606060552E-2</v>
      </c>
      <c r="IC102" s="34">
        <v>881558.12761857582</v>
      </c>
      <c r="ID102" s="13">
        <v>-1.1621621216421407E-2</v>
      </c>
      <c r="IE102">
        <v>263</v>
      </c>
      <c r="IF102" s="13">
        <v>-6.0714285714285721E-2</v>
      </c>
    </row>
    <row r="103" spans="1:240" x14ac:dyDescent="0.3">
      <c r="A103" s="23" t="s">
        <v>109</v>
      </c>
      <c r="B103" s="22">
        <v>335303.17415759736</v>
      </c>
      <c r="C103">
        <v>974</v>
      </c>
      <c r="D103" s="22">
        <v>345867.01199155051</v>
      </c>
      <c r="E103">
        <v>935</v>
      </c>
      <c r="F103" s="22">
        <v>353850.23153154243</v>
      </c>
      <c r="G103">
        <v>791</v>
      </c>
      <c r="H103" s="22">
        <v>346366.63794872118</v>
      </c>
      <c r="I103">
        <v>764</v>
      </c>
      <c r="J103" s="22">
        <v>387814.53339684475</v>
      </c>
      <c r="K103">
        <v>834</v>
      </c>
      <c r="L103" s="22">
        <v>385671.44616487058</v>
      </c>
      <c r="M103">
        <v>832</v>
      </c>
      <c r="N103" s="22">
        <v>416264.2631222952</v>
      </c>
      <c r="O103" s="28">
        <v>786</v>
      </c>
      <c r="P103" s="39">
        <v>410767.82739646774</v>
      </c>
      <c r="Q103" s="28">
        <v>747</v>
      </c>
      <c r="R103" s="39">
        <v>374029</v>
      </c>
      <c r="S103">
        <v>710</v>
      </c>
      <c r="T103" s="46">
        <v>375880.17864702741</v>
      </c>
      <c r="U103" s="47">
        <v>708</v>
      </c>
      <c r="V103" s="56">
        <v>378017.17612750351</v>
      </c>
      <c r="W103" s="47">
        <v>669</v>
      </c>
      <c r="X103" s="56">
        <v>374493.45900095958</v>
      </c>
      <c r="Y103" s="47">
        <v>642</v>
      </c>
      <c r="Z103" s="34">
        <v>370036.12199664331</v>
      </c>
      <c r="AA103" s="81">
        <v>741</v>
      </c>
      <c r="AB103" s="1">
        <v>385123.84374573739</v>
      </c>
      <c r="AC103">
        <v>778</v>
      </c>
      <c r="AD103" s="1">
        <v>388900.57080360479</v>
      </c>
      <c r="AE103">
        <v>666</v>
      </c>
      <c r="AF103" s="13">
        <f t="shared" si="180"/>
        <v>3.8470930416459659E-2</v>
      </c>
      <c r="AG103" s="85">
        <f t="shared" ref="AG103:AG111" si="283">AE103/$AJ$102</f>
        <v>0.11655582779138957</v>
      </c>
      <c r="AH103">
        <f t="shared" ref="AH103:AH111" si="284">ROUNDUP(AG103*AE103,0)</f>
        <v>78</v>
      </c>
      <c r="AI103" s="90">
        <f t="shared" ref="AI103:AI111" si="285">AH103+AE103</f>
        <v>744</v>
      </c>
      <c r="AL103" s="1">
        <v>386772.02486092702</v>
      </c>
      <c r="AM103">
        <v>677</v>
      </c>
      <c r="AN103" s="13">
        <f t="shared" ref="AN103:AN111" si="286">AM103/SUM($AM$102:$AM$111)</f>
        <v>0.11973823841528122</v>
      </c>
      <c r="AQ103">
        <f t="shared" ref="AQ103:AQ111" si="287">ROUNDDOWN($AP$102*AN103,0)</f>
        <v>92</v>
      </c>
      <c r="AR103" s="90">
        <f t="shared" ref="AR103:AR111" si="288">AQ103+AM103</f>
        <v>769</v>
      </c>
      <c r="AS103">
        <v>671</v>
      </c>
      <c r="AT103" s="1">
        <v>393344.47253383492</v>
      </c>
      <c r="AU103" s="13">
        <f t="shared" ref="AU103:AU111" si="289">AT103/AL103-1</f>
        <v>1.6993079257144217E-2</v>
      </c>
      <c r="AV103" s="35">
        <v>656</v>
      </c>
      <c r="AW103" s="1">
        <v>397288.07332406321</v>
      </c>
      <c r="AX103" s="35">
        <v>735.31486146095722</v>
      </c>
      <c r="AY103" s="121">
        <v>405305.15370999131</v>
      </c>
      <c r="AZ103" s="122">
        <v>634</v>
      </c>
      <c r="BA103" s="119">
        <v>409699.97326850158</v>
      </c>
      <c r="BB103">
        <v>636</v>
      </c>
      <c r="BC103" s="13">
        <f t="shared" ref="BC103:BC111" si="290">BA103/AY103-1</f>
        <v>1.0843236307956916E-2</v>
      </c>
      <c r="BD103">
        <v>659</v>
      </c>
      <c r="BE103" s="1">
        <v>419818.86431751092</v>
      </c>
      <c r="BF103" s="13">
        <f t="shared" si="266"/>
        <v>2.4698295604666409E-2</v>
      </c>
      <c r="BG103">
        <v>588</v>
      </c>
      <c r="BH103" s="1">
        <v>431353.68170603772</v>
      </c>
      <c r="BI103" s="13">
        <f t="shared" si="267"/>
        <v>2.7475700519743684E-2</v>
      </c>
      <c r="BJ103">
        <v>580</v>
      </c>
      <c r="BK103" s="1">
        <v>434804.31357637141</v>
      </c>
      <c r="BL103" s="13">
        <f t="shared" si="268"/>
        <v>7.9995419459182315E-3</v>
      </c>
      <c r="BM103" s="1">
        <v>439128.9885052176</v>
      </c>
      <c r="BN103" s="109">
        <f t="shared" si="269"/>
        <v>9.9462558070657625E-3</v>
      </c>
      <c r="BO103">
        <v>536</v>
      </c>
      <c r="BP103" s="13">
        <f t="shared" si="270"/>
        <v>-7.5862068965517282E-2</v>
      </c>
      <c r="BQ103" s="1">
        <v>442244.16445688391</v>
      </c>
      <c r="BR103" s="13">
        <f t="shared" si="264"/>
        <v>7.0939884025198463E-3</v>
      </c>
      <c r="BS103">
        <v>576</v>
      </c>
      <c r="BT103" s="13">
        <f t="shared" si="265"/>
        <v>7.4626865671641784E-2</v>
      </c>
      <c r="BU103" s="1">
        <v>496005.70715550683</v>
      </c>
      <c r="BV103" s="13">
        <f t="shared" si="271"/>
        <v>0.12156529586918796</v>
      </c>
      <c r="BW103">
        <v>612</v>
      </c>
      <c r="BX103" s="13">
        <f t="shared" si="272"/>
        <v>6.25E-2</v>
      </c>
      <c r="BY103" s="1">
        <v>506044.79959504359</v>
      </c>
      <c r="BZ103" s="13">
        <f t="shared" si="273"/>
        <v>2.0239872837570561E-2</v>
      </c>
      <c r="CA103">
        <v>575</v>
      </c>
      <c r="CB103" s="13">
        <f t="shared" si="274"/>
        <v>-6.0457516339869288E-2</v>
      </c>
      <c r="CC103" s="1">
        <v>464308.77683329268</v>
      </c>
      <c r="CD103" s="13">
        <f t="shared" si="275"/>
        <v>-8.2474956357914686E-2</v>
      </c>
      <c r="CE103">
        <v>603</v>
      </c>
      <c r="CF103" s="13">
        <f t="shared" si="276"/>
        <v>4.8695652173913029E-2</v>
      </c>
      <c r="CG103" s="1">
        <v>463808.00971450628</v>
      </c>
      <c r="CH103" s="13">
        <f t="shared" si="277"/>
        <v>-1.0785217591658958E-3</v>
      </c>
      <c r="CI103">
        <v>647</v>
      </c>
      <c r="CJ103" s="13">
        <f t="shared" si="278"/>
        <v>7.296849087893853E-2</v>
      </c>
      <c r="CK103" s="1">
        <v>461228.4510052058</v>
      </c>
      <c r="CL103" s="13">
        <f t="shared" si="279"/>
        <v>-5.5616950446549795E-3</v>
      </c>
      <c r="CM103">
        <v>713</v>
      </c>
      <c r="CN103" s="13">
        <f t="shared" si="280"/>
        <v>0.10200927357032463</v>
      </c>
      <c r="CO103" s="1">
        <v>450904.97445286153</v>
      </c>
      <c r="CP103" s="13">
        <v>-2.2382566664838621E-2</v>
      </c>
      <c r="CQ103">
        <v>696</v>
      </c>
      <c r="CR103" s="13">
        <v>-2.3842917251051921E-2</v>
      </c>
      <c r="CS103" s="1">
        <v>452616.70632330462</v>
      </c>
      <c r="CT103" s="13">
        <f t="shared" si="181"/>
        <v>3.7962142079273065E-3</v>
      </c>
      <c r="CU103">
        <v>764</v>
      </c>
      <c r="CV103" s="13">
        <f t="shared" si="182"/>
        <v>9.7701149425287293E-2</v>
      </c>
      <c r="CW103" s="1">
        <v>448663.38648871199</v>
      </c>
      <c r="CX103" s="13">
        <f t="shared" si="183"/>
        <v>-8.7343656991943908E-3</v>
      </c>
      <c r="CY103">
        <v>817</v>
      </c>
      <c r="CZ103" s="13">
        <f t="shared" si="184"/>
        <v>6.9371727748691159E-2</v>
      </c>
      <c r="DA103" s="1">
        <v>445910.31710027572</v>
      </c>
      <c r="DB103" s="13">
        <f t="shared" si="185"/>
        <v>-6.1361579111282039E-3</v>
      </c>
      <c r="DC103">
        <v>817</v>
      </c>
      <c r="DD103" s="13">
        <f t="shared" si="186"/>
        <v>0</v>
      </c>
      <c r="DE103" s="1">
        <v>445450.30509539437</v>
      </c>
      <c r="DF103" s="13">
        <f t="shared" si="187"/>
        <v>-1.0316244931778407E-3</v>
      </c>
      <c r="DG103" s="1">
        <v>819</v>
      </c>
      <c r="DH103" s="13">
        <f t="shared" si="188"/>
        <v>2.4479804161565699E-3</v>
      </c>
      <c r="DI103" s="1">
        <v>442805.86782119563</v>
      </c>
      <c r="DJ103" s="13">
        <f t="shared" si="189"/>
        <v>-5.9365483510723793E-3</v>
      </c>
      <c r="DK103" s="1">
        <v>816</v>
      </c>
      <c r="DL103" s="13">
        <f t="shared" si="190"/>
        <v>-3.66300366300365E-3</v>
      </c>
      <c r="DM103" s="1">
        <v>440487.05556947732</v>
      </c>
      <c r="DN103" s="13">
        <f t="shared" si="191"/>
        <v>-5.2366339749017055E-3</v>
      </c>
      <c r="DO103" s="1">
        <v>836</v>
      </c>
      <c r="DP103" s="13">
        <f t="shared" si="192"/>
        <v>2.450980392156854E-2</v>
      </c>
      <c r="DQ103" s="1">
        <v>438703.06077799021</v>
      </c>
      <c r="DR103" s="13">
        <f t="shared" si="193"/>
        <v>-4.0500504360581058E-3</v>
      </c>
      <c r="DS103">
        <v>864</v>
      </c>
      <c r="DT103" s="13">
        <f t="shared" si="194"/>
        <v>3.3492822966507241E-2</v>
      </c>
      <c r="DU103" s="1">
        <v>439711.72920726618</v>
      </c>
      <c r="DV103" s="13">
        <f t="shared" si="195"/>
        <v>2.2992053611097241E-3</v>
      </c>
      <c r="DW103">
        <v>836</v>
      </c>
      <c r="DX103" s="13">
        <f t="shared" si="196"/>
        <v>-3.240740740740744E-2</v>
      </c>
      <c r="DY103" s="1">
        <v>438659.40924621793</v>
      </c>
      <c r="DZ103" s="13">
        <f t="shared" si="197"/>
        <v>-2.3932042089153116E-3</v>
      </c>
      <c r="EA103" s="1">
        <v>803</v>
      </c>
      <c r="EB103" s="13">
        <f t="shared" si="198"/>
        <v>-3.9473684210526327E-2</v>
      </c>
      <c r="EC103" s="1">
        <v>457181.504901512</v>
      </c>
      <c r="ED103" s="13">
        <f t="shared" si="199"/>
        <v>4.2224320885130506E-2</v>
      </c>
      <c r="EE103" s="1">
        <f>IFERROR(VLOOKUP($A103,[1]Москва_продажа_районы!$C$2:$F$148,2,0),"")</f>
        <v>812</v>
      </c>
      <c r="EF103" s="13">
        <v>1.1207970112079746E-2</v>
      </c>
      <c r="EG103" s="1">
        <v>462405.59091190668</v>
      </c>
      <c r="EH103" s="13">
        <f t="shared" si="200"/>
        <v>1.1426722110116971E-2</v>
      </c>
      <c r="EI103" s="1">
        <f>IFERROR(VLOOKUP($A103,[2]Москва_продажа_районы!$C$2:$F$150,2,0),"")</f>
        <v>812</v>
      </c>
      <c r="EJ103" s="13">
        <v>0</v>
      </c>
      <c r="EK103" s="1">
        <v>456002.42672805442</v>
      </c>
      <c r="EL103" s="13">
        <f t="shared" si="201"/>
        <v>-1.3847505976786856E-2</v>
      </c>
      <c r="EM103">
        <v>777</v>
      </c>
      <c r="EN103" s="13">
        <f t="shared" si="202"/>
        <v>-4.31034482758621E-2</v>
      </c>
      <c r="EO103" s="1">
        <v>467768.06859045709</v>
      </c>
      <c r="EP103" s="13">
        <f t="shared" si="203"/>
        <v>2.5801708878666396E-2</v>
      </c>
      <c r="EQ103">
        <v>721</v>
      </c>
      <c r="ER103" s="13">
        <f t="shared" si="204"/>
        <v>-7.2072072072072113E-2</v>
      </c>
      <c r="ES103" s="183">
        <v>474515.96245053422</v>
      </c>
      <c r="ET103" s="13">
        <f t="shared" si="205"/>
        <v>1.4425725724312111E-2</v>
      </c>
      <c r="EU103">
        <v>714</v>
      </c>
      <c r="EV103" s="13">
        <f t="shared" si="206"/>
        <v>-9.7087378640776656E-3</v>
      </c>
      <c r="EW103" s="183">
        <v>477549.66501250141</v>
      </c>
      <c r="EX103" s="13">
        <f t="shared" si="207"/>
        <v>6.3932571336489108E-3</v>
      </c>
      <c r="EY103">
        <v>659</v>
      </c>
      <c r="EZ103" s="13">
        <f t="shared" si="208"/>
        <v>-7.703081232492992E-2</v>
      </c>
      <c r="FA103" s="1">
        <v>481638.54331761762</v>
      </c>
      <c r="FB103" s="13">
        <f t="shared" si="209"/>
        <v>8.5622053677059107E-3</v>
      </c>
      <c r="FC103" s="1">
        <v>604</v>
      </c>
      <c r="FD103" s="13">
        <f t="shared" si="210"/>
        <v>-8.3459787556904419E-2</v>
      </c>
      <c r="FE103" s="1">
        <v>495319.27182673651</v>
      </c>
      <c r="FF103" s="13">
        <f t="shared" si="211"/>
        <v>2.8404555031836587E-2</v>
      </c>
      <c r="FG103" s="1">
        <v>584</v>
      </c>
      <c r="FH103" s="13">
        <f t="shared" si="212"/>
        <v>-3.3112582781456901E-2</v>
      </c>
      <c r="FI103" s="1">
        <v>497152.29956574412</v>
      </c>
      <c r="FJ103" s="13">
        <f t="shared" si="213"/>
        <v>3.7006994140313942E-3</v>
      </c>
      <c r="FK103" s="1">
        <v>655</v>
      </c>
      <c r="FL103" s="13">
        <f t="shared" si="214"/>
        <v>0.12157534246575352</v>
      </c>
      <c r="FM103" s="1">
        <v>496197.97294799658</v>
      </c>
      <c r="FN103" s="13">
        <f t="shared" si="215"/>
        <v>-1.9195860475373916E-3</v>
      </c>
      <c r="FO103" s="1">
        <v>666</v>
      </c>
      <c r="FP103" s="13">
        <f t="shared" si="216"/>
        <v>1.6793893129771087E-2</v>
      </c>
      <c r="FQ103" s="1">
        <v>498412.41243160679</v>
      </c>
      <c r="FR103" s="13">
        <f t="shared" si="217"/>
        <v>4.4628144497524946E-3</v>
      </c>
      <c r="FS103">
        <v>660</v>
      </c>
      <c r="FT103" s="13">
        <f t="shared" si="218"/>
        <v>-9.009009009009028E-3</v>
      </c>
      <c r="FU103" s="1">
        <v>496357.87655565521</v>
      </c>
      <c r="FV103" s="13">
        <f t="shared" si="219"/>
        <v>-4.1221603329020251E-3</v>
      </c>
      <c r="FW103" s="1">
        <v>633</v>
      </c>
      <c r="FX103" s="13">
        <f t="shared" si="220"/>
        <v>-4.0909090909090895E-2</v>
      </c>
      <c r="FY103" s="1">
        <v>487296.58403828001</v>
      </c>
      <c r="FZ103" s="13">
        <f t="shared" si="221"/>
        <v>-1.8255563063194757E-2</v>
      </c>
      <c r="GA103" s="1">
        <v>680</v>
      </c>
      <c r="GB103" s="13">
        <f t="shared" si="222"/>
        <v>7.4249605055292323E-2</v>
      </c>
      <c r="GC103" s="1">
        <v>494484.90711838892</v>
      </c>
      <c r="GD103" s="13">
        <f t="shared" si="223"/>
        <v>1.4751433347918175E-2</v>
      </c>
      <c r="GE103" s="1">
        <v>672</v>
      </c>
      <c r="GF103" s="13">
        <f t="shared" si="224"/>
        <v>-1.1764705882352899E-2</v>
      </c>
      <c r="GG103" s="1">
        <f>IFERROR(VLOOKUP(A103,[3]Москва_продажа_районы!$C$2:$F$149,3,0),"")</f>
        <v>484903.58708054008</v>
      </c>
      <c r="GH103" s="13">
        <v>-1.937636498085249E-2</v>
      </c>
      <c r="GI103" s="1">
        <v>698</v>
      </c>
      <c r="GJ103" s="13">
        <f t="shared" si="225"/>
        <v>3.8690476190476275E-2</v>
      </c>
      <c r="GK103" s="1">
        <v>488540.54750058783</v>
      </c>
      <c r="GL103" s="13">
        <f t="shared" si="226"/>
        <v>7.5003784606848534E-3</v>
      </c>
      <c r="GM103" s="1">
        <v>670</v>
      </c>
      <c r="GN103" s="13">
        <f t="shared" si="227"/>
        <v>-4.011461318051579E-2</v>
      </c>
      <c r="GO103" s="1">
        <v>497603.35630123498</v>
      </c>
      <c r="GP103" s="13">
        <f t="shared" si="228"/>
        <v>1.8550781193113153E-2</v>
      </c>
      <c r="GQ103" s="1">
        <v>699.78000000000009</v>
      </c>
      <c r="GR103" s="13">
        <f t="shared" si="229"/>
        <v>4.4447761194029933E-2</v>
      </c>
      <c r="GS103" s="1">
        <v>509956.12187409599</v>
      </c>
      <c r="GT103" s="13">
        <f t="shared" si="281"/>
        <v>2.4824522215205924E-2</v>
      </c>
      <c r="GU103">
        <v>658</v>
      </c>
      <c r="GV103" s="13">
        <f t="shared" si="282"/>
        <v>-5.9704478550401618E-2</v>
      </c>
      <c r="GW103">
        <v>516587.56043070421</v>
      </c>
      <c r="GX103" s="13">
        <f t="shared" si="230"/>
        <v>1.3003939500201733E-2</v>
      </c>
      <c r="GY103">
        <v>597</v>
      </c>
      <c r="GZ103" s="13">
        <f t="shared" si="231"/>
        <v>-9.2705167173252279E-2</v>
      </c>
      <c r="HA103">
        <v>541215.61756918044</v>
      </c>
      <c r="HB103" s="13">
        <v>4.7674506753400347E-2</v>
      </c>
      <c r="HC103">
        <v>552</v>
      </c>
      <c r="HD103" s="13">
        <v>-7.5376884422110546E-2</v>
      </c>
      <c r="HE103">
        <v>498667.5308754298</v>
      </c>
      <c r="HF103" s="13">
        <v>-7.8615777728017866E-2</v>
      </c>
      <c r="HG103">
        <v>564</v>
      </c>
      <c r="HH103" s="13">
        <v>2.1739130434782705E-2</v>
      </c>
      <c r="HI103">
        <f>VLOOKUP(A103,[4]Москва_продажа_районы!$C$4:$F$151,3,0)</f>
        <v>512552.32953864842</v>
      </c>
      <c r="HJ103" s="13">
        <f t="shared" si="232"/>
        <v>2.7843799332279318E-2</v>
      </c>
      <c r="HK103">
        <f>VLOOKUP(A103,[4]Москва_продажа_районы!$C$4:$F$151,2,0)</f>
        <v>601</v>
      </c>
      <c r="HL103" s="13">
        <f t="shared" si="233"/>
        <v>6.560283687943258E-2</v>
      </c>
      <c r="HM103" s="1">
        <f>VLOOKUP(A103,Лист3!$C$4:$F$149,3,0)</f>
        <v>511614.01204793272</v>
      </c>
      <c r="HN103" s="13">
        <f t="shared" si="234"/>
        <v>-1.8306764727034075E-3</v>
      </c>
      <c r="HO103">
        <f>VLOOKUP(A103,Лист3!$C$4:$F$149,2,0)</f>
        <v>582</v>
      </c>
      <c r="HP103" s="13">
        <f t="shared" si="235"/>
        <v>-3.1613976705490821E-2</v>
      </c>
      <c r="HQ103" s="1">
        <v>520778.84372068208</v>
      </c>
      <c r="HR103" s="13">
        <v>1.7913566589123686E-2</v>
      </c>
      <c r="HS103">
        <v>625</v>
      </c>
      <c r="HT103" s="13">
        <v>7.3883161512027451E-2</v>
      </c>
      <c r="HU103" s="34">
        <v>525601.05643519445</v>
      </c>
      <c r="HV103" s="13">
        <v>9.2596171535315186E-3</v>
      </c>
      <c r="HW103">
        <v>573</v>
      </c>
      <c r="HX103" s="13">
        <v>-8.3200000000000052E-2</v>
      </c>
      <c r="HY103">
        <v>529948.58708089276</v>
      </c>
      <c r="HZ103" s="13">
        <v>8.2715409196183476E-3</v>
      </c>
      <c r="IA103">
        <v>576</v>
      </c>
      <c r="IB103" s="13">
        <v>5.2356020942407877E-3</v>
      </c>
      <c r="IC103" s="34">
        <v>538575.18999367906</v>
      </c>
      <c r="ID103" s="13">
        <v>1.6278188343333611E-2</v>
      </c>
      <c r="IE103">
        <v>588</v>
      </c>
      <c r="IF103" s="13">
        <v>2.0833333333333259E-2</v>
      </c>
    </row>
    <row r="104" spans="1:240" x14ac:dyDescent="0.3">
      <c r="A104" s="23" t="s">
        <v>110</v>
      </c>
      <c r="B104" s="22">
        <v>400728.59337956336</v>
      </c>
      <c r="C104">
        <v>504</v>
      </c>
      <c r="D104" s="22">
        <v>406953.24655469402</v>
      </c>
      <c r="E104">
        <v>490</v>
      </c>
      <c r="F104" s="22">
        <v>434501.59641253127</v>
      </c>
      <c r="G104">
        <v>399</v>
      </c>
      <c r="H104" s="22">
        <v>419312.71742272266</v>
      </c>
      <c r="I104">
        <v>383</v>
      </c>
      <c r="J104" s="22">
        <v>407955.91015657288</v>
      </c>
      <c r="K104">
        <v>429</v>
      </c>
      <c r="L104" s="22">
        <v>428497.74532442639</v>
      </c>
      <c r="M104">
        <v>423</v>
      </c>
      <c r="N104" s="22">
        <v>408210.72098764335</v>
      </c>
      <c r="O104" s="28">
        <v>417</v>
      </c>
      <c r="P104" s="39">
        <v>418653.53971676878</v>
      </c>
      <c r="Q104" s="28">
        <v>405</v>
      </c>
      <c r="R104" s="39">
        <v>409279.45928041328</v>
      </c>
      <c r="S104">
        <v>386</v>
      </c>
      <c r="T104" s="46">
        <v>414804.99137338513</v>
      </c>
      <c r="U104" s="47">
        <v>364</v>
      </c>
      <c r="V104" s="56">
        <v>433723.22533808392</v>
      </c>
      <c r="W104" s="47">
        <v>349</v>
      </c>
      <c r="X104" s="56">
        <v>441462.1821463253</v>
      </c>
      <c r="Y104" s="47">
        <v>337</v>
      </c>
      <c r="Z104" s="34">
        <v>422748.74659058469</v>
      </c>
      <c r="AA104" s="81">
        <v>348</v>
      </c>
      <c r="AB104" s="1">
        <v>439482.98664354498</v>
      </c>
      <c r="AC104">
        <v>398</v>
      </c>
      <c r="AD104" s="1">
        <v>472731.69835643168</v>
      </c>
      <c r="AE104">
        <v>339</v>
      </c>
      <c r="AF104" s="13">
        <f t="shared" si="180"/>
        <v>7.083169855700544E-2</v>
      </c>
      <c r="AG104" s="85">
        <f t="shared" si="283"/>
        <v>5.9327966398319915E-2</v>
      </c>
      <c r="AH104">
        <f t="shared" si="284"/>
        <v>21</v>
      </c>
      <c r="AI104" s="90">
        <f t="shared" si="285"/>
        <v>360</v>
      </c>
      <c r="AL104" s="1">
        <v>472216.38048628269</v>
      </c>
      <c r="AM104">
        <v>344</v>
      </c>
      <c r="AN104" s="13">
        <f t="shared" si="286"/>
        <v>6.0841881853555005E-2</v>
      </c>
      <c r="AQ104">
        <f t="shared" si="287"/>
        <v>47</v>
      </c>
      <c r="AR104" s="90">
        <f t="shared" si="288"/>
        <v>391</v>
      </c>
      <c r="AS104">
        <v>338</v>
      </c>
      <c r="AT104" s="1">
        <v>476099.78891704208</v>
      </c>
      <c r="AU104" s="13">
        <f t="shared" si="289"/>
        <v>8.2237901759365517E-3</v>
      </c>
      <c r="AV104" s="35">
        <v>324</v>
      </c>
      <c r="AW104" s="1">
        <v>497575.30028427718</v>
      </c>
      <c r="AX104" s="35">
        <v>363.17380352644835</v>
      </c>
      <c r="AY104" s="121">
        <v>496619.07082970953</v>
      </c>
      <c r="AZ104" s="122">
        <v>344</v>
      </c>
      <c r="BA104" s="119">
        <v>501755.71471861331</v>
      </c>
      <c r="BB104">
        <v>347</v>
      </c>
      <c r="BC104" s="13">
        <f t="shared" si="290"/>
        <v>1.0343227215019901E-2</v>
      </c>
      <c r="BD104">
        <v>347</v>
      </c>
      <c r="BE104" s="1">
        <v>514657.07411965908</v>
      </c>
      <c r="BF104" s="13">
        <f t="shared" si="266"/>
        <v>2.5712431413523529E-2</v>
      </c>
      <c r="BG104">
        <v>325</v>
      </c>
      <c r="BH104" s="1">
        <v>512651.53161292552</v>
      </c>
      <c r="BI104" s="13">
        <f t="shared" si="267"/>
        <v>-3.8968521129610911E-3</v>
      </c>
      <c r="BJ104">
        <v>328</v>
      </c>
      <c r="BK104" s="1">
        <v>517555.65995158232</v>
      </c>
      <c r="BL104" s="13">
        <f t="shared" si="268"/>
        <v>9.5662024518432531E-3</v>
      </c>
      <c r="BM104" s="1">
        <v>524970.99134033907</v>
      </c>
      <c r="BN104" s="109">
        <f t="shared" si="269"/>
        <v>1.4327601768378884E-2</v>
      </c>
      <c r="BO104">
        <v>283</v>
      </c>
      <c r="BP104" s="13">
        <f t="shared" si="270"/>
        <v>-0.13719512195121952</v>
      </c>
      <c r="BQ104" s="1">
        <v>541830.44792611408</v>
      </c>
      <c r="BR104" s="13">
        <f t="shared" si="264"/>
        <v>3.2115025142113174E-2</v>
      </c>
      <c r="BS104">
        <v>299</v>
      </c>
      <c r="BT104" s="13">
        <f t="shared" si="265"/>
        <v>5.6537102473498191E-2</v>
      </c>
      <c r="BU104" s="1">
        <v>555090.83786944405</v>
      </c>
      <c r="BV104" s="13">
        <f t="shared" si="271"/>
        <v>2.4473320010133914E-2</v>
      </c>
      <c r="BW104">
        <v>294</v>
      </c>
      <c r="BX104" s="13">
        <f t="shared" si="272"/>
        <v>-1.6722408026755842E-2</v>
      </c>
      <c r="BY104" s="1">
        <v>557500.82375172188</v>
      </c>
      <c r="BZ104" s="13">
        <f t="shared" si="273"/>
        <v>4.3416063063261845E-3</v>
      </c>
      <c r="CA104">
        <v>251</v>
      </c>
      <c r="CB104" s="13">
        <f t="shared" si="274"/>
        <v>-0.1462585034013606</v>
      </c>
      <c r="CC104" s="1">
        <v>537413.52568438719</v>
      </c>
      <c r="CD104" s="13">
        <f t="shared" si="275"/>
        <v>-3.6030974684766348E-2</v>
      </c>
      <c r="CE104">
        <v>275</v>
      </c>
      <c r="CF104" s="13">
        <f t="shared" si="276"/>
        <v>9.5617529880478003E-2</v>
      </c>
      <c r="CG104" s="1">
        <v>526862.37557666143</v>
      </c>
      <c r="CH104" s="13">
        <f t="shared" si="277"/>
        <v>-1.9633205350179872E-2</v>
      </c>
      <c r="CI104">
        <v>308</v>
      </c>
      <c r="CJ104" s="13">
        <f t="shared" si="278"/>
        <v>0.12000000000000011</v>
      </c>
      <c r="CK104" s="1">
        <v>521648.47549920529</v>
      </c>
      <c r="CL104" s="13">
        <f t="shared" si="279"/>
        <v>-9.8961328786277836E-3</v>
      </c>
      <c r="CM104">
        <v>324</v>
      </c>
      <c r="CN104" s="13">
        <f t="shared" si="280"/>
        <v>5.1948051948051965E-2</v>
      </c>
      <c r="CO104" s="1">
        <v>516984.23008504673</v>
      </c>
      <c r="CP104" s="13">
        <v>-8.941357318632992E-3</v>
      </c>
      <c r="CQ104">
        <v>322</v>
      </c>
      <c r="CR104" s="13">
        <v>-6.1728395061728669E-3</v>
      </c>
      <c r="CS104" s="1">
        <v>514147.45986678777</v>
      </c>
      <c r="CT104" s="13">
        <f t="shared" si="181"/>
        <v>-5.4871503871448679E-3</v>
      </c>
      <c r="CU104">
        <v>348</v>
      </c>
      <c r="CV104" s="13">
        <f t="shared" si="182"/>
        <v>8.0745341614906874E-2</v>
      </c>
      <c r="CW104" s="1">
        <v>518320.81517130259</v>
      </c>
      <c r="CX104" s="13">
        <f t="shared" si="183"/>
        <v>8.1170396243834819E-3</v>
      </c>
      <c r="CY104">
        <v>375</v>
      </c>
      <c r="CZ104" s="13">
        <f t="shared" si="184"/>
        <v>7.7586206896551824E-2</v>
      </c>
      <c r="DA104" s="1">
        <v>511825.45156027772</v>
      </c>
      <c r="DB104" s="13">
        <f t="shared" si="185"/>
        <v>-1.2531550771076372E-2</v>
      </c>
      <c r="DC104">
        <v>373</v>
      </c>
      <c r="DD104" s="13">
        <f t="shared" si="186"/>
        <v>-5.3333333333333011E-3</v>
      </c>
      <c r="DE104" s="1">
        <v>510244.22932339169</v>
      </c>
      <c r="DF104" s="13">
        <f t="shared" si="187"/>
        <v>-3.0893778964405927E-3</v>
      </c>
      <c r="DG104" s="1">
        <v>382</v>
      </c>
      <c r="DH104" s="13">
        <f t="shared" si="188"/>
        <v>2.4128686327077764E-2</v>
      </c>
      <c r="DI104" s="1">
        <v>509808.56953431648</v>
      </c>
      <c r="DJ104" s="13">
        <f t="shared" si="189"/>
        <v>-8.5382599946870474E-4</v>
      </c>
      <c r="DK104" s="1">
        <v>366</v>
      </c>
      <c r="DL104" s="13">
        <f t="shared" si="190"/>
        <v>-4.1884816753926746E-2</v>
      </c>
      <c r="DM104" s="1">
        <v>508356.01106995059</v>
      </c>
      <c r="DN104" s="13">
        <f t="shared" si="191"/>
        <v>-2.8492233186522276E-3</v>
      </c>
      <c r="DO104" s="1">
        <v>388</v>
      </c>
      <c r="DP104" s="13">
        <f t="shared" si="192"/>
        <v>6.0109289617486406E-2</v>
      </c>
      <c r="DQ104" s="1">
        <v>504288.60345947981</v>
      </c>
      <c r="DR104" s="13">
        <f t="shared" si="193"/>
        <v>-8.0011006497395787E-3</v>
      </c>
      <c r="DS104">
        <v>394</v>
      </c>
      <c r="DT104" s="13">
        <f t="shared" si="194"/>
        <v>1.5463917525773141E-2</v>
      </c>
      <c r="DU104" s="1">
        <v>521747.75363363902</v>
      </c>
      <c r="DV104" s="13">
        <f t="shared" si="195"/>
        <v>3.4621345900715195E-2</v>
      </c>
      <c r="DW104">
        <v>365</v>
      </c>
      <c r="DX104" s="13">
        <f t="shared" si="196"/>
        <v>-7.3604060913705638E-2</v>
      </c>
      <c r="DY104" s="1">
        <v>522443.62628291961</v>
      </c>
      <c r="DZ104" s="13">
        <f t="shared" si="197"/>
        <v>1.3337338674375143E-3</v>
      </c>
      <c r="EA104" s="1">
        <v>365</v>
      </c>
      <c r="EB104" s="13">
        <f t="shared" si="198"/>
        <v>0</v>
      </c>
      <c r="EC104" s="1">
        <v>538131.91273257497</v>
      </c>
      <c r="ED104" s="13">
        <f t="shared" si="199"/>
        <v>3.0028668473332409E-2</v>
      </c>
      <c r="EE104" s="1">
        <f>IFERROR(VLOOKUP($A104,[1]Москва_продажа_районы!$C$2:$F$148,2,0),"")</f>
        <v>357</v>
      </c>
      <c r="EF104" s="13">
        <v>-2.1917808219178103E-2</v>
      </c>
      <c r="EG104" s="1">
        <v>541112.08895609272</v>
      </c>
      <c r="EH104" s="13">
        <f t="shared" si="200"/>
        <v>5.5380031419893783E-3</v>
      </c>
      <c r="EI104" s="1">
        <f>IFERROR(VLOOKUP($A104,[2]Москва_продажа_районы!$C$2:$F$150,2,0),"")</f>
        <v>372</v>
      </c>
      <c r="EJ104" s="13">
        <v>4.2016806722689148E-2</v>
      </c>
      <c r="EK104" s="1">
        <v>558096.13552316627</v>
      </c>
      <c r="EL104" s="13">
        <f t="shared" si="201"/>
        <v>3.1387298331920555E-2</v>
      </c>
      <c r="EM104">
        <v>378</v>
      </c>
      <c r="EN104" s="13">
        <f t="shared" si="202"/>
        <v>1.6129032258064502E-2</v>
      </c>
      <c r="EO104" s="1">
        <v>580332.99852423463</v>
      </c>
      <c r="EP104" s="13">
        <f t="shared" si="203"/>
        <v>3.9844144378859081E-2</v>
      </c>
      <c r="EQ104">
        <v>359</v>
      </c>
      <c r="ER104" s="13">
        <f t="shared" si="204"/>
        <v>-5.0264550264550234E-2</v>
      </c>
      <c r="ES104" s="183">
        <v>578429.82307537796</v>
      </c>
      <c r="ET104" s="13">
        <f t="shared" si="205"/>
        <v>-3.2794541301224278E-3</v>
      </c>
      <c r="EU104">
        <v>353</v>
      </c>
      <c r="EV104" s="13">
        <f t="shared" si="206"/>
        <v>-1.6713091922005541E-2</v>
      </c>
      <c r="EW104" s="183">
        <v>573983.96258605178</v>
      </c>
      <c r="EX104" s="13">
        <f t="shared" si="207"/>
        <v>-7.686084485908018E-3</v>
      </c>
      <c r="EY104">
        <v>359</v>
      </c>
      <c r="EZ104" s="13">
        <f t="shared" si="208"/>
        <v>1.6997167138810276E-2</v>
      </c>
      <c r="FA104" s="1">
        <v>577979.02865163807</v>
      </c>
      <c r="FB104" s="13">
        <f t="shared" si="209"/>
        <v>6.9602398777601771E-3</v>
      </c>
      <c r="FC104" s="1">
        <v>363</v>
      </c>
      <c r="FD104" s="13">
        <f t="shared" si="210"/>
        <v>1.1142061281337101E-2</v>
      </c>
      <c r="FE104" s="1">
        <v>585975.79709571367</v>
      </c>
      <c r="FF104" s="13">
        <f t="shared" si="211"/>
        <v>1.3835741519430567E-2</v>
      </c>
      <c r="FG104" s="1">
        <v>350</v>
      </c>
      <c r="FH104" s="13">
        <f t="shared" si="212"/>
        <v>-3.5812672176308569E-2</v>
      </c>
      <c r="FI104" s="1">
        <v>572237.99140037899</v>
      </c>
      <c r="FJ104" s="13">
        <f t="shared" si="213"/>
        <v>-2.3444322723606859E-2</v>
      </c>
      <c r="FK104" s="1">
        <v>365</v>
      </c>
      <c r="FL104" s="13">
        <f t="shared" si="214"/>
        <v>4.2857142857142927E-2</v>
      </c>
      <c r="FM104" s="1">
        <v>573590.69547816564</v>
      </c>
      <c r="FN104" s="13">
        <f t="shared" si="215"/>
        <v>2.3638837303974203E-3</v>
      </c>
      <c r="FO104" s="1">
        <v>384</v>
      </c>
      <c r="FP104" s="13">
        <f t="shared" si="216"/>
        <v>5.2054794520547842E-2</v>
      </c>
      <c r="FQ104" s="1">
        <v>576226.93514258822</v>
      </c>
      <c r="FR104" s="13">
        <f t="shared" si="217"/>
        <v>4.5960293380018502E-3</v>
      </c>
      <c r="FS104">
        <v>386</v>
      </c>
      <c r="FT104" s="13">
        <f t="shared" si="218"/>
        <v>5.2083333333332593E-3</v>
      </c>
      <c r="FU104" s="1">
        <v>583625.79776670109</v>
      </c>
      <c r="FV104" s="13">
        <f t="shared" si="219"/>
        <v>1.2840188774379424E-2</v>
      </c>
      <c r="FW104" s="1">
        <v>349</v>
      </c>
      <c r="FX104" s="13">
        <f t="shared" si="220"/>
        <v>-9.5854922279792754E-2</v>
      </c>
      <c r="FY104" s="1">
        <v>587017.88917822018</v>
      </c>
      <c r="FZ104" s="13">
        <f t="shared" si="221"/>
        <v>5.8120998497654952E-3</v>
      </c>
      <c r="GA104" s="1">
        <v>345</v>
      </c>
      <c r="GB104" s="13">
        <f t="shared" si="222"/>
        <v>-1.1461318051575908E-2</v>
      </c>
      <c r="GC104" s="1">
        <v>597934.7707995068</v>
      </c>
      <c r="GD104" s="13">
        <f t="shared" si="223"/>
        <v>1.859718727919768E-2</v>
      </c>
      <c r="GE104" s="1">
        <v>350</v>
      </c>
      <c r="GF104" s="13">
        <f t="shared" si="224"/>
        <v>1.449275362318847E-2</v>
      </c>
      <c r="GG104" s="1">
        <f>IFERROR(VLOOKUP(A104,[3]Москва_продажа_районы!$C$2:$F$149,3,0),"")</f>
        <v>593345.29663509759</v>
      </c>
      <c r="GH104" s="13">
        <v>-7.6755432005944924E-3</v>
      </c>
      <c r="GI104" s="1">
        <v>361</v>
      </c>
      <c r="GJ104" s="13">
        <f t="shared" si="225"/>
        <v>3.1428571428571361E-2</v>
      </c>
      <c r="GK104" s="1">
        <v>591471.61861911858</v>
      </c>
      <c r="GL104" s="13">
        <f t="shared" si="226"/>
        <v>-3.1578206258728869E-3</v>
      </c>
      <c r="GM104" s="1">
        <v>369</v>
      </c>
      <c r="GN104" s="13">
        <f t="shared" si="227"/>
        <v>2.2160664819944609E-2</v>
      </c>
      <c r="GO104" s="1">
        <v>591495.8423784523</v>
      </c>
      <c r="GP104" s="13">
        <f t="shared" si="228"/>
        <v>4.0955066263892448E-5</v>
      </c>
      <c r="GQ104" s="1">
        <v>398.04</v>
      </c>
      <c r="GR104" s="13">
        <f t="shared" si="229"/>
        <v>7.8699186991870063E-2</v>
      </c>
      <c r="GS104" s="1">
        <v>593697.16620819992</v>
      </c>
      <c r="GT104" s="13">
        <f t="shared" si="281"/>
        <v>3.7216218137661183E-3</v>
      </c>
      <c r="GU104">
        <v>386</v>
      </c>
      <c r="GV104" s="13">
        <f t="shared" si="282"/>
        <v>-3.0248216259672445E-2</v>
      </c>
      <c r="GW104">
        <v>587856.92967546848</v>
      </c>
      <c r="GX104" s="13">
        <f t="shared" si="230"/>
        <v>-9.8370631782388473E-3</v>
      </c>
      <c r="GY104">
        <v>351</v>
      </c>
      <c r="GZ104" s="13">
        <f t="shared" si="231"/>
        <v>-9.0673575129533668E-2</v>
      </c>
      <c r="HA104">
        <v>588965.3277860079</v>
      </c>
      <c r="HB104" s="13">
        <v>1.8854895716740039E-3</v>
      </c>
      <c r="HC104">
        <v>312</v>
      </c>
      <c r="HD104" s="13">
        <v>-0.11111111111111116</v>
      </c>
      <c r="HE104">
        <v>600720.58860200166</v>
      </c>
      <c r="HF104" s="13">
        <v>1.9959172911219181E-2</v>
      </c>
      <c r="HG104">
        <v>294</v>
      </c>
      <c r="HH104" s="13">
        <v>-5.7692307692307709E-2</v>
      </c>
      <c r="HI104">
        <f>VLOOKUP(A104,[4]Москва_продажа_районы!$C$4:$F$151,3,0)</f>
        <v>589423.82382960711</v>
      </c>
      <c r="HJ104" s="13">
        <f t="shared" si="232"/>
        <v>-1.8805356411513041E-2</v>
      </c>
      <c r="HK104">
        <f>VLOOKUP(A104,[4]Москва_продажа_районы!$C$4:$F$151,2,0)</f>
        <v>284</v>
      </c>
      <c r="HL104" s="13">
        <f t="shared" si="233"/>
        <v>-3.4013605442176909E-2</v>
      </c>
      <c r="HM104" s="1">
        <f>VLOOKUP(A104,Лист3!$C$4:$F$149,3,0)</f>
        <v>593810.36026462517</v>
      </c>
      <c r="HN104" s="13">
        <f t="shared" si="234"/>
        <v>7.4420752227453146E-3</v>
      </c>
      <c r="HO104">
        <f>VLOOKUP(A104,Лист3!$C$4:$F$149,2,0)</f>
        <v>315</v>
      </c>
      <c r="HP104" s="13">
        <f t="shared" si="235"/>
        <v>0.10915492957746475</v>
      </c>
      <c r="HQ104" s="1">
        <v>605385.56694164302</v>
      </c>
      <c r="HR104" s="13">
        <v>1.9493103272666845E-2</v>
      </c>
      <c r="HS104">
        <v>294</v>
      </c>
      <c r="HT104" s="13">
        <v>-6.6666666666666652E-2</v>
      </c>
      <c r="HU104" s="34">
        <v>603431.77848615788</v>
      </c>
      <c r="HV104" s="13">
        <v>-3.2273456160435421E-3</v>
      </c>
      <c r="HW104">
        <v>284</v>
      </c>
      <c r="HX104" s="13">
        <v>-3.4013605442176909E-2</v>
      </c>
      <c r="HY104">
        <v>600121.36473786889</v>
      </c>
      <c r="HZ104" s="13">
        <v>-5.4859784756345897E-3</v>
      </c>
      <c r="IA104">
        <v>292</v>
      </c>
      <c r="IB104" s="13">
        <v>2.8169014084507005E-2</v>
      </c>
      <c r="IC104" s="34">
        <v>602474.60374945542</v>
      </c>
      <c r="ID104" s="13">
        <v>3.9212718457615203E-3</v>
      </c>
      <c r="IE104">
        <v>289</v>
      </c>
      <c r="IF104" s="13">
        <v>-1.0273972602739767E-2</v>
      </c>
    </row>
    <row r="105" spans="1:240" x14ac:dyDescent="0.3">
      <c r="A105" s="23" t="s">
        <v>111</v>
      </c>
      <c r="B105" s="22">
        <v>330109.92795857863</v>
      </c>
      <c r="C105">
        <v>408</v>
      </c>
      <c r="D105" s="22">
        <v>330036.39683333336</v>
      </c>
      <c r="E105">
        <v>405</v>
      </c>
      <c r="F105" s="22">
        <v>354234.22768224857</v>
      </c>
      <c r="G105">
        <v>338</v>
      </c>
      <c r="H105" s="22">
        <v>347106.12567300646</v>
      </c>
      <c r="I105">
        <v>354</v>
      </c>
      <c r="J105" s="22">
        <v>343528.77196216857</v>
      </c>
      <c r="K105">
        <v>400</v>
      </c>
      <c r="L105" s="22">
        <v>341403.85204441991</v>
      </c>
      <c r="M105">
        <v>395</v>
      </c>
      <c r="N105" s="22">
        <v>344863.65225098561</v>
      </c>
      <c r="O105" s="28">
        <v>373</v>
      </c>
      <c r="P105" s="39">
        <v>352395.09052651073</v>
      </c>
      <c r="Q105" s="28">
        <v>367</v>
      </c>
      <c r="R105" s="39">
        <v>360226.44132059999</v>
      </c>
      <c r="S105">
        <v>357</v>
      </c>
      <c r="T105" s="46">
        <v>359575.08597771259</v>
      </c>
      <c r="U105" s="47">
        <v>348</v>
      </c>
      <c r="V105" s="56">
        <v>369210.65501252422</v>
      </c>
      <c r="W105" s="47">
        <v>322</v>
      </c>
      <c r="X105" s="56">
        <v>370381.14532695367</v>
      </c>
      <c r="Y105" s="47">
        <v>296</v>
      </c>
      <c r="Z105" s="34">
        <v>369676.34869706171</v>
      </c>
      <c r="AA105" s="81">
        <v>331</v>
      </c>
      <c r="AB105" s="1">
        <v>376264.7008343701</v>
      </c>
      <c r="AC105">
        <v>354</v>
      </c>
      <c r="AD105" s="1">
        <v>382416.73889120272</v>
      </c>
      <c r="AE105">
        <v>295</v>
      </c>
      <c r="AF105" s="13">
        <f t="shared" si="180"/>
        <v>3.2495157261918983E-2</v>
      </c>
      <c r="AG105" s="85">
        <f t="shared" si="283"/>
        <v>5.1627581379068956E-2</v>
      </c>
      <c r="AH105">
        <f t="shared" si="284"/>
        <v>16</v>
      </c>
      <c r="AI105" s="90">
        <f t="shared" si="285"/>
        <v>311</v>
      </c>
      <c r="AL105" s="1">
        <v>387997.59092027339</v>
      </c>
      <c r="AM105">
        <v>272</v>
      </c>
      <c r="AN105" s="13">
        <f t="shared" si="286"/>
        <v>4.8107534488857448E-2</v>
      </c>
      <c r="AQ105">
        <f t="shared" si="287"/>
        <v>37</v>
      </c>
      <c r="AR105" s="90">
        <f t="shared" si="288"/>
        <v>309</v>
      </c>
      <c r="AS105">
        <v>279</v>
      </c>
      <c r="AT105" s="1">
        <v>388920.46884937579</v>
      </c>
      <c r="AU105" s="13">
        <f t="shared" si="289"/>
        <v>2.3785661321078511E-3</v>
      </c>
      <c r="AV105" s="35">
        <v>275</v>
      </c>
      <c r="AW105" s="1">
        <v>398147.29608768632</v>
      </c>
      <c r="AX105" s="35">
        <v>308.24937027707807</v>
      </c>
      <c r="AY105" s="121">
        <v>406931.8189380485</v>
      </c>
      <c r="AZ105" s="122">
        <v>278</v>
      </c>
      <c r="BA105" s="119">
        <v>404771.30369345832</v>
      </c>
      <c r="BB105">
        <v>300</v>
      </c>
      <c r="BC105" s="13">
        <f t="shared" si="290"/>
        <v>-5.3092806805532522E-3</v>
      </c>
      <c r="BD105">
        <v>307</v>
      </c>
      <c r="BE105" s="1">
        <v>410765.68059275963</v>
      </c>
      <c r="BF105" s="13">
        <f t="shared" si="266"/>
        <v>1.4809293160369386E-2</v>
      </c>
      <c r="BG105">
        <v>269</v>
      </c>
      <c r="BH105" s="1">
        <v>429556.69737841998</v>
      </c>
      <c r="BI105" s="13">
        <f t="shared" si="267"/>
        <v>4.5746316387833996E-2</v>
      </c>
      <c r="BJ105">
        <v>246</v>
      </c>
      <c r="BK105" s="1">
        <v>451455.3447094963</v>
      </c>
      <c r="BL105" s="13">
        <f t="shared" si="268"/>
        <v>5.0979643583078937E-2</v>
      </c>
      <c r="BM105" s="1">
        <v>464679.7985558486</v>
      </c>
      <c r="BN105" s="109">
        <f t="shared" si="269"/>
        <v>2.9292938939203372E-2</v>
      </c>
      <c r="BO105">
        <v>231</v>
      </c>
      <c r="BP105" s="13">
        <f t="shared" si="270"/>
        <v>-6.0975609756097615E-2</v>
      </c>
      <c r="BQ105" s="1">
        <v>474926.11966413882</v>
      </c>
      <c r="BR105" s="13">
        <f t="shared" si="264"/>
        <v>2.205028309845658E-2</v>
      </c>
      <c r="BS105">
        <v>249</v>
      </c>
      <c r="BT105" s="13">
        <f t="shared" si="265"/>
        <v>7.7922077922077948E-2</v>
      </c>
      <c r="BU105" s="1">
        <v>495781.93217220617</v>
      </c>
      <c r="BV105" s="13">
        <f t="shared" si="271"/>
        <v>4.3913803946635577E-2</v>
      </c>
      <c r="BW105">
        <v>271</v>
      </c>
      <c r="BX105" s="13">
        <f t="shared" si="272"/>
        <v>8.8353413654618462E-2</v>
      </c>
      <c r="BY105" s="1">
        <v>495731.25537549861</v>
      </c>
      <c r="BZ105" s="13">
        <f t="shared" si="273"/>
        <v>-1.0221590061887387E-4</v>
      </c>
      <c r="CA105">
        <v>267</v>
      </c>
      <c r="CB105" s="13">
        <f t="shared" si="274"/>
        <v>-1.4760147601476037E-2</v>
      </c>
      <c r="CC105" s="1">
        <v>481731.64377212949</v>
      </c>
      <c r="CD105" s="13">
        <f t="shared" si="275"/>
        <v>-2.8240324675039785E-2</v>
      </c>
      <c r="CE105">
        <v>277</v>
      </c>
      <c r="CF105" s="13">
        <f t="shared" si="276"/>
        <v>3.7453183520599342E-2</v>
      </c>
      <c r="CG105" s="1">
        <v>465458.87590129621</v>
      </c>
      <c r="CH105" s="13">
        <f t="shared" si="277"/>
        <v>-3.3779736251934311E-2</v>
      </c>
      <c r="CI105">
        <v>288</v>
      </c>
      <c r="CJ105" s="13">
        <f t="shared" si="278"/>
        <v>3.971119133573997E-2</v>
      </c>
      <c r="CK105" s="1">
        <v>462167.66761554038</v>
      </c>
      <c r="CL105" s="13">
        <f t="shared" si="279"/>
        <v>-7.0708895160348506E-3</v>
      </c>
      <c r="CM105">
        <v>317</v>
      </c>
      <c r="CN105" s="13">
        <f t="shared" si="280"/>
        <v>0.10069444444444442</v>
      </c>
      <c r="CO105" s="1">
        <v>456442.60641799372</v>
      </c>
      <c r="CP105" s="13">
        <v>-1.2387411752717292E-2</v>
      </c>
      <c r="CQ105">
        <v>296</v>
      </c>
      <c r="CR105" s="13">
        <v>-6.6246056782334417E-2</v>
      </c>
      <c r="CS105" s="1">
        <v>442561.6765914915</v>
      </c>
      <c r="CT105" s="13">
        <f t="shared" si="181"/>
        <v>-3.0411117698750822E-2</v>
      </c>
      <c r="CU105">
        <v>316</v>
      </c>
      <c r="CV105" s="13">
        <f t="shared" si="182"/>
        <v>6.7567567567567544E-2</v>
      </c>
      <c r="CW105" s="1">
        <v>434759.16991080571</v>
      </c>
      <c r="CX105" s="13">
        <f t="shared" si="183"/>
        <v>-1.7630326106812699E-2</v>
      </c>
      <c r="CY105">
        <v>321</v>
      </c>
      <c r="CZ105" s="13">
        <f t="shared" si="184"/>
        <v>1.5822784810126667E-2</v>
      </c>
      <c r="DA105" s="1">
        <v>437010.50492619397</v>
      </c>
      <c r="DB105" s="13">
        <f t="shared" si="185"/>
        <v>5.1783496961090858E-3</v>
      </c>
      <c r="DC105">
        <v>323</v>
      </c>
      <c r="DD105" s="13">
        <f t="shared" si="186"/>
        <v>6.230529595015577E-3</v>
      </c>
      <c r="DE105" s="1">
        <v>436313.68792579952</v>
      </c>
      <c r="DF105" s="13">
        <f t="shared" si="187"/>
        <v>-1.5945085816921889E-3</v>
      </c>
      <c r="DG105" s="1">
        <v>329</v>
      </c>
      <c r="DH105" s="13">
        <f t="shared" si="188"/>
        <v>1.8575851393188847E-2</v>
      </c>
      <c r="DI105" s="1">
        <v>434067.70370914182</v>
      </c>
      <c r="DJ105" s="13">
        <f t="shared" si="189"/>
        <v>-5.1476363882484444E-3</v>
      </c>
      <c r="DK105" s="1">
        <v>318</v>
      </c>
      <c r="DL105" s="13">
        <f t="shared" si="190"/>
        <v>-3.3434650455927084E-2</v>
      </c>
      <c r="DM105" s="1">
        <v>428730.39998808497</v>
      </c>
      <c r="DN105" s="13">
        <f t="shared" si="191"/>
        <v>-1.2296016670784726E-2</v>
      </c>
      <c r="DO105" s="1">
        <v>337</v>
      </c>
      <c r="DP105" s="13">
        <f t="shared" si="192"/>
        <v>5.9748427672956073E-2</v>
      </c>
      <c r="DQ105" s="1">
        <v>435281.4872081441</v>
      </c>
      <c r="DR105" s="13">
        <f t="shared" si="193"/>
        <v>1.5280202244210228E-2</v>
      </c>
      <c r="DS105">
        <v>370</v>
      </c>
      <c r="DT105" s="13">
        <f t="shared" si="194"/>
        <v>9.7922848664688367E-2</v>
      </c>
      <c r="DU105" s="1">
        <v>441543.11243832152</v>
      </c>
      <c r="DV105" s="13">
        <f t="shared" si="195"/>
        <v>1.4385232118045987E-2</v>
      </c>
      <c r="DW105">
        <v>342</v>
      </c>
      <c r="DX105" s="13">
        <f t="shared" si="196"/>
        <v>-7.567567567567568E-2</v>
      </c>
      <c r="DY105" s="1">
        <v>441698.57126775163</v>
      </c>
      <c r="DZ105" s="13">
        <f t="shared" si="197"/>
        <v>3.5208074829129465E-4</v>
      </c>
      <c r="EA105" s="1">
        <v>332</v>
      </c>
      <c r="EB105" s="13">
        <f t="shared" si="198"/>
        <v>-2.9239766081871399E-2</v>
      </c>
      <c r="EC105" s="1">
        <v>436074.4029257691</v>
      </c>
      <c r="ED105" s="13">
        <f t="shared" si="199"/>
        <v>-1.2733046262387027E-2</v>
      </c>
      <c r="EE105" s="1">
        <f>IFERROR(VLOOKUP($A105,[1]Москва_продажа_районы!$C$2:$F$148,2,0),"")</f>
        <v>294</v>
      </c>
      <c r="EF105" s="13">
        <v>-0.11445783132530118</v>
      </c>
      <c r="EG105" s="1">
        <v>447312.5799041125</v>
      </c>
      <c r="EH105" s="13">
        <f t="shared" si="200"/>
        <v>2.5771237437792083E-2</v>
      </c>
      <c r="EI105" s="1">
        <f>IFERROR(VLOOKUP($A105,[2]Москва_продажа_районы!$C$2:$F$150,2,0),"")</f>
        <v>274</v>
      </c>
      <c r="EJ105" s="13">
        <v>-6.8027210884353706E-2</v>
      </c>
      <c r="EK105" s="1">
        <v>456189.94182646519</v>
      </c>
      <c r="EL105" s="13">
        <f t="shared" si="201"/>
        <v>1.9845992089593478E-2</v>
      </c>
      <c r="EM105">
        <v>272</v>
      </c>
      <c r="EN105" s="13">
        <f t="shared" si="202"/>
        <v>-7.2992700729926918E-3</v>
      </c>
      <c r="EO105" s="1">
        <v>471263.1423668972</v>
      </c>
      <c r="EP105" s="13">
        <f t="shared" si="203"/>
        <v>3.3041501266079853E-2</v>
      </c>
      <c r="EQ105">
        <v>255</v>
      </c>
      <c r="ER105" s="13">
        <f t="shared" si="204"/>
        <v>-6.25E-2</v>
      </c>
      <c r="ES105" s="183">
        <v>481410.72232730727</v>
      </c>
      <c r="ET105" s="13">
        <f t="shared" si="205"/>
        <v>2.1532725664570984E-2</v>
      </c>
      <c r="EU105">
        <v>244</v>
      </c>
      <c r="EV105" s="13">
        <f t="shared" si="206"/>
        <v>-4.3137254901960742E-2</v>
      </c>
      <c r="EW105" s="183">
        <v>486394.83213903528</v>
      </c>
      <c r="EX105" s="13">
        <f t="shared" si="207"/>
        <v>1.0353134196166458E-2</v>
      </c>
      <c r="EY105">
        <v>241</v>
      </c>
      <c r="EZ105" s="13">
        <f t="shared" si="208"/>
        <v>-1.2295081967213073E-2</v>
      </c>
      <c r="FA105" s="1">
        <v>488708.35692104988</v>
      </c>
      <c r="FB105" s="13">
        <f t="shared" si="209"/>
        <v>4.756474841314251E-3</v>
      </c>
      <c r="FC105" s="1">
        <v>220</v>
      </c>
      <c r="FD105" s="13">
        <f t="shared" si="210"/>
        <v>-8.7136929460580936E-2</v>
      </c>
      <c r="FE105" s="1">
        <v>492266.50735439413</v>
      </c>
      <c r="FF105" s="13">
        <f t="shared" si="211"/>
        <v>7.2807235295939687E-3</v>
      </c>
      <c r="FG105" s="1">
        <v>206</v>
      </c>
      <c r="FH105" s="13">
        <f t="shared" si="212"/>
        <v>-6.3636363636363602E-2</v>
      </c>
      <c r="FI105" s="1">
        <v>494574.13021324453</v>
      </c>
      <c r="FJ105" s="13">
        <f t="shared" si="213"/>
        <v>4.6877510949350221E-3</v>
      </c>
      <c r="FK105" s="1">
        <v>237</v>
      </c>
      <c r="FL105" s="13">
        <f t="shared" si="214"/>
        <v>0.15048543689320382</v>
      </c>
      <c r="FM105" s="1">
        <v>498008.95664476411</v>
      </c>
      <c r="FN105" s="13">
        <f t="shared" si="215"/>
        <v>6.9450183939838706E-3</v>
      </c>
      <c r="FO105" s="1">
        <v>253</v>
      </c>
      <c r="FP105" s="13">
        <f t="shared" si="216"/>
        <v>6.7510548523206815E-2</v>
      </c>
      <c r="FQ105" s="1">
        <v>503367.77648777841</v>
      </c>
      <c r="FR105" s="13">
        <f t="shared" si="217"/>
        <v>1.0760488885819042E-2</v>
      </c>
      <c r="FS105">
        <v>248</v>
      </c>
      <c r="FT105" s="13">
        <f t="shared" si="218"/>
        <v>-1.9762845849802368E-2</v>
      </c>
      <c r="FU105" s="1">
        <v>502164.4568956747</v>
      </c>
      <c r="FV105" s="13">
        <f t="shared" si="219"/>
        <v>-2.3905375916190019E-3</v>
      </c>
      <c r="FW105" s="1">
        <v>240</v>
      </c>
      <c r="FX105" s="13">
        <f t="shared" si="220"/>
        <v>-3.2258064516129004E-2</v>
      </c>
      <c r="FY105" s="1">
        <v>499216.41865320288</v>
      </c>
      <c r="FZ105" s="13">
        <f t="shared" si="221"/>
        <v>-5.8706628913887116E-3</v>
      </c>
      <c r="GA105" s="1">
        <v>246</v>
      </c>
      <c r="GB105" s="13">
        <f t="shared" si="222"/>
        <v>2.4999999999999911E-2</v>
      </c>
      <c r="GC105" s="1">
        <v>503539.62818740873</v>
      </c>
      <c r="GD105" s="13">
        <f t="shared" si="223"/>
        <v>8.6599906827364848E-3</v>
      </c>
      <c r="GE105" s="1">
        <v>266</v>
      </c>
      <c r="GF105" s="13">
        <f t="shared" si="224"/>
        <v>8.1300813008130079E-2</v>
      </c>
      <c r="GG105" s="1">
        <f>IFERROR(VLOOKUP(A105,[3]Москва_продажа_районы!$C$2:$F$149,3,0),"")</f>
        <v>500897.96020191308</v>
      </c>
      <c r="GH105" s="13">
        <v>-5.2461967988594038E-3</v>
      </c>
      <c r="GI105" s="1">
        <v>281</v>
      </c>
      <c r="GJ105" s="13">
        <f t="shared" si="225"/>
        <v>5.6390977443609103E-2</v>
      </c>
      <c r="GK105" s="1">
        <v>492550.99348359072</v>
      </c>
      <c r="GL105" s="13">
        <f t="shared" si="226"/>
        <v>-1.666400620788655E-2</v>
      </c>
      <c r="GM105" s="1">
        <v>282</v>
      </c>
      <c r="GN105" s="13">
        <f t="shared" si="227"/>
        <v>3.558718861210064E-3</v>
      </c>
      <c r="GO105" s="1">
        <v>504020.24620710092</v>
      </c>
      <c r="GP105" s="13">
        <f t="shared" si="228"/>
        <v>2.3285411815725743E-2</v>
      </c>
      <c r="GQ105" s="1">
        <v>291.04000000000002</v>
      </c>
      <c r="GR105" s="13">
        <f t="shared" si="229"/>
        <v>3.2056737588652462E-2</v>
      </c>
      <c r="GS105" s="1">
        <v>514544.05632895522</v>
      </c>
      <c r="GT105" s="13">
        <f t="shared" si="281"/>
        <v>2.0879736877732702E-2</v>
      </c>
      <c r="GU105">
        <v>292</v>
      </c>
      <c r="GV105" s="13">
        <f t="shared" si="282"/>
        <v>3.2985156679492533E-3</v>
      </c>
      <c r="GW105">
        <v>512326.99319014029</v>
      </c>
      <c r="GX105" s="13">
        <f t="shared" si="230"/>
        <v>-4.3087916603928855E-3</v>
      </c>
      <c r="GY105">
        <v>279</v>
      </c>
      <c r="GZ105" s="13">
        <f t="shared" si="231"/>
        <v>-4.4520547945205435E-2</v>
      </c>
      <c r="HA105">
        <v>524481.07365844958</v>
      </c>
      <c r="HB105" s="13">
        <v>2.3723287333795584E-2</v>
      </c>
      <c r="HC105">
        <v>246</v>
      </c>
      <c r="HD105" s="13">
        <v>-0.11827956989247312</v>
      </c>
      <c r="HE105">
        <v>531547.40116479259</v>
      </c>
      <c r="HF105" s="13">
        <v>1.3472988561918475E-2</v>
      </c>
      <c r="HG105">
        <v>251</v>
      </c>
      <c r="HH105" s="13">
        <v>2.0325203252032464E-2</v>
      </c>
      <c r="HI105">
        <f>VLOOKUP(A105,[4]Москва_продажа_районы!$C$4:$F$151,3,0)</f>
        <v>538391.45818640129</v>
      </c>
      <c r="HJ105" s="13">
        <f t="shared" si="232"/>
        <v>1.2875722854840621E-2</v>
      </c>
      <c r="HK105">
        <f>VLOOKUP(A105,[4]Москва_продажа_районы!$C$4:$F$151,2,0)</f>
        <v>273</v>
      </c>
      <c r="HL105" s="13">
        <f t="shared" si="233"/>
        <v>8.7649402390438169E-2</v>
      </c>
      <c r="HM105" s="1">
        <f>VLOOKUP(A105,Лист3!$C$4:$F$149,3,0)</f>
        <v>526820.56017513131</v>
      </c>
      <c r="HN105" s="13">
        <f t="shared" si="234"/>
        <v>-2.1491607705380611E-2</v>
      </c>
      <c r="HO105">
        <f>VLOOKUP(A105,Лист3!$C$4:$F$149,2,0)</f>
        <v>286</v>
      </c>
      <c r="HP105" s="13">
        <f t="shared" si="235"/>
        <v>4.7619047619047672E-2</v>
      </c>
      <c r="HQ105" s="1">
        <v>526276.23815291934</v>
      </c>
      <c r="HR105" s="13">
        <v>-1.0332209168735229E-3</v>
      </c>
      <c r="HS105">
        <v>279</v>
      </c>
      <c r="HT105" s="13">
        <v>-2.4475524475524479E-2</v>
      </c>
      <c r="HU105" s="34">
        <v>528971.40777569497</v>
      </c>
      <c r="HV105" s="13">
        <v>5.121207129234806E-3</v>
      </c>
      <c r="HW105">
        <v>259</v>
      </c>
      <c r="HX105" s="13">
        <v>-7.1684587813620082E-2</v>
      </c>
      <c r="HY105">
        <v>541830.64133123192</v>
      </c>
      <c r="HZ105" s="13">
        <v>2.4309883987131853E-2</v>
      </c>
      <c r="IA105">
        <v>264</v>
      </c>
      <c r="IB105" s="13">
        <v>1.9305019305019266E-2</v>
      </c>
      <c r="IC105" s="34">
        <v>548819.72330756066</v>
      </c>
      <c r="ID105" s="13">
        <v>1.2899015749934684E-2</v>
      </c>
      <c r="IE105">
        <v>253</v>
      </c>
      <c r="IF105" s="13">
        <v>-4.166666666666663E-2</v>
      </c>
    </row>
    <row r="106" spans="1:240" x14ac:dyDescent="0.3">
      <c r="A106" s="23" t="s">
        <v>112</v>
      </c>
      <c r="B106" s="22">
        <v>346298.03661234444</v>
      </c>
      <c r="C106">
        <v>563</v>
      </c>
      <c r="D106" s="22">
        <v>353098.00726316753</v>
      </c>
      <c r="E106">
        <v>562</v>
      </c>
      <c r="F106" s="22">
        <v>382873.74901748897</v>
      </c>
      <c r="G106">
        <v>446</v>
      </c>
      <c r="H106" s="22">
        <v>388283.47319540131</v>
      </c>
      <c r="I106">
        <v>448</v>
      </c>
      <c r="J106" s="22">
        <v>377576.70686007681</v>
      </c>
      <c r="K106">
        <v>494</v>
      </c>
      <c r="L106" s="22">
        <v>362066.51460032578</v>
      </c>
      <c r="M106">
        <v>473</v>
      </c>
      <c r="N106" s="22">
        <v>367858.53905398375</v>
      </c>
      <c r="O106" s="28">
        <v>454</v>
      </c>
      <c r="P106" s="39">
        <v>386052.36122898769</v>
      </c>
      <c r="Q106" s="28">
        <v>455</v>
      </c>
      <c r="R106" s="39">
        <v>401353.1031205554</v>
      </c>
      <c r="S106">
        <v>443</v>
      </c>
      <c r="T106" s="46">
        <v>402169.16144065902</v>
      </c>
      <c r="U106" s="47">
        <v>411</v>
      </c>
      <c r="V106" s="56">
        <v>406369.77836932591</v>
      </c>
      <c r="W106" s="47">
        <v>381</v>
      </c>
      <c r="X106" s="56">
        <v>410501.27558198432</v>
      </c>
      <c r="Y106" s="47">
        <v>354</v>
      </c>
      <c r="Z106" s="34">
        <v>392748.28161188035</v>
      </c>
      <c r="AA106" s="81">
        <v>403</v>
      </c>
      <c r="AB106" s="1">
        <v>410213.07219528401</v>
      </c>
      <c r="AC106">
        <v>431</v>
      </c>
      <c r="AD106" s="1">
        <v>431008.32539911632</v>
      </c>
      <c r="AE106">
        <v>372</v>
      </c>
      <c r="AF106" s="13">
        <f t="shared" si="180"/>
        <v>4.9956117159583258E-2</v>
      </c>
      <c r="AG106" s="85">
        <f t="shared" si="283"/>
        <v>6.5103255162758139E-2</v>
      </c>
      <c r="AH106">
        <f t="shared" si="284"/>
        <v>25</v>
      </c>
      <c r="AI106" s="90">
        <f t="shared" si="285"/>
        <v>397</v>
      </c>
      <c r="AL106" s="1">
        <v>435272.11179568619</v>
      </c>
      <c r="AM106">
        <v>360</v>
      </c>
      <c r="AN106" s="13">
        <f t="shared" si="286"/>
        <v>6.3671736823487798E-2</v>
      </c>
      <c r="AQ106">
        <f t="shared" si="287"/>
        <v>49</v>
      </c>
      <c r="AR106" s="90">
        <f t="shared" si="288"/>
        <v>409</v>
      </c>
      <c r="AS106">
        <v>354</v>
      </c>
      <c r="AT106" s="1">
        <v>437201.76682896842</v>
      </c>
      <c r="AU106" s="13">
        <f t="shared" si="289"/>
        <v>4.4332154093713605E-3</v>
      </c>
      <c r="AV106" s="35">
        <v>382</v>
      </c>
      <c r="AW106" s="1">
        <v>440122.10757246549</v>
      </c>
      <c r="AX106" s="35">
        <v>428.18639798488664</v>
      </c>
      <c r="AY106" s="121">
        <v>447098.30177808937</v>
      </c>
      <c r="AZ106" s="122">
        <v>392</v>
      </c>
      <c r="BA106" s="119">
        <v>450134.03133283928</v>
      </c>
      <c r="BB106">
        <v>381</v>
      </c>
      <c r="BC106" s="13">
        <f t="shared" si="290"/>
        <v>6.789848099795881E-3</v>
      </c>
      <c r="BD106">
        <v>382</v>
      </c>
      <c r="BE106" s="1">
        <v>440687.01809257321</v>
      </c>
      <c r="BF106" s="13">
        <f t="shared" si="266"/>
        <v>-2.0987111799331437E-2</v>
      </c>
      <c r="BG106">
        <v>379</v>
      </c>
      <c r="BH106" s="1">
        <v>440713.87512639881</v>
      </c>
      <c r="BI106" s="13">
        <f t="shared" si="267"/>
        <v>6.0943555682202444E-5</v>
      </c>
      <c r="BJ106">
        <v>375</v>
      </c>
      <c r="BK106" s="1">
        <v>438551.64200681337</v>
      </c>
      <c r="BL106" s="13">
        <f t="shared" si="268"/>
        <v>-4.9062061387681322E-3</v>
      </c>
      <c r="BM106" s="1">
        <v>444513.86191637232</v>
      </c>
      <c r="BN106" s="109">
        <f t="shared" si="269"/>
        <v>1.3595251592892987E-2</v>
      </c>
      <c r="BO106">
        <v>329</v>
      </c>
      <c r="BP106" s="13">
        <f t="shared" si="270"/>
        <v>-0.1226666666666667</v>
      </c>
      <c r="BQ106" s="1">
        <v>460085.75267606223</v>
      </c>
      <c r="BR106" s="13">
        <f t="shared" si="264"/>
        <v>3.5031282697365107E-2</v>
      </c>
      <c r="BS106">
        <v>363</v>
      </c>
      <c r="BT106" s="13">
        <f t="shared" si="265"/>
        <v>0.10334346504559266</v>
      </c>
      <c r="BU106" s="1">
        <v>486879.08892841358</v>
      </c>
      <c r="BV106" s="13">
        <f t="shared" si="271"/>
        <v>5.8235526956680328E-2</v>
      </c>
      <c r="BW106">
        <v>366</v>
      </c>
      <c r="BX106" s="13">
        <f t="shared" si="272"/>
        <v>8.2644628099173278E-3</v>
      </c>
      <c r="BY106" s="1">
        <v>495341.57103607879</v>
      </c>
      <c r="BZ106" s="13">
        <f t="shared" si="273"/>
        <v>1.7381075302064231E-2</v>
      </c>
      <c r="CA106">
        <v>333</v>
      </c>
      <c r="CB106" s="13">
        <f t="shared" si="274"/>
        <v>-9.0163934426229497E-2</v>
      </c>
      <c r="CC106" s="1">
        <v>483663.29243674508</v>
      </c>
      <c r="CD106" s="13">
        <f t="shared" si="275"/>
        <v>-2.3576213429668091E-2</v>
      </c>
      <c r="CE106">
        <v>372</v>
      </c>
      <c r="CF106" s="13">
        <f t="shared" si="276"/>
        <v>0.11711711711711703</v>
      </c>
      <c r="CG106" s="1">
        <v>472839.47251579998</v>
      </c>
      <c r="CH106" s="13">
        <f t="shared" si="277"/>
        <v>-2.2378832733849996E-2</v>
      </c>
      <c r="CI106">
        <v>432</v>
      </c>
      <c r="CJ106" s="13">
        <f t="shared" si="278"/>
        <v>0.16129032258064524</v>
      </c>
      <c r="CK106" s="1">
        <v>464152.79782163992</v>
      </c>
      <c r="CL106" s="13">
        <f t="shared" si="279"/>
        <v>-1.837129765825507E-2</v>
      </c>
      <c r="CM106">
        <v>452</v>
      </c>
      <c r="CN106" s="13">
        <f t="shared" si="280"/>
        <v>4.629629629629628E-2</v>
      </c>
      <c r="CO106" s="1">
        <v>462162.0207022081</v>
      </c>
      <c r="CP106" s="13">
        <v>-4.2890555195937985E-3</v>
      </c>
      <c r="CQ106">
        <v>434</v>
      </c>
      <c r="CR106" s="13">
        <v>-3.9823008849557473E-2</v>
      </c>
      <c r="CS106" s="1">
        <v>452183.17114373372</v>
      </c>
      <c r="CT106" s="13">
        <f t="shared" si="181"/>
        <v>-2.1591669396183955E-2</v>
      </c>
      <c r="CU106">
        <v>477</v>
      </c>
      <c r="CV106" s="13">
        <f t="shared" si="182"/>
        <v>9.9078341013824955E-2</v>
      </c>
      <c r="CW106" s="1">
        <v>442271.6290724533</v>
      </c>
      <c r="CX106" s="13">
        <f t="shared" si="183"/>
        <v>-2.1919307713753611E-2</v>
      </c>
      <c r="CY106">
        <v>463</v>
      </c>
      <c r="CZ106" s="13">
        <f t="shared" si="184"/>
        <v>-2.9350104821802891E-2</v>
      </c>
      <c r="DA106" s="1">
        <v>437064.73586302041</v>
      </c>
      <c r="DB106" s="13">
        <f t="shared" si="185"/>
        <v>-1.1773066294921475E-2</v>
      </c>
      <c r="DC106">
        <v>467</v>
      </c>
      <c r="DD106" s="13">
        <f t="shared" si="186"/>
        <v>8.6393088552916275E-3</v>
      </c>
      <c r="DE106" s="1">
        <v>441454.19774800621</v>
      </c>
      <c r="DF106" s="13">
        <f t="shared" si="187"/>
        <v>1.0043047459133092E-2</v>
      </c>
      <c r="DG106" s="1">
        <v>440</v>
      </c>
      <c r="DH106" s="13">
        <f t="shared" si="188"/>
        <v>-5.7815845824411127E-2</v>
      </c>
      <c r="DI106" s="1">
        <v>447231.85492957762</v>
      </c>
      <c r="DJ106" s="13">
        <f t="shared" si="189"/>
        <v>1.3087783989924606E-2</v>
      </c>
      <c r="DK106" s="1">
        <v>411</v>
      </c>
      <c r="DL106" s="13">
        <f t="shared" si="190"/>
        <v>-6.5909090909090917E-2</v>
      </c>
      <c r="DM106" s="1">
        <v>450641.60405116272</v>
      </c>
      <c r="DN106" s="13">
        <f t="shared" si="191"/>
        <v>7.6241195344235457E-3</v>
      </c>
      <c r="DO106" s="1">
        <v>423</v>
      </c>
      <c r="DP106" s="13">
        <f t="shared" si="192"/>
        <v>2.9197080291970767E-2</v>
      </c>
      <c r="DQ106" s="1">
        <v>449166.18045329099</v>
      </c>
      <c r="DR106" s="13">
        <f t="shared" si="193"/>
        <v>-3.2740510077365892E-3</v>
      </c>
      <c r="DS106">
        <v>457</v>
      </c>
      <c r="DT106" s="13">
        <f t="shared" si="194"/>
        <v>8.0378250591016442E-2</v>
      </c>
      <c r="DU106" s="1">
        <v>453916.51888694311</v>
      </c>
      <c r="DV106" s="13">
        <f t="shared" si="195"/>
        <v>1.0575904064856756E-2</v>
      </c>
      <c r="DW106">
        <v>435</v>
      </c>
      <c r="DX106" s="13">
        <f t="shared" si="196"/>
        <v>-4.8140043763676199E-2</v>
      </c>
      <c r="DY106" s="1">
        <v>458518.31046288437</v>
      </c>
      <c r="DZ106" s="13">
        <f t="shared" si="197"/>
        <v>1.0137968953466192E-2</v>
      </c>
      <c r="EA106" s="1">
        <v>433</v>
      </c>
      <c r="EB106" s="13">
        <f t="shared" si="198"/>
        <v>-4.5977011494252595E-3</v>
      </c>
      <c r="EC106" s="1">
        <v>454643.69460474793</v>
      </c>
      <c r="ED106" s="13">
        <f t="shared" si="199"/>
        <v>-8.4502969013929841E-3</v>
      </c>
      <c r="EE106" s="1">
        <f>IFERROR(VLOOKUP($A106,[1]Москва_продажа_районы!$C$2:$F$148,2,0),"")</f>
        <v>425</v>
      </c>
      <c r="EF106" s="13">
        <v>-1.8475750577367167E-2</v>
      </c>
      <c r="EG106" s="1">
        <v>459642.21026088001</v>
      </c>
      <c r="EH106" s="13">
        <f t="shared" si="200"/>
        <v>1.0994358253395786E-2</v>
      </c>
      <c r="EI106" s="1">
        <f>IFERROR(VLOOKUP($A106,[2]Москва_продажа_районы!$C$2:$F$150,2,0),"")</f>
        <v>414</v>
      </c>
      <c r="EJ106" s="13">
        <v>-2.5882352941176467E-2</v>
      </c>
      <c r="EK106" s="1">
        <v>482449.03544620099</v>
      </c>
      <c r="EL106" s="13">
        <f t="shared" si="201"/>
        <v>4.9618648322956371E-2</v>
      </c>
      <c r="EM106">
        <v>372</v>
      </c>
      <c r="EN106" s="13">
        <f t="shared" si="202"/>
        <v>-0.10144927536231885</v>
      </c>
      <c r="EO106" s="1">
        <v>498761.93670726579</v>
      </c>
      <c r="EP106" s="13">
        <f t="shared" si="203"/>
        <v>3.3812693284747786E-2</v>
      </c>
      <c r="EQ106">
        <v>341</v>
      </c>
      <c r="ER106" s="13">
        <f t="shared" si="204"/>
        <v>-8.333333333333337E-2</v>
      </c>
      <c r="ES106" s="183">
        <v>504146.58410268399</v>
      </c>
      <c r="ET106" s="13">
        <f t="shared" si="205"/>
        <v>1.0796027120607121E-2</v>
      </c>
      <c r="EU106">
        <v>346</v>
      </c>
      <c r="EV106" s="13">
        <f t="shared" si="206"/>
        <v>1.4662756598240456E-2</v>
      </c>
      <c r="EW106" s="183">
        <v>504093.02071630833</v>
      </c>
      <c r="EX106" s="13">
        <f t="shared" si="207"/>
        <v>-1.0624565962502608E-4</v>
      </c>
      <c r="EY106">
        <v>325</v>
      </c>
      <c r="EZ106" s="13">
        <f t="shared" si="208"/>
        <v>-6.0693641618497107E-2</v>
      </c>
      <c r="FA106" s="1">
        <v>515058.96510049928</v>
      </c>
      <c r="FB106" s="13">
        <f t="shared" si="209"/>
        <v>2.1753811168836457E-2</v>
      </c>
      <c r="FC106" s="1">
        <v>294</v>
      </c>
      <c r="FD106" s="13">
        <f t="shared" si="210"/>
        <v>-9.5384615384615401E-2</v>
      </c>
      <c r="FE106" s="1">
        <v>511054.08596738469</v>
      </c>
      <c r="FF106" s="13">
        <f t="shared" si="211"/>
        <v>-7.7755740691420883E-3</v>
      </c>
      <c r="FG106" s="1">
        <v>291</v>
      </c>
      <c r="FH106" s="13">
        <f t="shared" si="212"/>
        <v>-1.0204081632653073E-2</v>
      </c>
      <c r="FI106" s="1">
        <v>521117.57462342602</v>
      </c>
      <c r="FJ106" s="13">
        <f t="shared" si="213"/>
        <v>1.9691631340725824E-2</v>
      </c>
      <c r="FK106" s="1">
        <v>332</v>
      </c>
      <c r="FL106" s="13">
        <f t="shared" si="214"/>
        <v>0.14089347079037795</v>
      </c>
      <c r="FM106" s="1">
        <v>525097.71465365868</v>
      </c>
      <c r="FN106" s="13">
        <f t="shared" si="215"/>
        <v>7.6377006342740472E-3</v>
      </c>
      <c r="FO106" s="1">
        <v>336</v>
      </c>
      <c r="FP106" s="13">
        <f t="shared" si="216"/>
        <v>1.2048192771084265E-2</v>
      </c>
      <c r="FQ106" s="1">
        <v>530865.40258462564</v>
      </c>
      <c r="FR106" s="13">
        <f t="shared" si="217"/>
        <v>1.0984027867596335E-2</v>
      </c>
      <c r="FS106">
        <v>336</v>
      </c>
      <c r="FT106" s="13">
        <f t="shared" si="218"/>
        <v>0</v>
      </c>
      <c r="FU106" s="1">
        <v>532996.5581043862</v>
      </c>
      <c r="FV106" s="13">
        <f t="shared" si="219"/>
        <v>4.014493145314324E-3</v>
      </c>
      <c r="FW106" s="1">
        <v>326</v>
      </c>
      <c r="FX106" s="13">
        <f t="shared" si="220"/>
        <v>-2.9761904761904767E-2</v>
      </c>
      <c r="FY106" s="1">
        <v>528973.72137806634</v>
      </c>
      <c r="FZ106" s="13">
        <f t="shared" si="221"/>
        <v>-7.547584811104957E-3</v>
      </c>
      <c r="GA106" s="1">
        <v>338</v>
      </c>
      <c r="GB106" s="13">
        <f t="shared" si="222"/>
        <v>3.6809815950920255E-2</v>
      </c>
      <c r="GC106" s="1">
        <v>510521.61277332471</v>
      </c>
      <c r="GD106" s="13">
        <f t="shared" si="223"/>
        <v>-3.4882845515786243E-2</v>
      </c>
      <c r="GE106" s="1">
        <v>361</v>
      </c>
      <c r="GF106" s="13">
        <f t="shared" si="224"/>
        <v>6.8047337278106523E-2</v>
      </c>
      <c r="GG106" s="1">
        <f>IFERROR(VLOOKUP(A106,[3]Москва_продажа_районы!$C$2:$F$149,3,0),"")</f>
        <v>528815.5964009444</v>
      </c>
      <c r="GH106" s="13">
        <v>3.5833906283106565E-2</v>
      </c>
      <c r="GI106" s="1">
        <v>361</v>
      </c>
      <c r="GJ106" s="13">
        <f t="shared" si="225"/>
        <v>0</v>
      </c>
      <c r="GK106" s="1">
        <v>540930.95434712025</v>
      </c>
      <c r="GL106" s="13">
        <f t="shared" si="226"/>
        <v>2.2910364271839789E-2</v>
      </c>
      <c r="GM106" s="1">
        <v>351</v>
      </c>
      <c r="GN106" s="13">
        <f t="shared" si="227"/>
        <v>-2.7700831024930705E-2</v>
      </c>
      <c r="GO106" s="1">
        <v>546303.52150047896</v>
      </c>
      <c r="GP106" s="13">
        <f t="shared" si="228"/>
        <v>9.9320756377181407E-3</v>
      </c>
      <c r="GQ106" s="1">
        <v>384.13</v>
      </c>
      <c r="GR106" s="13">
        <f t="shared" si="229"/>
        <v>9.4387464387464481E-2</v>
      </c>
      <c r="GS106" s="1">
        <v>565359.55517162732</v>
      </c>
      <c r="GT106" s="13">
        <f t="shared" si="281"/>
        <v>3.4881769787624695E-2</v>
      </c>
      <c r="GU106">
        <v>377</v>
      </c>
      <c r="GV106" s="13">
        <f t="shared" si="282"/>
        <v>-1.8561424517741343E-2</v>
      </c>
      <c r="GW106">
        <v>566587.17648190155</v>
      </c>
      <c r="GX106" s="13">
        <f t="shared" si="230"/>
        <v>2.1713992432683682E-3</v>
      </c>
      <c r="GY106">
        <v>333</v>
      </c>
      <c r="GZ106" s="13">
        <f t="shared" si="231"/>
        <v>-0.11671087533156499</v>
      </c>
      <c r="HA106">
        <v>585127.01609173045</v>
      </c>
      <c r="HB106" s="13">
        <v>3.2721954148253074E-2</v>
      </c>
      <c r="HC106">
        <v>300</v>
      </c>
      <c r="HD106" s="13">
        <v>-9.9099099099099086E-2</v>
      </c>
      <c r="HE106">
        <v>572584.81220408261</v>
      </c>
      <c r="HF106" s="13">
        <v>-2.143501076299914E-2</v>
      </c>
      <c r="HG106">
        <v>308</v>
      </c>
      <c r="HH106" s="13">
        <v>2.6666666666666616E-2</v>
      </c>
      <c r="HI106">
        <f>VLOOKUP(A106,[4]Москва_продажа_районы!$C$4:$F$151,3,0)</f>
        <v>573172.50822652678</v>
      </c>
      <c r="HJ106" s="13">
        <f t="shared" si="232"/>
        <v>1.0263912173673617E-3</v>
      </c>
      <c r="HK106">
        <f>VLOOKUP(A106,[4]Москва_продажа_районы!$C$4:$F$151,2,0)</f>
        <v>344</v>
      </c>
      <c r="HL106" s="13">
        <f t="shared" si="233"/>
        <v>0.11688311688311681</v>
      </c>
      <c r="HM106" s="1">
        <f>VLOOKUP(A106,Лист3!$C$4:$F$149,3,0)</f>
        <v>591873.81051250407</v>
      </c>
      <c r="HN106" s="13">
        <f t="shared" si="234"/>
        <v>3.2627702860072105E-2</v>
      </c>
      <c r="HO106">
        <f>VLOOKUP(A106,Лист3!$C$4:$F$149,2,0)</f>
        <v>318</v>
      </c>
      <c r="HP106" s="13">
        <f t="shared" si="235"/>
        <v>-7.5581395348837233E-2</v>
      </c>
      <c r="HQ106" s="1">
        <v>611622.06519003026</v>
      </c>
      <c r="HR106" s="13">
        <v>3.3365650459219021E-2</v>
      </c>
      <c r="HS106">
        <v>299</v>
      </c>
      <c r="HT106" s="13">
        <v>-5.9748427672955962E-2</v>
      </c>
      <c r="HU106" s="34">
        <v>603637.28868403006</v>
      </c>
      <c r="HV106" s="13">
        <v>-1.3055082477312796E-2</v>
      </c>
      <c r="HW106">
        <v>269</v>
      </c>
      <c r="HX106" s="13">
        <v>-0.10033444816053516</v>
      </c>
      <c r="HY106">
        <v>599868.46888600895</v>
      </c>
      <c r="HZ106" s="13">
        <v>-6.2435172058992183E-3</v>
      </c>
      <c r="IA106">
        <v>294</v>
      </c>
      <c r="IB106" s="13">
        <v>9.2936802973977661E-2</v>
      </c>
      <c r="IC106" s="34">
        <v>601509.31147879665</v>
      </c>
      <c r="ID106" s="13">
        <v>2.7353372912479745E-3</v>
      </c>
      <c r="IE106">
        <v>292</v>
      </c>
      <c r="IF106" s="13">
        <v>-6.8027210884353817E-3</v>
      </c>
    </row>
    <row r="107" spans="1:240" x14ac:dyDescent="0.3">
      <c r="A107" s="23" t="s">
        <v>113</v>
      </c>
      <c r="B107" s="22">
        <v>443757.71319464478</v>
      </c>
      <c r="C107">
        <v>1563</v>
      </c>
      <c r="D107" s="22">
        <v>463295.43521533534</v>
      </c>
      <c r="E107">
        <v>1522</v>
      </c>
      <c r="F107" s="22">
        <v>505175.41880682029</v>
      </c>
      <c r="G107">
        <v>1346</v>
      </c>
      <c r="H107" s="22">
        <v>486892.03055285965</v>
      </c>
      <c r="I107">
        <v>1299</v>
      </c>
      <c r="J107" s="22">
        <v>480352.94500839309</v>
      </c>
      <c r="K107">
        <v>1400</v>
      </c>
      <c r="L107" s="22">
        <v>476856.07397561503</v>
      </c>
      <c r="M107">
        <v>1402</v>
      </c>
      <c r="N107" s="22">
        <v>474205.40634952509</v>
      </c>
      <c r="O107" s="28">
        <v>1380</v>
      </c>
      <c r="P107" s="39">
        <v>497638.18895729911</v>
      </c>
      <c r="Q107" s="28">
        <v>1387</v>
      </c>
      <c r="R107" s="39">
        <v>513106.76185403269</v>
      </c>
      <c r="S107">
        <v>1326</v>
      </c>
      <c r="T107" s="46">
        <v>523196.2467707679</v>
      </c>
      <c r="U107" s="47">
        <v>1244</v>
      </c>
      <c r="V107" s="56">
        <v>505985.64944191772</v>
      </c>
      <c r="W107" s="47">
        <v>1200</v>
      </c>
      <c r="X107" s="56">
        <v>509584.59412360273</v>
      </c>
      <c r="Y107" s="47">
        <v>1127</v>
      </c>
      <c r="Z107" s="34">
        <v>517866.1449184966</v>
      </c>
      <c r="AA107" s="81">
        <v>1250</v>
      </c>
      <c r="AB107" s="1">
        <v>533121.07728743006</v>
      </c>
      <c r="AC107">
        <v>1356</v>
      </c>
      <c r="AD107" s="1">
        <v>543932.7558391958</v>
      </c>
      <c r="AE107">
        <v>1115</v>
      </c>
      <c r="AF107" s="13">
        <f t="shared" si="180"/>
        <v>6.7404238887295964E-2</v>
      </c>
      <c r="AG107" s="85">
        <f t="shared" si="283"/>
        <v>0.1951347567378369</v>
      </c>
      <c r="AH107">
        <f t="shared" si="284"/>
        <v>218</v>
      </c>
      <c r="AI107" s="90">
        <f t="shared" si="285"/>
        <v>1333</v>
      </c>
      <c r="AL107" s="1">
        <v>550545.99528998148</v>
      </c>
      <c r="AM107">
        <v>1113</v>
      </c>
      <c r="AN107" s="13">
        <f t="shared" si="286"/>
        <v>0.19685178634594977</v>
      </c>
      <c r="AQ107">
        <f t="shared" si="287"/>
        <v>152</v>
      </c>
      <c r="AR107" s="90">
        <f t="shared" si="288"/>
        <v>1265</v>
      </c>
      <c r="AS107">
        <v>1067</v>
      </c>
      <c r="AT107" s="1">
        <v>555193.52284107858</v>
      </c>
      <c r="AU107" s="13">
        <f t="shared" si="289"/>
        <v>8.4416698892690878E-3</v>
      </c>
      <c r="AV107" s="35">
        <v>980</v>
      </c>
      <c r="AW107" s="1">
        <v>607671.42396496772</v>
      </c>
      <c r="AX107" s="35">
        <v>1098.4886649874056</v>
      </c>
      <c r="AY107" s="121">
        <v>613814.86306855956</v>
      </c>
      <c r="AZ107" s="122">
        <v>962</v>
      </c>
      <c r="BA107" s="119">
        <v>607898.63462601951</v>
      </c>
      <c r="BB107">
        <v>980</v>
      </c>
      <c r="BC107" s="13">
        <f t="shared" si="290"/>
        <v>-9.6384574543598722E-3</v>
      </c>
      <c r="BD107">
        <v>992</v>
      </c>
      <c r="BE107" s="1">
        <v>600482.40065896057</v>
      </c>
      <c r="BF107" s="13">
        <f t="shared" si="266"/>
        <v>-1.2199787176066623E-2</v>
      </c>
      <c r="BG107">
        <v>972</v>
      </c>
      <c r="BH107" s="1">
        <v>614671.15654368827</v>
      </c>
      <c r="BI107" s="13">
        <f t="shared" si="267"/>
        <v>2.3628928789848125E-2</v>
      </c>
      <c r="BJ107">
        <v>942</v>
      </c>
      <c r="BK107" s="1">
        <v>587335.47842462582</v>
      </c>
      <c r="BL107" s="13">
        <f t="shared" si="268"/>
        <v>-4.4472036515869173E-2</v>
      </c>
      <c r="BM107" s="1">
        <v>599768.8283995532</v>
      </c>
      <c r="BN107" s="109">
        <f t="shared" si="269"/>
        <v>2.116907701247106E-2</v>
      </c>
      <c r="BO107">
        <v>842</v>
      </c>
      <c r="BP107" s="13">
        <f t="shared" si="270"/>
        <v>-0.10615711252653925</v>
      </c>
      <c r="BQ107" s="1">
        <v>600109.67375355994</v>
      </c>
      <c r="BR107" s="13">
        <f t="shared" si="264"/>
        <v>5.6829454594398143E-4</v>
      </c>
      <c r="BS107">
        <v>906</v>
      </c>
      <c r="BT107" s="13">
        <f t="shared" si="265"/>
        <v>7.6009501187648487E-2</v>
      </c>
      <c r="BU107" s="1">
        <v>628607.36296535027</v>
      </c>
      <c r="BV107" s="13">
        <f t="shared" si="271"/>
        <v>4.7487468471460126E-2</v>
      </c>
      <c r="BW107">
        <v>921</v>
      </c>
      <c r="BX107" s="13">
        <f t="shared" si="272"/>
        <v>1.655629139072845E-2</v>
      </c>
      <c r="BY107" s="1">
        <v>634998.03284865944</v>
      </c>
      <c r="BZ107" s="13">
        <f t="shared" si="273"/>
        <v>1.0166393618366465E-2</v>
      </c>
      <c r="CA107">
        <v>881</v>
      </c>
      <c r="CB107" s="13">
        <f t="shared" si="274"/>
        <v>-4.3431053203040193E-2</v>
      </c>
      <c r="CC107" s="1">
        <v>596146.05071485636</v>
      </c>
      <c r="CD107" s="13">
        <f t="shared" si="275"/>
        <v>-6.1184413374494317E-2</v>
      </c>
      <c r="CE107">
        <v>998</v>
      </c>
      <c r="CF107" s="13">
        <f t="shared" si="276"/>
        <v>0.13280363223609526</v>
      </c>
      <c r="CG107" s="1">
        <v>573768.57831571659</v>
      </c>
      <c r="CH107" s="13">
        <f t="shared" si="277"/>
        <v>-3.753689615540734E-2</v>
      </c>
      <c r="CI107">
        <v>1095</v>
      </c>
      <c r="CJ107" s="13">
        <f t="shared" si="278"/>
        <v>9.7194388777555041E-2</v>
      </c>
      <c r="CK107" s="1">
        <v>566198.90163834079</v>
      </c>
      <c r="CL107" s="13">
        <f t="shared" si="279"/>
        <v>-1.3192909063783897E-2</v>
      </c>
      <c r="CM107">
        <v>1116</v>
      </c>
      <c r="CN107" s="13">
        <f t="shared" si="280"/>
        <v>1.9178082191780854E-2</v>
      </c>
      <c r="CO107" s="1">
        <v>570765.90381450695</v>
      </c>
      <c r="CP107" s="13">
        <v>8.0660738884359429E-3</v>
      </c>
      <c r="CQ107">
        <v>1091</v>
      </c>
      <c r="CR107" s="13">
        <v>-2.240143369175629E-2</v>
      </c>
      <c r="CS107" s="1">
        <v>559253.29446076148</v>
      </c>
      <c r="CT107" s="13">
        <f t="shared" si="181"/>
        <v>-2.0170457409605436E-2</v>
      </c>
      <c r="CU107">
        <v>1161</v>
      </c>
      <c r="CV107" s="13">
        <f t="shared" si="182"/>
        <v>6.4161319890009061E-2</v>
      </c>
      <c r="CW107" s="1">
        <v>563101.11143328482</v>
      </c>
      <c r="CX107" s="13">
        <f t="shared" si="183"/>
        <v>6.8802759154660276E-3</v>
      </c>
      <c r="CY107">
        <v>1256</v>
      </c>
      <c r="CZ107" s="13">
        <f t="shared" si="184"/>
        <v>8.1826012058570097E-2</v>
      </c>
      <c r="DA107" s="1">
        <v>560424.17540205852</v>
      </c>
      <c r="DB107" s="13">
        <f t="shared" si="185"/>
        <v>-4.7539171507094968E-3</v>
      </c>
      <c r="DC107">
        <v>1287</v>
      </c>
      <c r="DD107" s="13">
        <f t="shared" si="186"/>
        <v>2.468152866242046E-2</v>
      </c>
      <c r="DE107" s="1">
        <v>558119.62406708894</v>
      </c>
      <c r="DF107" s="13">
        <f t="shared" si="187"/>
        <v>-4.112155463879219E-3</v>
      </c>
      <c r="DG107" s="1">
        <v>1256</v>
      </c>
      <c r="DH107" s="13">
        <f t="shared" si="188"/>
        <v>-2.4087024087024123E-2</v>
      </c>
      <c r="DI107" s="1">
        <v>561349.66287353833</v>
      </c>
      <c r="DJ107" s="13">
        <f t="shared" si="189"/>
        <v>5.7873593171866577E-3</v>
      </c>
      <c r="DK107" s="1">
        <v>1180</v>
      </c>
      <c r="DL107" s="13">
        <f t="shared" si="190"/>
        <v>-6.0509554140127375E-2</v>
      </c>
      <c r="DM107" s="1">
        <v>557022.78781185276</v>
      </c>
      <c r="DN107" s="13">
        <f t="shared" si="191"/>
        <v>-7.7079854996908725E-3</v>
      </c>
      <c r="DO107" s="1">
        <v>1281</v>
      </c>
      <c r="DP107" s="13">
        <f t="shared" si="192"/>
        <v>8.5593220338983089E-2</v>
      </c>
      <c r="DQ107" s="1">
        <v>558206.19002539478</v>
      </c>
      <c r="DR107" s="13">
        <f t="shared" si="193"/>
        <v>2.1245131068887702E-3</v>
      </c>
      <c r="DS107">
        <v>1367</v>
      </c>
      <c r="DT107" s="13">
        <f t="shared" si="194"/>
        <v>6.7135050741608193E-2</v>
      </c>
      <c r="DU107" s="1">
        <v>561478.6891029448</v>
      </c>
      <c r="DV107" s="13">
        <f t="shared" si="195"/>
        <v>5.8625273886718787E-3</v>
      </c>
      <c r="DW107">
        <v>1257</v>
      </c>
      <c r="DX107" s="13">
        <f t="shared" si="196"/>
        <v>-8.0468178493050435E-2</v>
      </c>
      <c r="DY107" s="1">
        <v>561526.12951901217</v>
      </c>
      <c r="DZ107" s="13">
        <f t="shared" si="197"/>
        <v>8.4491926386709437E-5</v>
      </c>
      <c r="EA107" s="1">
        <v>1201</v>
      </c>
      <c r="EB107" s="13">
        <f t="shared" si="198"/>
        <v>-4.4550517104216425E-2</v>
      </c>
      <c r="EC107" s="1">
        <v>584648.89645506965</v>
      </c>
      <c r="ED107" s="13">
        <f t="shared" si="199"/>
        <v>4.1178434485076965E-2</v>
      </c>
      <c r="EE107" s="1">
        <f>IFERROR(VLOOKUP($A107,[1]Москва_продажа_районы!$C$2:$F$148,2,0),"")</f>
        <v>1206</v>
      </c>
      <c r="EF107" s="13">
        <v>4.1631973355538143E-3</v>
      </c>
      <c r="EG107" s="1">
        <v>601463.92076758062</v>
      </c>
      <c r="EH107" s="13">
        <f t="shared" si="200"/>
        <v>2.8760892929870163E-2</v>
      </c>
      <c r="EI107" s="1">
        <f>IFERROR(VLOOKUP($A107,[2]Москва_продажа_районы!$C$2:$F$150,2,0),"")</f>
        <v>1119</v>
      </c>
      <c r="EJ107" s="13">
        <v>-7.2139303482587014E-2</v>
      </c>
      <c r="EK107" s="1">
        <v>619429.80654542055</v>
      </c>
      <c r="EL107" s="13">
        <f t="shared" si="201"/>
        <v>2.9870263464701452E-2</v>
      </c>
      <c r="EM107">
        <v>1083</v>
      </c>
      <c r="EN107" s="13">
        <f t="shared" si="202"/>
        <v>-3.2171581769437019E-2</v>
      </c>
      <c r="EO107" s="1">
        <v>639243.23920764995</v>
      </c>
      <c r="EP107" s="13">
        <f t="shared" si="203"/>
        <v>3.198656644040021E-2</v>
      </c>
      <c r="EQ107">
        <v>1062</v>
      </c>
      <c r="ER107" s="13">
        <f t="shared" si="204"/>
        <v>-1.939058171745156E-2</v>
      </c>
      <c r="ES107" s="183">
        <v>664216.97029376205</v>
      </c>
      <c r="ET107" s="13">
        <f t="shared" si="205"/>
        <v>3.9067649924725556E-2</v>
      </c>
      <c r="EU107">
        <v>1036</v>
      </c>
      <c r="EV107" s="13">
        <f t="shared" si="206"/>
        <v>-2.4482109227871973E-2</v>
      </c>
      <c r="EW107" s="183">
        <v>665550.39647648204</v>
      </c>
      <c r="EX107" s="13">
        <f t="shared" si="207"/>
        <v>2.0075159810057919E-3</v>
      </c>
      <c r="EY107">
        <v>1017</v>
      </c>
      <c r="EZ107" s="13">
        <f t="shared" si="208"/>
        <v>-1.8339768339768359E-2</v>
      </c>
      <c r="FA107" s="1">
        <v>668844.42288125923</v>
      </c>
      <c r="FB107" s="13">
        <f t="shared" si="209"/>
        <v>4.949326786094943E-3</v>
      </c>
      <c r="FC107" s="1">
        <v>961</v>
      </c>
      <c r="FD107" s="13">
        <f t="shared" si="210"/>
        <v>-5.5063913470993153E-2</v>
      </c>
      <c r="FE107" s="1">
        <v>675844.50304210302</v>
      </c>
      <c r="FF107" s="13">
        <f t="shared" si="211"/>
        <v>1.0465931869011902E-2</v>
      </c>
      <c r="FG107" s="1">
        <v>943</v>
      </c>
      <c r="FH107" s="13">
        <f t="shared" si="212"/>
        <v>-1.8730489073881418E-2</v>
      </c>
      <c r="FI107" s="1">
        <v>673002.50796442886</v>
      </c>
      <c r="FJ107" s="13">
        <f t="shared" si="213"/>
        <v>-4.2051020092370717E-3</v>
      </c>
      <c r="FK107" s="1">
        <v>1036</v>
      </c>
      <c r="FL107" s="13">
        <f t="shared" si="214"/>
        <v>9.8621420996818587E-2</v>
      </c>
      <c r="FM107" s="1">
        <v>666855.60495384817</v>
      </c>
      <c r="FN107" s="13">
        <f t="shared" si="215"/>
        <v>-9.1335514174719634E-3</v>
      </c>
      <c r="FO107" s="1">
        <v>1020</v>
      </c>
      <c r="FP107" s="13">
        <f t="shared" si="216"/>
        <v>-1.5444015444015413E-2</v>
      </c>
      <c r="FQ107" s="1">
        <v>666055.35617378121</v>
      </c>
      <c r="FR107" s="13">
        <f t="shared" si="217"/>
        <v>-1.2000330718107133E-3</v>
      </c>
      <c r="FS107">
        <v>994</v>
      </c>
      <c r="FT107" s="13">
        <f t="shared" si="218"/>
        <v>-2.5490196078431393E-2</v>
      </c>
      <c r="FU107" s="1">
        <v>659676.80472233112</v>
      </c>
      <c r="FV107" s="13">
        <f t="shared" si="219"/>
        <v>-9.5766085991595418E-3</v>
      </c>
      <c r="FW107" s="1">
        <v>975</v>
      </c>
      <c r="FX107" s="13">
        <f t="shared" si="220"/>
        <v>-1.9114688128772594E-2</v>
      </c>
      <c r="FY107" s="1">
        <v>664839.22090905067</v>
      </c>
      <c r="FZ107" s="13">
        <f t="shared" si="221"/>
        <v>7.8256748604228488E-3</v>
      </c>
      <c r="GA107" s="1">
        <v>1018</v>
      </c>
      <c r="GB107" s="13">
        <f t="shared" si="222"/>
        <v>4.4102564102564079E-2</v>
      </c>
      <c r="GC107" s="1">
        <v>666049.62874197331</v>
      </c>
      <c r="GD107" s="13">
        <f t="shared" si="223"/>
        <v>1.8206023273832361E-3</v>
      </c>
      <c r="GE107" s="1">
        <v>1021</v>
      </c>
      <c r="GF107" s="13">
        <f t="shared" si="224"/>
        <v>2.9469548133596035E-3</v>
      </c>
      <c r="GG107" s="1">
        <f>IFERROR(VLOOKUP(A107,[3]Москва_продажа_районы!$C$2:$F$149,3,0),"")</f>
        <v>668003.74052141909</v>
      </c>
      <c r="GH107" s="13">
        <v>2.9338831449192693E-3</v>
      </c>
      <c r="GI107" s="1">
        <v>1022</v>
      </c>
      <c r="GJ107" s="13">
        <f t="shared" si="225"/>
        <v>9.7943192948091173E-4</v>
      </c>
      <c r="GK107" s="1">
        <v>676687.45245304157</v>
      </c>
      <c r="GL107" s="13">
        <f t="shared" si="226"/>
        <v>1.2999495968157637E-2</v>
      </c>
      <c r="GM107" s="1">
        <v>1023</v>
      </c>
      <c r="GN107" s="13">
        <f t="shared" si="227"/>
        <v>9.7847358121327943E-4</v>
      </c>
      <c r="GO107" s="1">
        <v>684533.39555143635</v>
      </c>
      <c r="GP107" s="13">
        <f t="shared" si="228"/>
        <v>1.1594633637660445E-2</v>
      </c>
      <c r="GQ107" s="1">
        <v>1084.98</v>
      </c>
      <c r="GR107" s="13">
        <f t="shared" si="229"/>
        <v>6.0586510263929583E-2</v>
      </c>
      <c r="GS107" s="1">
        <v>719874.27029166743</v>
      </c>
      <c r="GT107" s="13">
        <f t="shared" si="281"/>
        <v>5.1627685325361883E-2</v>
      </c>
      <c r="GU107">
        <v>1137</v>
      </c>
      <c r="GV107" s="13">
        <f t="shared" si="282"/>
        <v>4.7945584250400852E-2</v>
      </c>
      <c r="GW107">
        <v>737438.70730177057</v>
      </c>
      <c r="GX107" s="13">
        <f t="shared" si="230"/>
        <v>2.4399312122916461E-2</v>
      </c>
      <c r="GY107">
        <v>1015</v>
      </c>
      <c r="GZ107" s="13">
        <f t="shared" si="231"/>
        <v>-0.10729991204925238</v>
      </c>
      <c r="HA107">
        <v>765122.94338149147</v>
      </c>
      <c r="HB107" s="13">
        <v>3.7541067217661039E-2</v>
      </c>
      <c r="HC107">
        <v>898</v>
      </c>
      <c r="HD107" s="13">
        <v>-0.11527093596059113</v>
      </c>
      <c r="HE107">
        <v>761621.79162223579</v>
      </c>
      <c r="HF107" s="13">
        <v>-4.575933566679069E-3</v>
      </c>
      <c r="HG107">
        <v>901</v>
      </c>
      <c r="HH107" s="13">
        <v>3.3407572383072903E-3</v>
      </c>
      <c r="HI107">
        <f>VLOOKUP(A107,[4]Москва_продажа_районы!$C$4:$F$151,3,0)</f>
        <v>755398.13513455749</v>
      </c>
      <c r="HJ107" s="13">
        <f t="shared" si="232"/>
        <v>-8.1715840541038975E-3</v>
      </c>
      <c r="HK107">
        <f>VLOOKUP(A107,[4]Москва_продажа_районы!$C$4:$F$151,2,0)</f>
        <v>919</v>
      </c>
      <c r="HL107" s="13">
        <f t="shared" si="233"/>
        <v>1.9977802441731418E-2</v>
      </c>
      <c r="HM107" s="1">
        <f>VLOOKUP(A107,Лист3!$C$4:$F$149,3,0)</f>
        <v>758092.32176338765</v>
      </c>
      <c r="HN107" s="13">
        <f t="shared" si="234"/>
        <v>3.5665783426248598E-3</v>
      </c>
      <c r="HO107">
        <f>VLOOKUP(A107,Лист3!$C$4:$F$149,2,0)</f>
        <v>937</v>
      </c>
      <c r="HP107" s="13">
        <f t="shared" si="235"/>
        <v>1.9586507072905324E-2</v>
      </c>
      <c r="HQ107" s="1">
        <v>756448.45636767871</v>
      </c>
      <c r="HR107" s="13">
        <v>-2.1684237506656157E-3</v>
      </c>
      <c r="HS107">
        <v>922</v>
      </c>
      <c r="HT107" s="13">
        <v>-1.6008537886872953E-2</v>
      </c>
      <c r="HU107" s="34">
        <v>761284.5450816456</v>
      </c>
      <c r="HV107" s="13">
        <v>6.3931503505061382E-3</v>
      </c>
      <c r="HW107">
        <v>867</v>
      </c>
      <c r="HX107" s="13">
        <v>-5.9652928416485951E-2</v>
      </c>
      <c r="HY107">
        <v>755028.98899071408</v>
      </c>
      <c r="HZ107" s="13">
        <v>-8.2171063780897002E-3</v>
      </c>
      <c r="IA107">
        <v>902</v>
      </c>
      <c r="IB107" s="13">
        <v>4.0369088811995413E-2</v>
      </c>
      <c r="IC107" s="34">
        <v>763787.06389555801</v>
      </c>
      <c r="ID107" s="13">
        <v>1.1599653831240619E-2</v>
      </c>
      <c r="IE107">
        <v>921</v>
      </c>
      <c r="IF107" s="13">
        <v>2.1064301552106368E-2</v>
      </c>
    </row>
    <row r="108" spans="1:240" x14ac:dyDescent="0.3">
      <c r="A108" s="23" t="s">
        <v>114</v>
      </c>
      <c r="B108" s="22">
        <v>326822.6923024776</v>
      </c>
      <c r="C108">
        <v>767</v>
      </c>
      <c r="D108" s="22">
        <v>329300.4370001278</v>
      </c>
      <c r="E108">
        <v>781</v>
      </c>
      <c r="F108" s="22">
        <v>348369.60146222933</v>
      </c>
      <c r="G108">
        <v>601</v>
      </c>
      <c r="H108" s="22">
        <v>336765.04671628994</v>
      </c>
      <c r="I108">
        <v>560</v>
      </c>
      <c r="J108" s="22">
        <v>331229.65279141738</v>
      </c>
      <c r="K108">
        <v>629</v>
      </c>
      <c r="L108" s="22">
        <v>333223.46120542369</v>
      </c>
      <c r="M108">
        <v>638</v>
      </c>
      <c r="N108" s="22">
        <v>333643.43121801404</v>
      </c>
      <c r="O108" s="28">
        <v>593</v>
      </c>
      <c r="P108" s="39">
        <v>336564.80826329987</v>
      </c>
      <c r="Q108" s="28">
        <v>596</v>
      </c>
      <c r="R108" s="39">
        <v>344422.65390778723</v>
      </c>
      <c r="S108">
        <v>552</v>
      </c>
      <c r="T108" s="46">
        <v>356295.94909243431</v>
      </c>
      <c r="U108" s="47">
        <v>497</v>
      </c>
      <c r="V108" s="56">
        <v>353150.5836786686</v>
      </c>
      <c r="W108" s="47">
        <v>472</v>
      </c>
      <c r="X108" s="56">
        <v>352506.61125345732</v>
      </c>
      <c r="Y108" s="47">
        <v>476</v>
      </c>
      <c r="Z108" s="34">
        <v>346544.47421547049</v>
      </c>
      <c r="AA108" s="81">
        <v>541</v>
      </c>
      <c r="AB108" s="1">
        <v>353204.33845887898</v>
      </c>
      <c r="AC108">
        <v>578</v>
      </c>
      <c r="AD108" s="1">
        <v>364695.21017028578</v>
      </c>
      <c r="AE108">
        <v>517</v>
      </c>
      <c r="AF108" s="13">
        <f t="shared" si="180"/>
        <v>3.4576937077825942E-2</v>
      </c>
      <c r="AG108" s="85">
        <f t="shared" si="283"/>
        <v>9.0479523976198808E-2</v>
      </c>
      <c r="AH108">
        <f t="shared" si="284"/>
        <v>47</v>
      </c>
      <c r="AI108" s="90">
        <f t="shared" si="285"/>
        <v>564</v>
      </c>
      <c r="AL108" s="1">
        <v>374270.83081932983</v>
      </c>
      <c r="AM108">
        <v>503</v>
      </c>
      <c r="AN108" s="13">
        <f t="shared" si="286"/>
        <v>8.8963565617262111E-2</v>
      </c>
      <c r="AQ108">
        <f t="shared" si="287"/>
        <v>68</v>
      </c>
      <c r="AR108" s="90">
        <f t="shared" si="288"/>
        <v>571</v>
      </c>
      <c r="AS108">
        <v>480</v>
      </c>
      <c r="AT108" s="1">
        <v>375441.46747701231</v>
      </c>
      <c r="AU108" s="13">
        <f t="shared" si="289"/>
        <v>3.1277795683937182E-3</v>
      </c>
      <c r="AV108" s="35">
        <v>482</v>
      </c>
      <c r="AW108" s="1">
        <v>388873.16534431413</v>
      </c>
      <c r="AX108" s="35">
        <v>540.2770780856423</v>
      </c>
      <c r="AY108" s="121">
        <v>385686.04124831059</v>
      </c>
      <c r="AZ108" s="122">
        <v>482</v>
      </c>
      <c r="BA108" s="119">
        <v>384140.72989946941</v>
      </c>
      <c r="BB108">
        <v>486</v>
      </c>
      <c r="BC108" s="13">
        <f t="shared" si="290"/>
        <v>-4.0066561492337893E-3</v>
      </c>
      <c r="BD108">
        <v>513</v>
      </c>
      <c r="BE108" s="1">
        <v>387804.13413961593</v>
      </c>
      <c r="BF108" s="13">
        <f t="shared" si="266"/>
        <v>9.5366201889219848E-3</v>
      </c>
      <c r="BG108">
        <v>499</v>
      </c>
      <c r="BH108" s="1">
        <v>389060.98569563002</v>
      </c>
      <c r="BI108" s="13">
        <f t="shared" si="267"/>
        <v>3.2409441915892678E-3</v>
      </c>
      <c r="BJ108">
        <v>478</v>
      </c>
      <c r="BK108" s="1">
        <v>418695.47898588312</v>
      </c>
      <c r="BL108" s="13">
        <f t="shared" si="268"/>
        <v>7.6169275203134212E-2</v>
      </c>
      <c r="BM108" s="1">
        <v>419252.89434035169</v>
      </c>
      <c r="BN108" s="109">
        <f t="shared" si="269"/>
        <v>1.3313144813951183E-3</v>
      </c>
      <c r="BO108">
        <v>441</v>
      </c>
      <c r="BP108" s="13">
        <f t="shared" si="270"/>
        <v>-7.7405857740585726E-2</v>
      </c>
      <c r="BQ108" s="1">
        <v>419547.56184320152</v>
      </c>
      <c r="BR108" s="13">
        <f t="shared" si="264"/>
        <v>7.0283951960181668E-4</v>
      </c>
      <c r="BS108">
        <v>484</v>
      </c>
      <c r="BT108" s="13">
        <f t="shared" si="265"/>
        <v>9.7505668934240397E-2</v>
      </c>
      <c r="BU108" s="1">
        <v>448651.17342831031</v>
      </c>
      <c r="BV108" s="13">
        <f t="shared" si="271"/>
        <v>6.9369039965928136E-2</v>
      </c>
      <c r="BW108">
        <v>459</v>
      </c>
      <c r="BX108" s="13">
        <f t="shared" si="272"/>
        <v>-5.1652892561983466E-2</v>
      </c>
      <c r="BY108" s="1">
        <v>454928.95608901838</v>
      </c>
      <c r="BZ108" s="13">
        <f t="shared" si="273"/>
        <v>1.3992569355691709E-2</v>
      </c>
      <c r="CA108">
        <v>444</v>
      </c>
      <c r="CB108" s="13">
        <f t="shared" si="274"/>
        <v>-3.2679738562091498E-2</v>
      </c>
      <c r="CC108" s="1">
        <v>430220.16136693512</v>
      </c>
      <c r="CD108" s="13">
        <f t="shared" si="275"/>
        <v>-5.4313523884042092E-2</v>
      </c>
      <c r="CE108">
        <v>483</v>
      </c>
      <c r="CF108" s="13">
        <f t="shared" si="276"/>
        <v>8.783783783783794E-2</v>
      </c>
      <c r="CG108" s="1">
        <v>420369.51047423232</v>
      </c>
      <c r="CH108" s="13">
        <f t="shared" si="277"/>
        <v>-2.2896767230537018E-2</v>
      </c>
      <c r="CI108">
        <v>498</v>
      </c>
      <c r="CJ108" s="13">
        <f t="shared" si="278"/>
        <v>3.105590062111796E-2</v>
      </c>
      <c r="CK108" s="1">
        <v>417849.18584710138</v>
      </c>
      <c r="CL108" s="13">
        <f t="shared" si="279"/>
        <v>-5.9954981613382641E-3</v>
      </c>
      <c r="CM108">
        <v>528</v>
      </c>
      <c r="CN108" s="13">
        <f t="shared" si="280"/>
        <v>6.024096385542177E-2</v>
      </c>
      <c r="CO108" s="1">
        <v>414020.7603082491</v>
      </c>
      <c r="CP108" s="13">
        <v>-9.1622184953907837E-3</v>
      </c>
      <c r="CQ108">
        <v>560</v>
      </c>
      <c r="CR108" s="13">
        <v>6.0606060606060552E-2</v>
      </c>
      <c r="CS108" s="1">
        <v>415892.06220873422</v>
      </c>
      <c r="CT108" s="13">
        <f t="shared" si="181"/>
        <v>4.5198262499974717E-3</v>
      </c>
      <c r="CU108">
        <v>621</v>
      </c>
      <c r="CV108" s="13">
        <f t="shared" si="182"/>
        <v>0.10892857142857149</v>
      </c>
      <c r="CW108" s="1">
        <v>427625.10333573673</v>
      </c>
      <c r="CX108" s="13">
        <f t="shared" si="183"/>
        <v>2.8211745770501784E-2</v>
      </c>
      <c r="CY108">
        <v>754</v>
      </c>
      <c r="CZ108" s="13">
        <f t="shared" si="184"/>
        <v>0.21417069243156206</v>
      </c>
      <c r="DA108" s="1">
        <v>419139.54378179472</v>
      </c>
      <c r="DB108" s="13">
        <f t="shared" si="185"/>
        <v>-1.984345513803909E-2</v>
      </c>
      <c r="DC108">
        <v>727</v>
      </c>
      <c r="DD108" s="13">
        <f t="shared" si="186"/>
        <v>-3.5809018567639295E-2</v>
      </c>
      <c r="DE108" s="1">
        <v>401068.69540757389</v>
      </c>
      <c r="DF108" s="13">
        <f t="shared" si="187"/>
        <v>-4.3114157664943642E-2</v>
      </c>
      <c r="DG108" s="1">
        <v>669</v>
      </c>
      <c r="DH108" s="13">
        <f t="shared" si="188"/>
        <v>-7.9779917469050887E-2</v>
      </c>
      <c r="DI108" s="1">
        <v>407869.86092759907</v>
      </c>
      <c r="DJ108" s="13">
        <f t="shared" si="189"/>
        <v>1.6957607506897787E-2</v>
      </c>
      <c r="DK108" s="1">
        <v>637</v>
      </c>
      <c r="DL108" s="13">
        <f t="shared" si="190"/>
        <v>-4.783258594917783E-2</v>
      </c>
      <c r="DM108" s="1">
        <v>391705.09429559071</v>
      </c>
      <c r="DN108" s="13">
        <f t="shared" si="191"/>
        <v>-3.9632167464508372E-2</v>
      </c>
      <c r="DO108" s="1">
        <v>688</v>
      </c>
      <c r="DP108" s="13">
        <f t="shared" si="192"/>
        <v>8.0062794348508604E-2</v>
      </c>
      <c r="DQ108" s="1">
        <v>388391.50965783588</v>
      </c>
      <c r="DR108" s="13">
        <f t="shared" si="193"/>
        <v>-8.4593861198402065E-3</v>
      </c>
      <c r="DS108">
        <v>736</v>
      </c>
      <c r="DT108" s="13">
        <f t="shared" si="194"/>
        <v>6.9767441860465018E-2</v>
      </c>
      <c r="DU108" s="1">
        <v>385336.63746968529</v>
      </c>
      <c r="DV108" s="13">
        <f t="shared" si="195"/>
        <v>-7.8654453359237042E-3</v>
      </c>
      <c r="DW108">
        <v>671</v>
      </c>
      <c r="DX108" s="13">
        <f t="shared" si="196"/>
        <v>-8.8315217391304324E-2</v>
      </c>
      <c r="DY108" s="1">
        <v>390916.8167884798</v>
      </c>
      <c r="DZ108" s="13">
        <f t="shared" si="197"/>
        <v>1.4481310044735851E-2</v>
      </c>
      <c r="EA108" s="1">
        <v>648</v>
      </c>
      <c r="EB108" s="13">
        <f t="shared" si="198"/>
        <v>-3.4277198211624449E-2</v>
      </c>
      <c r="EC108" s="1">
        <v>393980.26243540121</v>
      </c>
      <c r="ED108" s="13">
        <f t="shared" si="199"/>
        <v>7.8365665414159569E-3</v>
      </c>
      <c r="EE108" s="1">
        <f>IFERROR(VLOOKUP($A108,[1]Москва_продажа_районы!$C$2:$F$148,2,0),"")</f>
        <v>651</v>
      </c>
      <c r="EF108" s="13">
        <v>4.6296296296295392E-3</v>
      </c>
      <c r="EG108" s="1">
        <v>407588.42786064232</v>
      </c>
      <c r="EH108" s="13">
        <f t="shared" si="200"/>
        <v>3.4540221231190049E-2</v>
      </c>
      <c r="EI108" s="1">
        <f>IFERROR(VLOOKUP($A108,[2]Москва_продажа_районы!$C$2:$F$150,2,0),"")</f>
        <v>637</v>
      </c>
      <c r="EJ108" s="13">
        <v>-2.1505376344086002E-2</v>
      </c>
      <c r="EK108" s="1">
        <v>412619.3466051938</v>
      </c>
      <c r="EL108" s="13">
        <f t="shared" si="201"/>
        <v>1.2343134398976607E-2</v>
      </c>
      <c r="EM108">
        <v>597</v>
      </c>
      <c r="EN108" s="13">
        <f t="shared" si="202"/>
        <v>-6.279434850863419E-2</v>
      </c>
      <c r="EO108" s="1">
        <v>425654.39528752991</v>
      </c>
      <c r="EP108" s="13">
        <f t="shared" si="203"/>
        <v>3.1590977954818023E-2</v>
      </c>
      <c r="EQ108">
        <v>556</v>
      </c>
      <c r="ER108" s="13">
        <f t="shared" si="204"/>
        <v>-6.8676716917922986E-2</v>
      </c>
      <c r="ES108" s="183">
        <v>436040.25126866542</v>
      </c>
      <c r="ET108" s="13">
        <f t="shared" si="205"/>
        <v>2.4399738605118459E-2</v>
      </c>
      <c r="EU108">
        <v>576</v>
      </c>
      <c r="EV108" s="13">
        <f t="shared" si="206"/>
        <v>3.5971223021582732E-2</v>
      </c>
      <c r="EW108" s="183">
        <v>433648.56759131717</v>
      </c>
      <c r="EX108" s="13">
        <f t="shared" si="207"/>
        <v>-5.485006648789037E-3</v>
      </c>
      <c r="EY108">
        <v>560</v>
      </c>
      <c r="EZ108" s="13">
        <f t="shared" si="208"/>
        <v>-2.777777777777779E-2</v>
      </c>
      <c r="FA108" s="1">
        <v>433745.71817383671</v>
      </c>
      <c r="FB108" s="13">
        <f t="shared" si="209"/>
        <v>2.2403067778853369E-4</v>
      </c>
      <c r="FC108" s="1">
        <v>526</v>
      </c>
      <c r="FD108" s="13">
        <f t="shared" si="210"/>
        <v>-6.0714285714285721E-2</v>
      </c>
      <c r="FE108" s="1">
        <v>436920.70058783231</v>
      </c>
      <c r="FF108" s="13">
        <f t="shared" si="211"/>
        <v>7.3199164417414586E-3</v>
      </c>
      <c r="FG108" s="1">
        <v>509</v>
      </c>
      <c r="FH108" s="13">
        <f t="shared" si="212"/>
        <v>-3.2319391634980987E-2</v>
      </c>
      <c r="FI108" s="1">
        <v>440769.19792096422</v>
      </c>
      <c r="FJ108" s="13">
        <f t="shared" si="213"/>
        <v>8.8082284221235874E-3</v>
      </c>
      <c r="FK108" s="1">
        <v>571</v>
      </c>
      <c r="FL108" s="13">
        <f t="shared" si="214"/>
        <v>0.12180746561886058</v>
      </c>
      <c r="FM108" s="1">
        <v>452461.78942695103</v>
      </c>
      <c r="FN108" s="13">
        <f t="shared" si="215"/>
        <v>2.6527696493173325E-2</v>
      </c>
      <c r="FO108" s="1">
        <v>590</v>
      </c>
      <c r="FP108" s="13">
        <f t="shared" si="216"/>
        <v>3.327495621716281E-2</v>
      </c>
      <c r="FQ108" s="1">
        <v>453102.62218677369</v>
      </c>
      <c r="FR108" s="13">
        <f t="shared" si="217"/>
        <v>1.4163245931424484E-3</v>
      </c>
      <c r="FS108">
        <v>614</v>
      </c>
      <c r="FT108" s="13">
        <f t="shared" si="218"/>
        <v>4.067796610169494E-2</v>
      </c>
      <c r="FU108" s="1">
        <v>441298.18990066281</v>
      </c>
      <c r="FV108" s="13">
        <f t="shared" si="219"/>
        <v>-2.6052447520917177E-2</v>
      </c>
      <c r="FW108" s="1">
        <v>592</v>
      </c>
      <c r="FX108" s="13">
        <f t="shared" si="220"/>
        <v>-3.5830618892508159E-2</v>
      </c>
      <c r="FY108" s="1">
        <v>437142.61138940032</v>
      </c>
      <c r="FZ108" s="13">
        <f t="shared" si="221"/>
        <v>-9.4167132482413374E-3</v>
      </c>
      <c r="GA108" s="1">
        <v>591</v>
      </c>
      <c r="GB108" s="13">
        <f t="shared" si="222"/>
        <v>-1.6891891891891442E-3</v>
      </c>
      <c r="GC108" s="1">
        <v>438366.34470379289</v>
      </c>
      <c r="GD108" s="13">
        <f t="shared" si="223"/>
        <v>2.7993915086499399E-3</v>
      </c>
      <c r="GE108" s="1">
        <v>576</v>
      </c>
      <c r="GF108" s="13">
        <f t="shared" si="224"/>
        <v>-2.5380710659898442E-2</v>
      </c>
      <c r="GG108" s="1">
        <f>IFERROR(VLOOKUP(A108,[3]Москва_продажа_районы!$C$2:$F$149,3,0),"")</f>
        <v>452655.35250688839</v>
      </c>
      <c r="GH108" s="13">
        <v>3.2596042045040408E-2</v>
      </c>
      <c r="GI108" s="1">
        <v>600</v>
      </c>
      <c r="GJ108" s="13">
        <f t="shared" si="225"/>
        <v>4.1666666666666741E-2</v>
      </c>
      <c r="GK108" s="1">
        <v>450248.32737059559</v>
      </c>
      <c r="GL108" s="13">
        <f t="shared" si="226"/>
        <v>-5.317566936880902E-3</v>
      </c>
      <c r="GM108" s="1">
        <v>634</v>
      </c>
      <c r="GN108" s="13">
        <f t="shared" si="227"/>
        <v>5.6666666666666643E-2</v>
      </c>
      <c r="GO108" s="1">
        <v>445219.56359431503</v>
      </c>
      <c r="GP108" s="13">
        <f t="shared" si="228"/>
        <v>-1.11688672019018E-2</v>
      </c>
      <c r="GQ108" s="1">
        <v>647.35</v>
      </c>
      <c r="GR108" s="13">
        <f t="shared" si="229"/>
        <v>2.1056782334384794E-2</v>
      </c>
      <c r="GS108" s="1">
        <v>460378.41281466739</v>
      </c>
      <c r="GT108" s="13">
        <f t="shared" si="281"/>
        <v>3.4048030365002369E-2</v>
      </c>
      <c r="GU108">
        <v>644</v>
      </c>
      <c r="GV108" s="13">
        <f t="shared" si="282"/>
        <v>-5.1749440024716487E-3</v>
      </c>
      <c r="GW108">
        <v>461254.51115955779</v>
      </c>
      <c r="GX108" s="13">
        <f t="shared" si="230"/>
        <v>1.9029961451366706E-3</v>
      </c>
      <c r="GY108">
        <v>576</v>
      </c>
      <c r="GZ108" s="13">
        <f t="shared" si="231"/>
        <v>-0.10559006211180122</v>
      </c>
      <c r="HA108">
        <v>471889.83081473719</v>
      </c>
      <c r="HB108" s="13">
        <v>2.3057378080580726E-2</v>
      </c>
      <c r="HC108">
        <v>508</v>
      </c>
      <c r="HD108" s="13">
        <v>-0.11805555555555558</v>
      </c>
      <c r="HE108">
        <v>476056.69339236623</v>
      </c>
      <c r="HF108" s="13">
        <v>8.8301597227360418E-3</v>
      </c>
      <c r="HG108">
        <v>548</v>
      </c>
      <c r="HH108" s="13">
        <v>7.8740157480315043E-2</v>
      </c>
      <c r="HI108">
        <f>VLOOKUP(A108,[4]Москва_продажа_районы!$C$4:$F$151,3,0)</f>
        <v>480405.09102581523</v>
      </c>
      <c r="HJ108" s="13">
        <f t="shared" si="232"/>
        <v>9.1342012281403484E-3</v>
      </c>
      <c r="HK108">
        <f>VLOOKUP(A108,[4]Москва_продажа_районы!$C$4:$F$151,2,0)</f>
        <v>519</v>
      </c>
      <c r="HL108" s="13">
        <f t="shared" si="233"/>
        <v>-5.2919708029197099E-2</v>
      </c>
      <c r="HM108" s="1">
        <f>VLOOKUP(A108,Лист3!$C$4:$F$149,3,0)</f>
        <v>479983.96168827591</v>
      </c>
      <c r="HN108" s="13">
        <f t="shared" si="234"/>
        <v>-8.7661297810159855E-4</v>
      </c>
      <c r="HO108">
        <f>VLOOKUP(A108,Лист3!$C$4:$F$149,2,0)</f>
        <v>520</v>
      </c>
      <c r="HP108" s="13">
        <f t="shared" si="235"/>
        <v>1.9267822736031004E-3</v>
      </c>
      <c r="HQ108" s="1">
        <v>482481.56758583733</v>
      </c>
      <c r="HR108" s="13">
        <v>5.2035194858937039E-3</v>
      </c>
      <c r="HS108">
        <v>524</v>
      </c>
      <c r="HT108" s="13">
        <v>7.692307692307665E-3</v>
      </c>
      <c r="HU108" s="34">
        <v>479388.83463554032</v>
      </c>
      <c r="HV108" s="13">
        <v>-6.4100540996248068E-3</v>
      </c>
      <c r="HW108">
        <v>508</v>
      </c>
      <c r="HX108" s="13">
        <v>-3.0534351145038219E-2</v>
      </c>
      <c r="HY108">
        <v>482745.13358054729</v>
      </c>
      <c r="HZ108" s="13">
        <v>7.0012038297859736E-3</v>
      </c>
      <c r="IA108">
        <v>517</v>
      </c>
      <c r="IB108" s="13">
        <v>1.7716535433070835E-2</v>
      </c>
      <c r="IC108" s="34">
        <v>496264.86427239463</v>
      </c>
      <c r="ID108" s="13">
        <v>2.8005938851357826E-2</v>
      </c>
      <c r="IE108">
        <v>517</v>
      </c>
      <c r="IF108" s="13">
        <v>0</v>
      </c>
    </row>
    <row r="109" spans="1:240" x14ac:dyDescent="0.3">
      <c r="A109" s="23" t="s">
        <v>115</v>
      </c>
      <c r="B109" s="22">
        <v>464676.80559041182</v>
      </c>
      <c r="C109">
        <v>1262</v>
      </c>
      <c r="D109" s="22">
        <v>478392.36781484389</v>
      </c>
      <c r="E109">
        <v>1282</v>
      </c>
      <c r="F109" s="22">
        <v>514771.21770571626</v>
      </c>
      <c r="G109">
        <v>1165</v>
      </c>
      <c r="H109" s="22">
        <v>490773.67038742849</v>
      </c>
      <c r="I109">
        <v>1114</v>
      </c>
      <c r="J109" s="22">
        <v>489986.31444696197</v>
      </c>
      <c r="K109">
        <v>1174</v>
      </c>
      <c r="L109" s="22">
        <v>500502.26474097016</v>
      </c>
      <c r="M109">
        <v>1107</v>
      </c>
      <c r="N109" s="22">
        <v>493750.10439546808</v>
      </c>
      <c r="O109" s="28">
        <v>1116</v>
      </c>
      <c r="P109" s="39">
        <v>493398.19153662899</v>
      </c>
      <c r="Q109" s="28">
        <v>1111</v>
      </c>
      <c r="R109" s="39">
        <v>498052.94621814188</v>
      </c>
      <c r="S109">
        <v>1095</v>
      </c>
      <c r="T109" s="46">
        <v>518852.75117030489</v>
      </c>
      <c r="U109" s="47">
        <v>985</v>
      </c>
      <c r="V109" s="56">
        <v>511662.48880976642</v>
      </c>
      <c r="W109" s="47">
        <v>923</v>
      </c>
      <c r="X109" s="56">
        <v>518099.87270234758</v>
      </c>
      <c r="Y109" s="47">
        <v>859</v>
      </c>
      <c r="Z109" s="34">
        <v>507215.19403215818</v>
      </c>
      <c r="AA109" s="81">
        <v>901</v>
      </c>
      <c r="AB109" s="1">
        <v>524681.1268934703</v>
      </c>
      <c r="AC109">
        <v>1034</v>
      </c>
      <c r="AD109" s="1">
        <v>533623.20872417872</v>
      </c>
      <c r="AE109">
        <v>871</v>
      </c>
      <c r="AF109" s="13">
        <f t="shared" si="180"/>
        <v>2.9962053340919059E-2</v>
      </c>
      <c r="AG109" s="85">
        <f t="shared" si="283"/>
        <v>0.15243262163108157</v>
      </c>
      <c r="AH109">
        <f t="shared" si="284"/>
        <v>133</v>
      </c>
      <c r="AI109" s="90">
        <f t="shared" si="285"/>
        <v>1004</v>
      </c>
      <c r="AL109" s="1">
        <v>538269.14505396597</v>
      </c>
      <c r="AM109">
        <v>872</v>
      </c>
      <c r="AN109" s="13">
        <f t="shared" si="286"/>
        <v>0.15422709586133709</v>
      </c>
      <c r="AQ109">
        <f t="shared" si="287"/>
        <v>119</v>
      </c>
      <c r="AR109" s="90">
        <f t="shared" si="288"/>
        <v>991</v>
      </c>
      <c r="AS109">
        <v>890</v>
      </c>
      <c r="AT109" s="1">
        <v>541991.71473558864</v>
      </c>
      <c r="AU109" s="13">
        <f t="shared" si="289"/>
        <v>6.9158147291712435E-3</v>
      </c>
      <c r="AV109" s="35">
        <v>895</v>
      </c>
      <c r="AW109" s="1">
        <v>549033.88637250068</v>
      </c>
      <c r="AX109" s="35">
        <v>1003.2115869017632</v>
      </c>
      <c r="AY109" s="121">
        <v>557877.89114058891</v>
      </c>
      <c r="AZ109" s="122">
        <v>851</v>
      </c>
      <c r="BA109" s="119">
        <v>567661.41088333342</v>
      </c>
      <c r="BB109">
        <v>887</v>
      </c>
      <c r="BC109" s="13">
        <f t="shared" si="290"/>
        <v>1.7537027184823417E-2</v>
      </c>
      <c r="BD109">
        <v>864</v>
      </c>
      <c r="BE109" s="1">
        <v>564865.77414405288</v>
      </c>
      <c r="BF109" s="13">
        <f t="shared" si="266"/>
        <v>-4.9248313971708146E-3</v>
      </c>
      <c r="BG109">
        <v>834</v>
      </c>
      <c r="BH109" s="1">
        <v>573943.74795110989</v>
      </c>
      <c r="BI109" s="13">
        <f t="shared" si="267"/>
        <v>1.6071028238191509E-2</v>
      </c>
      <c r="BJ109">
        <v>765</v>
      </c>
      <c r="BK109" s="1">
        <v>571754.52834991459</v>
      </c>
      <c r="BL109" s="13">
        <f t="shared" si="268"/>
        <v>-3.8143452368119002E-3</v>
      </c>
      <c r="BM109" s="1">
        <v>584146.39822571957</v>
      </c>
      <c r="BN109" s="109">
        <f t="shared" si="269"/>
        <v>2.1673409236596664E-2</v>
      </c>
      <c r="BO109">
        <v>726</v>
      </c>
      <c r="BP109" s="13">
        <f t="shared" si="270"/>
        <v>-5.0980392156862786E-2</v>
      </c>
      <c r="BQ109" s="1">
        <v>606906.60007548938</v>
      </c>
      <c r="BR109" s="13">
        <f t="shared" si="264"/>
        <v>3.8963181008907055E-2</v>
      </c>
      <c r="BS109">
        <v>753</v>
      </c>
      <c r="BT109" s="13">
        <f t="shared" si="265"/>
        <v>3.7190082644628086E-2</v>
      </c>
      <c r="BU109" s="1">
        <v>641860.02164497506</v>
      </c>
      <c r="BV109" s="13">
        <f t="shared" si="271"/>
        <v>5.7592752435280836E-2</v>
      </c>
      <c r="BW109">
        <v>749</v>
      </c>
      <c r="BX109" s="13">
        <f t="shared" si="272"/>
        <v>-5.312084993359889E-3</v>
      </c>
      <c r="BY109" s="1">
        <v>631590.70600891102</v>
      </c>
      <c r="BZ109" s="13">
        <f t="shared" si="273"/>
        <v>-1.5999307153833242E-2</v>
      </c>
      <c r="CA109">
        <v>705</v>
      </c>
      <c r="CB109" s="13">
        <f t="shared" si="274"/>
        <v>-5.8744993324432615E-2</v>
      </c>
      <c r="CC109" s="1">
        <v>616046.79716807965</v>
      </c>
      <c r="CD109" s="13">
        <f t="shared" si="275"/>
        <v>-2.4610730799151548E-2</v>
      </c>
      <c r="CE109">
        <v>759</v>
      </c>
      <c r="CF109" s="13">
        <f t="shared" si="276"/>
        <v>7.6595744680851174E-2</v>
      </c>
      <c r="CG109" s="1">
        <v>583381.59415728657</v>
      </c>
      <c r="CH109" s="13">
        <f t="shared" si="277"/>
        <v>-5.3023898770276134E-2</v>
      </c>
      <c r="CI109">
        <v>837</v>
      </c>
      <c r="CJ109" s="13">
        <f t="shared" si="278"/>
        <v>0.1027667984189724</v>
      </c>
      <c r="CK109" s="1">
        <v>590401.76277116232</v>
      </c>
      <c r="CL109" s="13">
        <f t="shared" si="279"/>
        <v>1.2033579194449251E-2</v>
      </c>
      <c r="CM109">
        <v>883</v>
      </c>
      <c r="CN109" s="13">
        <f t="shared" si="280"/>
        <v>5.4958183990442055E-2</v>
      </c>
      <c r="CO109" s="1">
        <v>584466.06417287665</v>
      </c>
      <c r="CP109" s="13">
        <v>-1.0053660020297617E-2</v>
      </c>
      <c r="CQ109">
        <v>870</v>
      </c>
      <c r="CR109" s="13">
        <v>-1.4722536806342057E-2</v>
      </c>
      <c r="CS109" s="1">
        <v>568383.66299498209</v>
      </c>
      <c r="CT109" s="13">
        <f t="shared" si="181"/>
        <v>-2.7516398579366608E-2</v>
      </c>
      <c r="CU109">
        <v>912</v>
      </c>
      <c r="CV109" s="13">
        <f t="shared" si="182"/>
        <v>4.8275862068965614E-2</v>
      </c>
      <c r="CW109" s="1">
        <v>561235.7048881501</v>
      </c>
      <c r="CX109" s="13">
        <f t="shared" si="183"/>
        <v>-1.2575938705147283E-2</v>
      </c>
      <c r="CY109">
        <v>921</v>
      </c>
      <c r="CZ109" s="13">
        <f t="shared" si="184"/>
        <v>9.8684210526316374E-3</v>
      </c>
      <c r="DA109" s="1">
        <v>567280.7904807193</v>
      </c>
      <c r="DB109" s="13">
        <f t="shared" si="185"/>
        <v>1.0771028179281439E-2</v>
      </c>
      <c r="DC109">
        <v>903</v>
      </c>
      <c r="DD109" s="13">
        <f t="shared" si="186"/>
        <v>-1.9543973941368087E-2</v>
      </c>
      <c r="DE109" s="1">
        <v>570843.40787107637</v>
      </c>
      <c r="DF109" s="13">
        <f t="shared" si="187"/>
        <v>6.2801657488491536E-3</v>
      </c>
      <c r="DG109" s="1">
        <v>860</v>
      </c>
      <c r="DH109" s="13">
        <f t="shared" si="188"/>
        <v>-4.7619047619047672E-2</v>
      </c>
      <c r="DI109" s="1">
        <v>577230.15368888143</v>
      </c>
      <c r="DJ109" s="13">
        <f t="shared" si="189"/>
        <v>1.1188262367124446E-2</v>
      </c>
      <c r="DK109" s="1">
        <v>811</v>
      </c>
      <c r="DL109" s="13">
        <f t="shared" si="190"/>
        <v>-5.697674418604648E-2</v>
      </c>
      <c r="DM109" s="1">
        <v>575549.58360831207</v>
      </c>
      <c r="DN109" s="13">
        <f t="shared" si="191"/>
        <v>-2.9114384787929382E-3</v>
      </c>
      <c r="DO109" s="1">
        <v>835</v>
      </c>
      <c r="DP109" s="13">
        <f t="shared" si="192"/>
        <v>2.9593094944512899E-2</v>
      </c>
      <c r="DQ109" s="1">
        <v>575504.20339319308</v>
      </c>
      <c r="DR109" s="13">
        <f t="shared" si="193"/>
        <v>-7.8846751715988539E-5</v>
      </c>
      <c r="DS109">
        <v>913</v>
      </c>
      <c r="DT109" s="13">
        <f t="shared" si="194"/>
        <v>9.3413173652694637E-2</v>
      </c>
      <c r="DU109" s="1">
        <v>571453.35816059087</v>
      </c>
      <c r="DV109" s="13">
        <f t="shared" si="195"/>
        <v>-7.0387761005363814E-3</v>
      </c>
      <c r="DW109">
        <v>904</v>
      </c>
      <c r="DX109" s="13">
        <f t="shared" si="196"/>
        <v>-9.8576122672507926E-3</v>
      </c>
      <c r="DY109" s="1">
        <v>571779.21420688007</v>
      </c>
      <c r="DZ109" s="13">
        <f t="shared" si="197"/>
        <v>5.702233465527673E-4</v>
      </c>
      <c r="EA109" s="1">
        <v>844</v>
      </c>
      <c r="EB109" s="13">
        <f t="shared" si="198"/>
        <v>-6.6371681415929196E-2</v>
      </c>
      <c r="EC109" s="1">
        <v>578738.47394348518</v>
      </c>
      <c r="ED109" s="13">
        <f t="shared" si="199"/>
        <v>1.2171235966068394E-2</v>
      </c>
      <c r="EE109" s="1">
        <f>IFERROR(VLOOKUP($A109,[1]Москва_продажа_районы!$C$2:$F$148,2,0),"")</f>
        <v>831</v>
      </c>
      <c r="EF109" s="13">
        <v>-1.5402843601895699E-2</v>
      </c>
      <c r="EG109" s="1">
        <v>585709.2973866422</v>
      </c>
      <c r="EH109" s="13">
        <f t="shared" si="200"/>
        <v>1.2044859218807824E-2</v>
      </c>
      <c r="EI109" s="1">
        <f>IFERROR(VLOOKUP($A109,[2]Москва_продажа_районы!$C$2:$F$150,2,0),"")</f>
        <v>804</v>
      </c>
      <c r="EJ109" s="13">
        <v>-3.2490974729241895E-2</v>
      </c>
      <c r="EK109" s="1">
        <v>595442.91505748278</v>
      </c>
      <c r="EL109" s="13">
        <f t="shared" si="201"/>
        <v>1.6618513167318216E-2</v>
      </c>
      <c r="EM109">
        <v>767</v>
      </c>
      <c r="EN109" s="13">
        <f t="shared" si="202"/>
        <v>-4.6019900497512478E-2</v>
      </c>
      <c r="EO109" s="1">
        <v>604808.63890630088</v>
      </c>
      <c r="EP109" s="13">
        <f t="shared" si="203"/>
        <v>1.5729003758343518E-2</v>
      </c>
      <c r="EQ109">
        <v>731</v>
      </c>
      <c r="ER109" s="13">
        <f t="shared" si="204"/>
        <v>-4.6936114732724854E-2</v>
      </c>
      <c r="ES109" s="183">
        <v>608189.94689404545</v>
      </c>
      <c r="ET109" s="13">
        <f t="shared" si="205"/>
        <v>5.5907071596383862E-3</v>
      </c>
      <c r="EU109">
        <v>706</v>
      </c>
      <c r="EV109" s="13">
        <f t="shared" si="206"/>
        <v>-3.4199726402188824E-2</v>
      </c>
      <c r="EW109" s="183">
        <v>605549.04380489187</v>
      </c>
      <c r="EX109" s="13">
        <f t="shared" si="207"/>
        <v>-4.3422340382973657E-3</v>
      </c>
      <c r="EY109">
        <v>701</v>
      </c>
      <c r="EZ109" s="13">
        <f t="shared" si="208"/>
        <v>-7.0821529745042078E-3</v>
      </c>
      <c r="FA109" s="1">
        <v>606045.02140247705</v>
      </c>
      <c r="FB109" s="13">
        <f t="shared" si="209"/>
        <v>8.1905438157203747E-4</v>
      </c>
      <c r="FC109" s="1">
        <v>636</v>
      </c>
      <c r="FD109" s="13">
        <f t="shared" si="210"/>
        <v>-9.272467902995718E-2</v>
      </c>
      <c r="FE109" s="1">
        <v>613019.94494977116</v>
      </c>
      <c r="FF109" s="13">
        <f t="shared" si="211"/>
        <v>1.1508919801293205E-2</v>
      </c>
      <c r="FG109" s="1">
        <v>606</v>
      </c>
      <c r="FH109" s="13">
        <f t="shared" si="212"/>
        <v>-4.7169811320754707E-2</v>
      </c>
      <c r="FI109" s="1">
        <v>618056.20502766618</v>
      </c>
      <c r="FJ109" s="13">
        <f t="shared" si="213"/>
        <v>8.2154913871645974E-3</v>
      </c>
      <c r="FK109" s="1">
        <v>637</v>
      </c>
      <c r="FL109" s="13">
        <f t="shared" si="214"/>
        <v>5.1155115511551053E-2</v>
      </c>
      <c r="FM109" s="1">
        <v>643602.38925717655</v>
      </c>
      <c r="FN109" s="13">
        <f t="shared" si="215"/>
        <v>4.1333108577668698E-2</v>
      </c>
      <c r="FO109" s="1">
        <v>647</v>
      </c>
      <c r="FP109" s="13">
        <f t="shared" si="216"/>
        <v>1.5698587127158659E-2</v>
      </c>
      <c r="FQ109" s="1">
        <v>668881.97669684223</v>
      </c>
      <c r="FR109" s="13">
        <f t="shared" si="217"/>
        <v>3.927826848008209E-2</v>
      </c>
      <c r="FS109">
        <v>676</v>
      </c>
      <c r="FT109" s="13">
        <f t="shared" si="218"/>
        <v>4.4822256568779029E-2</v>
      </c>
      <c r="FU109" s="1">
        <v>662603.64654273121</v>
      </c>
      <c r="FV109" s="13">
        <f t="shared" si="219"/>
        <v>-9.3863048681853689E-3</v>
      </c>
      <c r="FW109" s="1">
        <v>670</v>
      </c>
      <c r="FX109" s="13">
        <f t="shared" si="220"/>
        <v>-8.8757396449704595E-3</v>
      </c>
      <c r="FY109" s="1">
        <v>654416.82934130996</v>
      </c>
      <c r="FZ109" s="13">
        <f t="shared" si="221"/>
        <v>-1.2355526933993888E-2</v>
      </c>
      <c r="GA109" s="1">
        <v>700</v>
      </c>
      <c r="GB109" s="13">
        <f t="shared" si="222"/>
        <v>4.4776119402984982E-2</v>
      </c>
      <c r="GC109" s="1">
        <v>655475.54597762018</v>
      </c>
      <c r="GD109" s="13">
        <f t="shared" si="223"/>
        <v>1.617801665302343E-3</v>
      </c>
      <c r="GE109" s="1">
        <v>696</v>
      </c>
      <c r="GF109" s="13">
        <f t="shared" si="224"/>
        <v>-5.7142857142856718E-3</v>
      </c>
      <c r="GG109" s="1">
        <f>IFERROR(VLOOKUP(A109,[3]Москва_продажа_районы!$C$2:$F$149,3,0),"")</f>
        <v>655318.61083883059</v>
      </c>
      <c r="GH109" s="13">
        <v>-2.3942180566860483E-4</v>
      </c>
      <c r="GI109" s="1">
        <v>714</v>
      </c>
      <c r="GJ109" s="13">
        <f t="shared" si="225"/>
        <v>2.5862068965517349E-2</v>
      </c>
      <c r="GK109" s="1">
        <v>660091.88319123036</v>
      </c>
      <c r="GL109" s="13">
        <f t="shared" si="226"/>
        <v>7.2838956096330509E-3</v>
      </c>
      <c r="GM109" s="1">
        <v>743</v>
      </c>
      <c r="GN109" s="13">
        <f t="shared" si="227"/>
        <v>4.0616246498599518E-2</v>
      </c>
      <c r="GO109" s="1">
        <v>669770.08767808368</v>
      </c>
      <c r="GP109" s="13">
        <f t="shared" si="228"/>
        <v>1.4661905006411846E-2</v>
      </c>
      <c r="GQ109" s="1">
        <v>802.50000000000011</v>
      </c>
      <c r="GR109" s="13">
        <f t="shared" si="229"/>
        <v>8.0080753701211371E-2</v>
      </c>
      <c r="GS109" s="1">
        <v>693097.31243471906</v>
      </c>
      <c r="GT109" s="13">
        <f t="shared" si="281"/>
        <v>3.482870493291923E-2</v>
      </c>
      <c r="GU109">
        <v>805</v>
      </c>
      <c r="GV109" s="13">
        <f t="shared" si="282"/>
        <v>3.1152647975076775E-3</v>
      </c>
      <c r="GW109">
        <v>703124.44820097485</v>
      </c>
      <c r="GX109" s="13">
        <f t="shared" si="230"/>
        <v>1.4467139875398383E-2</v>
      </c>
      <c r="GY109">
        <v>746</v>
      </c>
      <c r="GZ109" s="13">
        <f t="shared" si="231"/>
        <v>-7.3291925465838514E-2</v>
      </c>
      <c r="HA109">
        <v>720520.26986721996</v>
      </c>
      <c r="HB109" s="13">
        <v>2.4740743563610001E-2</v>
      </c>
      <c r="HC109">
        <v>678</v>
      </c>
      <c r="HD109" s="13">
        <v>-9.1152815013404775E-2</v>
      </c>
      <c r="HE109">
        <v>718352.20501803351</v>
      </c>
      <c r="HF109" s="13">
        <v>-3.0090268655259544E-3</v>
      </c>
      <c r="HG109">
        <v>681</v>
      </c>
      <c r="HH109" s="13">
        <v>4.4247787610618428E-3</v>
      </c>
      <c r="HI109">
        <f>VLOOKUP(A109,[4]Москва_продажа_районы!$C$4:$F$151,3,0)</f>
        <v>721878.99635980977</v>
      </c>
      <c r="HJ109" s="13">
        <f t="shared" si="232"/>
        <v>4.9095573412873961E-3</v>
      </c>
      <c r="HK109">
        <f>VLOOKUP(A109,[4]Москва_продажа_районы!$C$4:$F$151,2,0)</f>
        <v>700</v>
      </c>
      <c r="HL109" s="13">
        <f t="shared" si="233"/>
        <v>2.7900146842878115E-2</v>
      </c>
      <c r="HM109" s="1">
        <f>VLOOKUP(A109,Лист3!$C$4:$F$149,3,0)</f>
        <v>729262.64212501666</v>
      </c>
      <c r="HN109" s="13">
        <f t="shared" si="234"/>
        <v>1.0228370408946752E-2</v>
      </c>
      <c r="HO109">
        <f>VLOOKUP(A109,Лист3!$C$4:$F$149,2,0)</f>
        <v>674</v>
      </c>
      <c r="HP109" s="13">
        <f t="shared" si="235"/>
        <v>-3.7142857142857144E-2</v>
      </c>
      <c r="HQ109" s="1">
        <v>803746.6752742239</v>
      </c>
      <c r="HR109" s="13">
        <v>0.10213608766817717</v>
      </c>
      <c r="HS109">
        <v>703</v>
      </c>
      <c r="HT109" s="13">
        <v>4.3026706231453993E-2</v>
      </c>
      <c r="HU109" s="34">
        <v>811547.51290252956</v>
      </c>
      <c r="HV109" s="13">
        <v>9.7055924065181376E-3</v>
      </c>
      <c r="HW109">
        <v>635</v>
      </c>
      <c r="HX109" s="13">
        <v>-9.6728307254623003E-2</v>
      </c>
      <c r="HY109">
        <v>780404.69272463676</v>
      </c>
      <c r="HZ109" s="13">
        <v>-3.8374611076693932E-2</v>
      </c>
      <c r="IA109">
        <v>628</v>
      </c>
      <c r="IB109" s="13">
        <v>-1.1023622047244053E-2</v>
      </c>
      <c r="IC109" s="34">
        <v>758397.99621175532</v>
      </c>
      <c r="ID109" s="13">
        <v>-2.8199082755447247E-2</v>
      </c>
      <c r="IE109">
        <v>610</v>
      </c>
      <c r="IF109" s="13">
        <v>-2.8662420382165599E-2</v>
      </c>
    </row>
    <row r="110" spans="1:240" x14ac:dyDescent="0.3">
      <c r="A110" s="23" t="s">
        <v>116</v>
      </c>
      <c r="B110" s="22">
        <v>568370.36368187412</v>
      </c>
      <c r="C110">
        <v>1302</v>
      </c>
      <c r="D110" s="22">
        <v>610851.82730634673</v>
      </c>
      <c r="E110">
        <v>1292</v>
      </c>
      <c r="F110" s="22">
        <v>710077.11270538007</v>
      </c>
      <c r="G110">
        <v>1208</v>
      </c>
      <c r="H110" s="22">
        <v>621690.59737212327</v>
      </c>
      <c r="I110">
        <v>1121</v>
      </c>
      <c r="J110" s="22">
        <v>606811.29428252205</v>
      </c>
      <c r="K110">
        <v>1202</v>
      </c>
      <c r="L110" s="22">
        <v>610763.00081694755</v>
      </c>
      <c r="M110">
        <v>1152</v>
      </c>
      <c r="N110" s="22">
        <v>612278.04244641715</v>
      </c>
      <c r="O110" s="28">
        <v>1129</v>
      </c>
      <c r="P110" s="39">
        <v>609670.15784037637</v>
      </c>
      <c r="Q110" s="28">
        <v>1114</v>
      </c>
      <c r="R110" s="39">
        <v>623010.74613064073</v>
      </c>
      <c r="S110">
        <v>1055</v>
      </c>
      <c r="T110" s="46">
        <v>634861.05283105548</v>
      </c>
      <c r="U110" s="47">
        <v>995</v>
      </c>
      <c r="V110" s="56">
        <v>635710.98246964323</v>
      </c>
      <c r="W110" s="47">
        <v>964</v>
      </c>
      <c r="X110" s="56">
        <v>643543.01734738564</v>
      </c>
      <c r="Y110" s="47">
        <v>917</v>
      </c>
      <c r="Z110" s="34">
        <v>618981.81636903959</v>
      </c>
      <c r="AA110" s="81">
        <v>965</v>
      </c>
      <c r="AB110" s="1">
        <v>637282.108631204</v>
      </c>
      <c r="AC110">
        <v>1095</v>
      </c>
      <c r="AD110" s="1">
        <v>653081.97366587154</v>
      </c>
      <c r="AE110">
        <v>925</v>
      </c>
      <c r="AF110" s="13">
        <f t="shared" si="180"/>
        <v>1.4822562068662393E-2</v>
      </c>
      <c r="AG110" s="85">
        <f t="shared" si="283"/>
        <v>0.16188309415470772</v>
      </c>
      <c r="AH110">
        <f t="shared" si="284"/>
        <v>150</v>
      </c>
      <c r="AI110" s="90">
        <f t="shared" si="285"/>
        <v>1075</v>
      </c>
      <c r="AL110" s="1">
        <v>653688.52028804121</v>
      </c>
      <c r="AM110">
        <v>904</v>
      </c>
      <c r="AN110" s="13">
        <f t="shared" si="286"/>
        <v>0.15988680580120268</v>
      </c>
      <c r="AQ110">
        <f t="shared" si="287"/>
        <v>123</v>
      </c>
      <c r="AR110" s="90">
        <f t="shared" si="288"/>
        <v>1027</v>
      </c>
      <c r="AS110">
        <v>920</v>
      </c>
      <c r="AT110" s="1">
        <v>669977.71277903498</v>
      </c>
      <c r="AU110" s="13">
        <f t="shared" si="289"/>
        <v>2.4918890244265191E-2</v>
      </c>
      <c r="AV110" s="35">
        <v>944</v>
      </c>
      <c r="AW110" s="1">
        <v>675346.53106291627</v>
      </c>
      <c r="AX110" s="35">
        <v>1058.1360201511334</v>
      </c>
      <c r="AY110" s="121">
        <v>680248.66615482199</v>
      </c>
      <c r="AZ110" s="122">
        <v>880</v>
      </c>
      <c r="BA110" s="119">
        <v>673685.24633893219</v>
      </c>
      <c r="BB110">
        <v>893</v>
      </c>
      <c r="BC110" s="13">
        <f t="shared" si="290"/>
        <v>-9.6485596259824336E-3</v>
      </c>
      <c r="BD110">
        <v>885</v>
      </c>
      <c r="BE110" s="1">
        <v>675280.16892351583</v>
      </c>
      <c r="BF110" s="13">
        <f t="shared" si="266"/>
        <v>2.3674595714409108E-3</v>
      </c>
      <c r="BG110">
        <v>840</v>
      </c>
      <c r="BH110" s="1">
        <v>694315.15275132773</v>
      </c>
      <c r="BI110" s="13">
        <f t="shared" si="267"/>
        <v>2.8188276072368845E-2</v>
      </c>
      <c r="BJ110">
        <v>787</v>
      </c>
      <c r="BK110" s="1">
        <v>711960.29781465651</v>
      </c>
      <c r="BL110" s="13">
        <f t="shared" si="268"/>
        <v>2.5413740422353337E-2</v>
      </c>
      <c r="BM110" s="1">
        <v>711138.89456270612</v>
      </c>
      <c r="BN110" s="109">
        <f t="shared" si="269"/>
        <v>-1.153720585925444E-3</v>
      </c>
      <c r="BO110">
        <v>751</v>
      </c>
      <c r="BP110" s="13">
        <f t="shared" si="270"/>
        <v>-4.5743329097839847E-2</v>
      </c>
      <c r="BQ110" s="1">
        <v>749625.18814580934</v>
      </c>
      <c r="BR110" s="13">
        <f t="shared" si="264"/>
        <v>5.4119235886780137E-2</v>
      </c>
      <c r="BS110">
        <v>808</v>
      </c>
      <c r="BT110" s="13">
        <f t="shared" si="265"/>
        <v>7.5898801597869436E-2</v>
      </c>
      <c r="BU110" s="1">
        <v>783039.74538097053</v>
      </c>
      <c r="BV110" s="13">
        <f t="shared" si="271"/>
        <v>4.4575019307731445E-2</v>
      </c>
      <c r="BW110">
        <v>777</v>
      </c>
      <c r="BX110" s="13">
        <f t="shared" si="272"/>
        <v>-3.83663366336634E-2</v>
      </c>
      <c r="BY110" s="1">
        <v>766152.41235395684</v>
      </c>
      <c r="BZ110" s="13">
        <f t="shared" si="273"/>
        <v>-2.1566380412526232E-2</v>
      </c>
      <c r="CA110">
        <v>743</v>
      </c>
      <c r="CB110" s="13">
        <f t="shared" si="274"/>
        <v>-4.3758043758043708E-2</v>
      </c>
      <c r="CC110" s="1">
        <v>735657.72210517304</v>
      </c>
      <c r="CD110" s="13">
        <f t="shared" si="275"/>
        <v>-3.9802381036810552E-2</v>
      </c>
      <c r="CE110">
        <v>764</v>
      </c>
      <c r="CF110" s="13">
        <f t="shared" si="276"/>
        <v>2.826379542395685E-2</v>
      </c>
      <c r="CG110" s="1">
        <v>695795.89814442012</v>
      </c>
      <c r="CH110" s="13">
        <f t="shared" si="277"/>
        <v>-5.4185285850984477E-2</v>
      </c>
      <c r="CI110">
        <v>816</v>
      </c>
      <c r="CJ110" s="13">
        <f t="shared" si="278"/>
        <v>6.8062827225130906E-2</v>
      </c>
      <c r="CK110" s="1">
        <v>711942.53817727324</v>
      </c>
      <c r="CL110" s="13">
        <f t="shared" si="279"/>
        <v>2.3206000604363508E-2</v>
      </c>
      <c r="CM110">
        <v>850</v>
      </c>
      <c r="CN110" s="13">
        <f t="shared" si="280"/>
        <v>4.1666666666666741E-2</v>
      </c>
      <c r="CO110" s="1">
        <v>704251.83291964163</v>
      </c>
      <c r="CP110" s="13">
        <v>-1.0802424135691435E-2</v>
      </c>
      <c r="CQ110">
        <v>870</v>
      </c>
      <c r="CR110" s="13">
        <v>2.3529411764705799E-2</v>
      </c>
      <c r="CS110" s="1">
        <v>690905.22893328429</v>
      </c>
      <c r="CT110" s="13">
        <f t="shared" si="181"/>
        <v>-1.8951465033503534E-2</v>
      </c>
      <c r="CU110">
        <v>915</v>
      </c>
      <c r="CV110" s="13">
        <f t="shared" si="182"/>
        <v>5.1724137931034475E-2</v>
      </c>
      <c r="CW110" s="1">
        <v>676314.57546048588</v>
      </c>
      <c r="CX110" s="13">
        <f t="shared" si="183"/>
        <v>-2.1118169123318875E-2</v>
      </c>
      <c r="CY110">
        <v>963</v>
      </c>
      <c r="CZ110" s="13">
        <f t="shared" si="184"/>
        <v>5.2459016393442637E-2</v>
      </c>
      <c r="DA110" s="1">
        <v>663381.10688412096</v>
      </c>
      <c r="DB110" s="13">
        <f t="shared" si="185"/>
        <v>-1.912345089939671E-2</v>
      </c>
      <c r="DC110">
        <v>994</v>
      </c>
      <c r="DD110" s="13">
        <f t="shared" si="186"/>
        <v>3.2191069574247111E-2</v>
      </c>
      <c r="DE110" s="1">
        <v>658209.48356878792</v>
      </c>
      <c r="DF110" s="13">
        <f t="shared" si="187"/>
        <v>-7.7958555974317889E-3</v>
      </c>
      <c r="DG110" s="1">
        <v>985</v>
      </c>
      <c r="DH110" s="13">
        <f t="shared" si="188"/>
        <v>-9.0543259557344102E-3</v>
      </c>
      <c r="DI110" s="1">
        <v>660260.45852307219</v>
      </c>
      <c r="DJ110" s="13">
        <f t="shared" si="189"/>
        <v>3.1159911935088047E-3</v>
      </c>
      <c r="DK110" s="1">
        <v>898</v>
      </c>
      <c r="DL110" s="13">
        <f t="shared" si="190"/>
        <v>-8.8324873096446654E-2</v>
      </c>
      <c r="DM110" s="1">
        <v>680925.30323179986</v>
      </c>
      <c r="DN110" s="13">
        <f t="shared" si="191"/>
        <v>3.1298019504231167E-2</v>
      </c>
      <c r="DO110" s="1">
        <v>902</v>
      </c>
      <c r="DP110" s="13">
        <f t="shared" si="192"/>
        <v>4.4543429844097204E-3</v>
      </c>
      <c r="DQ110" s="1">
        <v>684762.46068060363</v>
      </c>
      <c r="DR110" s="13">
        <f t="shared" si="193"/>
        <v>5.6352105445220957E-3</v>
      </c>
      <c r="DS110">
        <v>917</v>
      </c>
      <c r="DT110" s="13">
        <f t="shared" si="194"/>
        <v>1.6629711751662946E-2</v>
      </c>
      <c r="DU110" s="1">
        <v>703193.88086844457</v>
      </c>
      <c r="DV110" s="13">
        <f t="shared" si="195"/>
        <v>2.6916516669914126E-2</v>
      </c>
      <c r="DW110">
        <v>906</v>
      </c>
      <c r="DX110" s="13">
        <f t="shared" si="196"/>
        <v>-1.199563794983638E-2</v>
      </c>
      <c r="DY110" s="1">
        <v>699681.3944712854</v>
      </c>
      <c r="DZ110" s="13">
        <f t="shared" si="197"/>
        <v>-4.9950468750115107E-3</v>
      </c>
      <c r="EA110" s="1">
        <v>885</v>
      </c>
      <c r="EB110" s="13">
        <f t="shared" si="198"/>
        <v>-2.3178807947019875E-2</v>
      </c>
      <c r="EC110" s="1">
        <v>724930.49633673369</v>
      </c>
      <c r="ED110" s="13">
        <f t="shared" si="199"/>
        <v>3.6086570351820946E-2</v>
      </c>
      <c r="EE110" s="1">
        <f>IFERROR(VLOOKUP($A110,[1]Москва_продажа_районы!$C$2:$F$148,2,0),"")</f>
        <v>841</v>
      </c>
      <c r="EF110" s="13">
        <v>-4.9717514124293816E-2</v>
      </c>
      <c r="EG110" s="1">
        <v>718147.2154589264</v>
      </c>
      <c r="EH110" s="13">
        <f t="shared" si="200"/>
        <v>-9.3571465293362799E-3</v>
      </c>
      <c r="EI110" s="1">
        <f>IFERROR(VLOOKUP($A110,[2]Москва_продажа_районы!$C$2:$F$150,2,0),"")</f>
        <v>777</v>
      </c>
      <c r="EJ110" s="13">
        <v>-7.6099881093935839E-2</v>
      </c>
      <c r="EK110" s="1">
        <v>731341.52492414904</v>
      </c>
      <c r="EL110" s="13">
        <f t="shared" si="201"/>
        <v>1.8372708521595893E-2</v>
      </c>
      <c r="EM110">
        <v>740</v>
      </c>
      <c r="EN110" s="13">
        <f t="shared" si="202"/>
        <v>-4.7619047619047672E-2</v>
      </c>
      <c r="EO110" s="1">
        <v>757460.54466699844</v>
      </c>
      <c r="EP110" s="13">
        <f t="shared" si="203"/>
        <v>3.5713847570132629E-2</v>
      </c>
      <c r="EQ110">
        <v>727</v>
      </c>
      <c r="ER110" s="13">
        <f t="shared" si="204"/>
        <v>-1.756756756756761E-2</v>
      </c>
      <c r="ES110" s="183">
        <v>775777.83838398673</v>
      </c>
      <c r="ET110" s="13">
        <f t="shared" si="205"/>
        <v>2.4182505406985966E-2</v>
      </c>
      <c r="EU110">
        <v>701</v>
      </c>
      <c r="EV110" s="13">
        <f t="shared" si="206"/>
        <v>-3.5763411279229662E-2</v>
      </c>
      <c r="EW110" s="183">
        <v>776921.40160693147</v>
      </c>
      <c r="EX110" s="13">
        <f t="shared" si="207"/>
        <v>1.4740859642585757E-3</v>
      </c>
      <c r="EY110">
        <v>700</v>
      </c>
      <c r="EZ110" s="13">
        <f t="shared" si="208"/>
        <v>-1.4265335235378318E-3</v>
      </c>
      <c r="FA110" s="1">
        <v>792557.81850363081</v>
      </c>
      <c r="FB110" s="13">
        <f t="shared" si="209"/>
        <v>2.0126124553086155E-2</v>
      </c>
      <c r="FC110" s="1">
        <v>623</v>
      </c>
      <c r="FD110" s="13">
        <f t="shared" si="210"/>
        <v>-0.10999999999999999</v>
      </c>
      <c r="FE110" s="1">
        <v>791160.3529672299</v>
      </c>
      <c r="FF110" s="13">
        <f t="shared" si="211"/>
        <v>-1.7632348123690633E-3</v>
      </c>
      <c r="FG110" s="1">
        <v>619</v>
      </c>
      <c r="FH110" s="13">
        <f t="shared" si="212"/>
        <v>-6.4205457463883953E-3</v>
      </c>
      <c r="FI110" s="1">
        <v>790701.09805538505</v>
      </c>
      <c r="FJ110" s="13">
        <f t="shared" si="213"/>
        <v>-5.8048271772270787E-4</v>
      </c>
      <c r="FK110" s="1">
        <v>681</v>
      </c>
      <c r="FL110" s="13">
        <f t="shared" si="214"/>
        <v>0.10016155088852985</v>
      </c>
      <c r="FM110" s="1">
        <v>802969.6200882392</v>
      </c>
      <c r="FN110" s="13">
        <f t="shared" si="215"/>
        <v>1.5516004800077754E-2</v>
      </c>
      <c r="FO110" s="1">
        <v>712</v>
      </c>
      <c r="FP110" s="13">
        <f t="shared" si="216"/>
        <v>4.5521292217327369E-2</v>
      </c>
      <c r="FQ110" s="1">
        <v>797712.50311580068</v>
      </c>
      <c r="FR110" s="13">
        <f t="shared" si="217"/>
        <v>-6.5470932410379712E-3</v>
      </c>
      <c r="FS110">
        <v>693</v>
      </c>
      <c r="FT110" s="13">
        <f t="shared" si="218"/>
        <v>-2.6685393258427004E-2</v>
      </c>
      <c r="FU110" s="1">
        <v>778261.23766249535</v>
      </c>
      <c r="FV110" s="13">
        <f t="shared" si="219"/>
        <v>-2.4383804161687617E-2</v>
      </c>
      <c r="FW110" s="1">
        <v>667</v>
      </c>
      <c r="FX110" s="13">
        <f t="shared" si="220"/>
        <v>-3.7518037518037506E-2</v>
      </c>
      <c r="FY110" s="1">
        <v>765543.15853028244</v>
      </c>
      <c r="FZ110" s="13">
        <f t="shared" si="221"/>
        <v>-1.6341658194890418E-2</v>
      </c>
      <c r="GA110" s="1">
        <v>676</v>
      </c>
      <c r="GB110" s="13">
        <f t="shared" si="222"/>
        <v>1.3493253373313419E-2</v>
      </c>
      <c r="GC110" s="1">
        <v>777553.91036308638</v>
      </c>
      <c r="GD110" s="13">
        <f t="shared" si="223"/>
        <v>1.5689189693580019E-2</v>
      </c>
      <c r="GE110" s="1">
        <v>668</v>
      </c>
      <c r="GF110" s="13">
        <f t="shared" si="224"/>
        <v>-1.1834319526627168E-2</v>
      </c>
      <c r="GG110" s="1">
        <f>IFERROR(VLOOKUP(A110,[3]Москва_продажа_районы!$C$2:$F$149,3,0),"")</f>
        <v>785626.79102429841</v>
      </c>
      <c r="GH110" s="13">
        <v>1.0382406356161722E-2</v>
      </c>
      <c r="GI110" s="1">
        <v>645</v>
      </c>
      <c r="GJ110" s="13">
        <f t="shared" si="225"/>
        <v>-3.4431137724550864E-2</v>
      </c>
      <c r="GK110" s="1">
        <v>801962.55512224836</v>
      </c>
      <c r="GL110" s="13">
        <f t="shared" si="226"/>
        <v>2.0793287963934315E-2</v>
      </c>
      <c r="GM110" s="1">
        <v>681</v>
      </c>
      <c r="GN110" s="13">
        <f t="shared" si="227"/>
        <v>5.5813953488372148E-2</v>
      </c>
      <c r="GO110" s="1">
        <v>802078.55900050793</v>
      </c>
      <c r="GP110" s="13">
        <f t="shared" si="228"/>
        <v>1.4464999334284911E-4</v>
      </c>
      <c r="GQ110" s="1">
        <v>730.81000000000017</v>
      </c>
      <c r="GR110" s="13">
        <f t="shared" si="229"/>
        <v>7.3142437591777076E-2</v>
      </c>
      <c r="GS110" s="1">
        <v>838136.96872190025</v>
      </c>
      <c r="GT110" s="13">
        <f t="shared" si="281"/>
        <v>4.4956206990903302E-2</v>
      </c>
      <c r="GU110">
        <v>805</v>
      </c>
      <c r="GV110" s="13">
        <f t="shared" si="282"/>
        <v>0.10151749428716061</v>
      </c>
      <c r="GW110">
        <v>831606.42178341805</v>
      </c>
      <c r="GX110" s="13">
        <f t="shared" si="230"/>
        <v>-7.7917419016140244E-3</v>
      </c>
      <c r="GY110">
        <v>755</v>
      </c>
      <c r="GZ110" s="13">
        <f t="shared" si="231"/>
        <v>-6.2111801242236031E-2</v>
      </c>
      <c r="HA110">
        <v>818254.50355670822</v>
      </c>
      <c r="HB110" s="13">
        <v>-1.6055573738928075E-2</v>
      </c>
      <c r="HC110">
        <v>704</v>
      </c>
      <c r="HD110" s="13">
        <v>-6.7549668874172131E-2</v>
      </c>
      <c r="HE110">
        <v>805746.59623048326</v>
      </c>
      <c r="HF110" s="13">
        <v>-1.528608430733569E-2</v>
      </c>
      <c r="HG110">
        <v>685</v>
      </c>
      <c r="HH110" s="13">
        <v>-2.6988636363636354E-2</v>
      </c>
      <c r="HI110">
        <f>VLOOKUP(A110,[4]Москва_продажа_районы!$C$4:$F$151,3,0)</f>
        <v>807172.24219542567</v>
      </c>
      <c r="HJ110" s="13">
        <f t="shared" si="232"/>
        <v>1.7693477969524807E-3</v>
      </c>
      <c r="HK110">
        <f>VLOOKUP(A110,[4]Москва_продажа_районы!$C$4:$F$151,2,0)</f>
        <v>680</v>
      </c>
      <c r="HL110" s="13">
        <f t="shared" si="233"/>
        <v>-7.2992700729926918E-3</v>
      </c>
      <c r="HM110" s="1">
        <f>VLOOKUP(A110,Лист3!$C$4:$F$149,3,0)</f>
        <v>814464.40604526026</v>
      </c>
      <c r="HN110" s="13">
        <f t="shared" si="234"/>
        <v>9.034210381170471E-3</v>
      </c>
      <c r="HO110">
        <f>VLOOKUP(A110,Лист3!$C$4:$F$149,2,0)</f>
        <v>639</v>
      </c>
      <c r="HP110" s="13">
        <f t="shared" si="235"/>
        <v>-6.0294117647058831E-2</v>
      </c>
      <c r="HQ110" s="1">
        <v>827282.53281359642</v>
      </c>
      <c r="HR110" s="13">
        <v>1.5738105524557344E-2</v>
      </c>
      <c r="HS110">
        <v>614</v>
      </c>
      <c r="HT110" s="13">
        <v>-3.9123630672926457E-2</v>
      </c>
      <c r="HU110" s="34">
        <v>865582.92248991306</v>
      </c>
      <c r="HV110" s="13">
        <v>4.6296625586976559E-2</v>
      </c>
      <c r="HW110">
        <v>599</v>
      </c>
      <c r="HX110" s="13">
        <v>-2.4429967426710109E-2</v>
      </c>
      <c r="HY110">
        <v>888052.31573481625</v>
      </c>
      <c r="HZ110" s="13">
        <v>2.595868363514886E-2</v>
      </c>
      <c r="IA110">
        <v>583</v>
      </c>
      <c r="IB110" s="13">
        <v>-2.6711185308848084E-2</v>
      </c>
      <c r="IC110" s="34">
        <v>868473.5286948164</v>
      </c>
      <c r="ID110" s="13">
        <v>-2.2046884730883676E-2</v>
      </c>
      <c r="IE110">
        <v>567</v>
      </c>
      <c r="IF110" s="13">
        <v>-2.7444253859348233E-2</v>
      </c>
    </row>
    <row r="111" spans="1:240" ht="15" thickBot="1" x14ac:dyDescent="0.35">
      <c r="A111" s="29" t="s">
        <v>117</v>
      </c>
      <c r="B111" s="30">
        <v>495667.18110530626</v>
      </c>
      <c r="C111" s="31">
        <v>326</v>
      </c>
      <c r="D111" s="30">
        <v>514568.24198829272</v>
      </c>
      <c r="E111" s="31">
        <v>328</v>
      </c>
      <c r="F111" s="30">
        <v>566373.5223186044</v>
      </c>
      <c r="G111" s="31">
        <v>308</v>
      </c>
      <c r="H111" s="30">
        <v>542573.73174532666</v>
      </c>
      <c r="I111" s="31">
        <v>289</v>
      </c>
      <c r="J111" s="30">
        <v>525339.273185867</v>
      </c>
      <c r="K111" s="31">
        <v>314</v>
      </c>
      <c r="L111" s="30">
        <v>499836.36346936709</v>
      </c>
      <c r="M111" s="31">
        <v>310</v>
      </c>
      <c r="N111" s="30">
        <v>508472.70602534548</v>
      </c>
      <c r="O111" s="32">
        <v>308</v>
      </c>
      <c r="P111" s="37">
        <v>499922.66005450656</v>
      </c>
      <c r="Q111" s="32">
        <v>299</v>
      </c>
      <c r="R111" s="37">
        <v>507740.12287262728</v>
      </c>
      <c r="S111" s="31">
        <v>290</v>
      </c>
      <c r="T111" s="48">
        <v>478139.61909325514</v>
      </c>
      <c r="U111" s="49">
        <v>263</v>
      </c>
      <c r="V111" s="57">
        <v>496180.36980160221</v>
      </c>
      <c r="W111" s="49">
        <v>249</v>
      </c>
      <c r="X111" s="57">
        <v>509364.18566792383</v>
      </c>
      <c r="Y111" s="49">
        <v>249</v>
      </c>
      <c r="Z111" s="34">
        <v>494782.49319978198</v>
      </c>
      <c r="AA111" s="81">
        <v>258</v>
      </c>
      <c r="AB111" s="1">
        <v>512818.56561294902</v>
      </c>
      <c r="AC111">
        <v>284</v>
      </c>
      <c r="AD111" s="1">
        <v>530609.05812316877</v>
      </c>
      <c r="AE111">
        <v>218</v>
      </c>
      <c r="AF111" s="13">
        <f t="shared" si="180"/>
        <v>4.1708610563946147E-2</v>
      </c>
      <c r="AG111" s="85">
        <f t="shared" si="283"/>
        <v>3.8151907595379772E-2</v>
      </c>
      <c r="AH111">
        <f t="shared" si="284"/>
        <v>9</v>
      </c>
      <c r="AI111" s="91">
        <f t="shared" si="285"/>
        <v>227</v>
      </c>
      <c r="AL111" s="1">
        <v>537581.88690860081</v>
      </c>
      <c r="AM111">
        <v>214</v>
      </c>
      <c r="AN111" s="13">
        <f t="shared" si="286"/>
        <v>3.7849310222851082E-2</v>
      </c>
      <c r="AQ111">
        <f t="shared" si="287"/>
        <v>29</v>
      </c>
      <c r="AR111" s="91">
        <f t="shared" si="288"/>
        <v>243</v>
      </c>
      <c r="AS111">
        <v>222</v>
      </c>
      <c r="AT111" s="1">
        <v>533427.46184634499</v>
      </c>
      <c r="AU111" s="13">
        <f t="shared" si="289"/>
        <v>-7.7279855654105445E-3</v>
      </c>
      <c r="AV111" s="35">
        <v>218</v>
      </c>
      <c r="AW111" s="1">
        <v>546922.1629199516</v>
      </c>
      <c r="AX111" s="35">
        <v>244.35768261964736</v>
      </c>
      <c r="AY111" s="123">
        <v>554306.69781703455</v>
      </c>
      <c r="AZ111" s="124">
        <v>208</v>
      </c>
      <c r="BA111" s="119">
        <v>565831.53764634801</v>
      </c>
      <c r="BB111">
        <v>201</v>
      </c>
      <c r="BC111" s="13">
        <f t="shared" si="290"/>
        <v>2.0791449705912735E-2</v>
      </c>
      <c r="BD111">
        <v>196</v>
      </c>
      <c r="BE111" s="1">
        <v>577365.00796472386</v>
      </c>
      <c r="BF111" s="13">
        <f t="shared" si="266"/>
        <v>2.0383222834045034E-2</v>
      </c>
      <c r="BG111">
        <v>199</v>
      </c>
      <c r="BH111" s="1">
        <v>594637.80377854675</v>
      </c>
      <c r="BI111" s="13">
        <f t="shared" si="267"/>
        <v>2.9916596218242386E-2</v>
      </c>
      <c r="BJ111">
        <v>196</v>
      </c>
      <c r="BK111" s="1">
        <v>592003.86710304255</v>
      </c>
      <c r="BL111" s="13">
        <f t="shared" si="268"/>
        <v>-4.4294807002972503E-3</v>
      </c>
      <c r="BM111" s="1">
        <v>628366.51314099459</v>
      </c>
      <c r="BN111" s="109">
        <f t="shared" si="269"/>
        <v>6.1422987346166913E-2</v>
      </c>
      <c r="BO111">
        <v>193</v>
      </c>
      <c r="BP111" s="13">
        <f t="shared" si="270"/>
        <v>-1.5306122448979553E-2</v>
      </c>
      <c r="BQ111" s="1">
        <v>655850.24107015168</v>
      </c>
      <c r="BR111" s="13">
        <f t="shared" si="264"/>
        <v>4.3738371403299503E-2</v>
      </c>
      <c r="BS111">
        <v>203</v>
      </c>
      <c r="BT111" s="13">
        <f t="shared" si="265"/>
        <v>5.1813471502590636E-2</v>
      </c>
      <c r="BU111" s="1">
        <v>699153.56265766663</v>
      </c>
      <c r="BV111" s="13">
        <f t="shared" si="271"/>
        <v>6.6026234155005969E-2</v>
      </c>
      <c r="BW111">
        <v>205</v>
      </c>
      <c r="BX111" s="13">
        <f t="shared" si="272"/>
        <v>9.8522167487684609E-3</v>
      </c>
      <c r="BY111" s="1">
        <v>675947.09998807881</v>
      </c>
      <c r="BZ111" s="13">
        <f t="shared" si="273"/>
        <v>-3.3192225440966006E-2</v>
      </c>
      <c r="CA111">
        <v>179</v>
      </c>
      <c r="CB111" s="13">
        <f t="shared" si="274"/>
        <v>-0.12682926829268293</v>
      </c>
      <c r="CC111" s="1">
        <v>648836.5931428069</v>
      </c>
      <c r="CD111" s="13">
        <f t="shared" si="275"/>
        <v>-4.0107438652743799E-2</v>
      </c>
      <c r="CE111">
        <v>216</v>
      </c>
      <c r="CF111" s="13">
        <f t="shared" si="276"/>
        <v>0.2067039106145252</v>
      </c>
      <c r="CG111" s="1">
        <v>613726.86568791058</v>
      </c>
      <c r="CH111" s="13">
        <f t="shared" si="277"/>
        <v>-5.4111817714893817E-2</v>
      </c>
      <c r="CI111">
        <v>223</v>
      </c>
      <c r="CJ111" s="13">
        <f t="shared" si="278"/>
        <v>3.240740740740744E-2</v>
      </c>
      <c r="CK111" s="1">
        <v>627317.29458240618</v>
      </c>
      <c r="CL111" s="13">
        <f t="shared" si="279"/>
        <v>2.2144099687183116E-2</v>
      </c>
      <c r="CM111">
        <v>219</v>
      </c>
      <c r="CN111" s="13">
        <f t="shared" si="280"/>
        <v>-1.7937219730941756E-2</v>
      </c>
      <c r="CO111" s="1">
        <v>637496.28161530918</v>
      </c>
      <c r="CP111" s="13">
        <v>1.6226217770193951E-2</v>
      </c>
      <c r="CQ111">
        <v>216</v>
      </c>
      <c r="CR111" s="13">
        <v>-1.3698630136986356E-2</v>
      </c>
      <c r="CS111" s="1">
        <v>625234.92778616981</v>
      </c>
      <c r="CT111" s="13">
        <f t="shared" si="181"/>
        <v>-1.9233608387599022E-2</v>
      </c>
      <c r="CU111">
        <v>215</v>
      </c>
      <c r="CV111" s="13">
        <f t="shared" si="182"/>
        <v>-4.6296296296296502E-3</v>
      </c>
      <c r="CW111" s="1">
        <v>596018.0867236529</v>
      </c>
      <c r="CX111" s="13">
        <f t="shared" si="183"/>
        <v>-4.6729380852038815E-2</v>
      </c>
      <c r="CY111">
        <v>221</v>
      </c>
      <c r="CZ111" s="13">
        <f t="shared" si="184"/>
        <v>2.7906976744185963E-2</v>
      </c>
      <c r="DA111" s="1">
        <v>593256.70994022314</v>
      </c>
      <c r="DB111" s="13">
        <f t="shared" si="185"/>
        <v>-4.6330419242966991E-3</v>
      </c>
      <c r="DC111">
        <v>239</v>
      </c>
      <c r="DD111" s="13">
        <f t="shared" si="186"/>
        <v>8.144796380090491E-2</v>
      </c>
      <c r="DE111" s="1">
        <v>624663.06827674049</v>
      </c>
      <c r="DF111" s="13">
        <f t="shared" si="187"/>
        <v>5.2938901170931363E-2</v>
      </c>
      <c r="DG111" s="1">
        <v>222</v>
      </c>
      <c r="DH111" s="13">
        <f t="shared" si="188"/>
        <v>-7.112970711297073E-2</v>
      </c>
      <c r="DI111" s="1">
        <v>632674.69387130905</v>
      </c>
      <c r="DJ111" s="13">
        <f t="shared" si="189"/>
        <v>1.2825515067939275E-2</v>
      </c>
      <c r="DK111" s="1">
        <v>219</v>
      </c>
      <c r="DL111" s="13">
        <f t="shared" si="190"/>
        <v>-1.3513513513513487E-2</v>
      </c>
      <c r="DM111" s="1">
        <v>631999.97263931681</v>
      </c>
      <c r="DN111" s="13">
        <f t="shared" si="191"/>
        <v>-1.0664583845825248E-3</v>
      </c>
      <c r="DO111" s="1">
        <v>211</v>
      </c>
      <c r="DP111" s="13">
        <f t="shared" si="192"/>
        <v>-3.6529680365296802E-2</v>
      </c>
      <c r="DQ111" s="1">
        <v>645940.26889000216</v>
      </c>
      <c r="DR111" s="13">
        <f t="shared" si="193"/>
        <v>2.2057431731316024E-2</v>
      </c>
      <c r="DS111">
        <v>214</v>
      </c>
      <c r="DT111" s="13">
        <f t="shared" si="194"/>
        <v>1.4218009478673022E-2</v>
      </c>
      <c r="DU111" s="1">
        <v>673445.12109451927</v>
      </c>
      <c r="DV111" s="13">
        <f t="shared" si="195"/>
        <v>4.2581107772986515E-2</v>
      </c>
      <c r="DW111">
        <v>188</v>
      </c>
      <c r="DX111" s="13">
        <f t="shared" si="196"/>
        <v>-0.12149532710280375</v>
      </c>
      <c r="DY111" s="1">
        <v>708093.74196592765</v>
      </c>
      <c r="DZ111" s="13">
        <f t="shared" si="197"/>
        <v>5.1449806058577741E-2</v>
      </c>
      <c r="EA111" s="1">
        <v>182</v>
      </c>
      <c r="EB111" s="13">
        <f t="shared" si="198"/>
        <v>-3.1914893617021267E-2</v>
      </c>
      <c r="EC111" s="1">
        <v>718380.49768874166</v>
      </c>
      <c r="ED111" s="13">
        <f t="shared" si="199"/>
        <v>1.4527392509153136E-2</v>
      </c>
      <c r="EE111" s="1">
        <f>IFERROR(VLOOKUP($A111,[1]Москва_продажа_районы!$C$2:$F$148,2,0),"")</f>
        <v>174</v>
      </c>
      <c r="EF111" s="13">
        <v>-4.3956043956043911E-2</v>
      </c>
      <c r="EG111" s="1">
        <v>719128.1847120513</v>
      </c>
      <c r="EH111" s="13">
        <f t="shared" si="200"/>
        <v>1.0407952689628353E-3</v>
      </c>
      <c r="EI111" s="1">
        <f>IFERROR(VLOOKUP($A111,[2]Москва_продажа_районы!$C$2:$F$150,2,0),"")</f>
        <v>167</v>
      </c>
      <c r="EJ111" s="13">
        <v>-4.0229885057471271E-2</v>
      </c>
      <c r="EK111" s="1">
        <v>718572.91492750286</v>
      </c>
      <c r="EL111" s="13">
        <f t="shared" si="201"/>
        <v>-7.7214298695682526E-4</v>
      </c>
      <c r="EM111">
        <v>171</v>
      </c>
      <c r="EN111" s="13">
        <f t="shared" si="202"/>
        <v>2.39520958083832E-2</v>
      </c>
      <c r="EO111" s="1">
        <v>733807.20946605958</v>
      </c>
      <c r="EP111" s="13">
        <f t="shared" si="203"/>
        <v>2.120076365540946E-2</v>
      </c>
      <c r="EQ111">
        <v>161</v>
      </c>
      <c r="ER111" s="13">
        <f t="shared" si="204"/>
        <v>-5.8479532163742687E-2</v>
      </c>
      <c r="ES111" s="183">
        <v>725163.36773932679</v>
      </c>
      <c r="ET111" s="13">
        <f t="shared" si="205"/>
        <v>-1.1779445084795892E-2</v>
      </c>
      <c r="EU111">
        <v>144</v>
      </c>
      <c r="EV111" s="13">
        <f t="shared" si="206"/>
        <v>-0.10559006211180122</v>
      </c>
      <c r="EW111" s="183">
        <v>712255.4853916252</v>
      </c>
      <c r="EX111" s="13">
        <f t="shared" si="207"/>
        <v>-1.7799964700287441E-2</v>
      </c>
      <c r="EY111">
        <v>146</v>
      </c>
      <c r="EZ111" s="13">
        <f t="shared" si="208"/>
        <v>1.388888888888884E-2</v>
      </c>
      <c r="FA111" s="1">
        <v>704015.81191527657</v>
      </c>
      <c r="FB111" s="13">
        <f t="shared" si="209"/>
        <v>-1.1568424035117375E-2</v>
      </c>
      <c r="FC111" s="1">
        <v>140</v>
      </c>
      <c r="FD111" s="13">
        <f t="shared" si="210"/>
        <v>-4.1095890410958957E-2</v>
      </c>
      <c r="FE111" s="1">
        <v>732648.78815697634</v>
      </c>
      <c r="FF111" s="13">
        <f t="shared" si="211"/>
        <v>4.067092777902781E-2</v>
      </c>
      <c r="FG111" s="1">
        <v>140</v>
      </c>
      <c r="FH111" s="13">
        <f t="shared" si="212"/>
        <v>0</v>
      </c>
      <c r="FI111" s="1">
        <v>753047.47111471754</v>
      </c>
      <c r="FJ111" s="13">
        <f t="shared" si="213"/>
        <v>2.7842375893441851E-2</v>
      </c>
      <c r="FK111" s="1">
        <v>169</v>
      </c>
      <c r="FL111" s="13">
        <f t="shared" si="214"/>
        <v>0.20714285714285707</v>
      </c>
      <c r="FM111" s="1">
        <v>751104.90463432309</v>
      </c>
      <c r="FN111" s="13">
        <f t="shared" si="215"/>
        <v>-2.5796069370220831E-3</v>
      </c>
      <c r="FO111" s="1">
        <v>167</v>
      </c>
      <c r="FP111" s="13">
        <f t="shared" si="216"/>
        <v>-1.1834319526627168E-2</v>
      </c>
      <c r="FQ111" s="1">
        <v>752255.09205308754</v>
      </c>
      <c r="FR111" s="13">
        <f t="shared" si="217"/>
        <v>1.5313272642314413E-3</v>
      </c>
      <c r="FS111">
        <v>185</v>
      </c>
      <c r="FT111" s="13">
        <f t="shared" si="218"/>
        <v>0.10778443113772451</v>
      </c>
      <c r="FU111" s="1">
        <v>746770.556200522</v>
      </c>
      <c r="FV111" s="13">
        <f t="shared" si="219"/>
        <v>-7.2907925921736894E-3</v>
      </c>
      <c r="FW111" s="1">
        <v>169</v>
      </c>
      <c r="FX111" s="13">
        <f t="shared" si="220"/>
        <v>-8.6486486486486491E-2</v>
      </c>
      <c r="FY111" s="1">
        <v>764168.84721313883</v>
      </c>
      <c r="FZ111" s="13">
        <f t="shared" si="221"/>
        <v>2.3298040968751099E-2</v>
      </c>
      <c r="GA111" s="1">
        <v>173</v>
      </c>
      <c r="GB111" s="13">
        <f t="shared" si="222"/>
        <v>2.3668639053254337E-2</v>
      </c>
      <c r="GC111" s="1">
        <v>752164.419075254</v>
      </c>
      <c r="GD111" s="13">
        <f t="shared" si="223"/>
        <v>-1.5709130490812351E-2</v>
      </c>
      <c r="GE111" s="1">
        <v>174</v>
      </c>
      <c r="GF111" s="13">
        <f t="shared" si="224"/>
        <v>5.7803468208093012E-3</v>
      </c>
      <c r="GG111" s="1">
        <f>IFERROR(VLOOKUP(A111,[3]Москва_продажа_районы!$C$2:$F$149,3,0),"")</f>
        <v>772455.5102888617</v>
      </c>
      <c r="GH111" s="13">
        <v>2.6976935759011944E-2</v>
      </c>
      <c r="GI111" s="1">
        <v>163</v>
      </c>
      <c r="GJ111" s="13">
        <f t="shared" si="225"/>
        <v>-6.3218390804597679E-2</v>
      </c>
      <c r="GK111" s="1">
        <v>758621.58375574742</v>
      </c>
      <c r="GL111" s="13">
        <f t="shared" si="226"/>
        <v>-1.790902692627705E-2</v>
      </c>
      <c r="GM111" s="1">
        <v>170</v>
      </c>
      <c r="GN111" s="13">
        <f t="shared" si="227"/>
        <v>4.2944785276073594E-2</v>
      </c>
      <c r="GO111" s="1">
        <v>788880.17074265843</v>
      </c>
      <c r="GP111" s="13">
        <f t="shared" si="228"/>
        <v>3.9886272200572392E-2</v>
      </c>
      <c r="GQ111" s="1">
        <v>193.67000000000002</v>
      </c>
      <c r="GR111" s="13">
        <f t="shared" si="229"/>
        <v>0.13923529411764712</v>
      </c>
      <c r="GS111" s="1">
        <v>805054.42111515044</v>
      </c>
      <c r="GT111" s="13">
        <f t="shared" si="281"/>
        <v>2.0502797474634793E-2</v>
      </c>
      <c r="GU111">
        <v>204</v>
      </c>
      <c r="GV111" s="13">
        <f t="shared" si="282"/>
        <v>5.3338152527495186E-2</v>
      </c>
      <c r="GW111">
        <v>785811.63377151568</v>
      </c>
      <c r="GX111" s="13">
        <f t="shared" si="230"/>
        <v>-2.3902467757372148E-2</v>
      </c>
      <c r="GY111">
        <v>195</v>
      </c>
      <c r="GZ111" s="13">
        <f t="shared" si="231"/>
        <v>-4.4117647058823484E-2</v>
      </c>
      <c r="HA111">
        <v>838320.87066847505</v>
      </c>
      <c r="HB111" s="13">
        <v>6.6821658830552577E-2</v>
      </c>
      <c r="HC111">
        <v>179</v>
      </c>
      <c r="HD111" s="13">
        <v>-8.2051282051282093E-2</v>
      </c>
      <c r="HE111">
        <v>845664.07647517731</v>
      </c>
      <c r="HF111" s="13">
        <v>8.7594214382933355E-3</v>
      </c>
      <c r="HG111">
        <v>175</v>
      </c>
      <c r="HH111" s="13">
        <v>-2.2346368715083775E-2</v>
      </c>
      <c r="HI111">
        <f>VLOOKUP(A111,[4]Москва_продажа_районы!$C$4:$F$151,3,0)</f>
        <v>832462.12927202822</v>
      </c>
      <c r="HJ111" s="13">
        <f t="shared" si="232"/>
        <v>-1.5611337374263679E-2</v>
      </c>
      <c r="HK111">
        <f>VLOOKUP(A111,[4]Москва_продажа_районы!$C$4:$F$151,2,0)</f>
        <v>177</v>
      </c>
      <c r="HL111" s="13">
        <f t="shared" si="233"/>
        <v>1.1428571428571344E-2</v>
      </c>
      <c r="HM111" s="1">
        <f>VLOOKUP(A111,Лист3!$C$4:$F$149,3,0)</f>
        <v>841368.63506190933</v>
      </c>
      <c r="HN111" s="13">
        <f t="shared" si="234"/>
        <v>1.0698992154357434E-2</v>
      </c>
      <c r="HO111">
        <f>VLOOKUP(A111,Лист3!$C$4:$F$149,2,0)</f>
        <v>155</v>
      </c>
      <c r="HP111" s="13">
        <f t="shared" si="235"/>
        <v>-0.12429378531073443</v>
      </c>
      <c r="HQ111" s="1">
        <v>854323.70265725139</v>
      </c>
      <c r="HR111" s="13">
        <v>1.5397611766676755E-2</v>
      </c>
      <c r="HS111">
        <v>171</v>
      </c>
      <c r="HT111" s="13">
        <v>0.10322580645161294</v>
      </c>
      <c r="HU111" s="34">
        <v>876897.96504332835</v>
      </c>
      <c r="HV111" s="13">
        <v>2.6423546854503766E-2</v>
      </c>
      <c r="HW111">
        <v>156</v>
      </c>
      <c r="HX111" s="13">
        <v>-8.7719298245614086E-2</v>
      </c>
      <c r="HY111">
        <v>898011.59403429425</v>
      </c>
      <c r="HZ111" s="13">
        <v>2.4077634836252138E-2</v>
      </c>
      <c r="IA111">
        <v>162</v>
      </c>
      <c r="IB111" s="13">
        <v>3.8461538461538547E-2</v>
      </c>
      <c r="IC111" s="34">
        <v>821565.02793809411</v>
      </c>
      <c r="ID111" s="13">
        <v>-8.5128707250611169E-2</v>
      </c>
      <c r="IE111">
        <v>166</v>
      </c>
      <c r="IF111" s="13">
        <v>2.4691358024691468E-2</v>
      </c>
    </row>
    <row r="112" spans="1:240" ht="15.6" thickTop="1" thickBot="1" x14ac:dyDescent="0.35">
      <c r="A112" s="228" t="s">
        <v>166</v>
      </c>
      <c r="B112" s="228"/>
      <c r="C112" s="228"/>
      <c r="D112" s="228"/>
      <c r="E112" s="228"/>
      <c r="F112" s="228"/>
      <c r="G112" s="228"/>
      <c r="H112" s="228"/>
      <c r="I112" s="228"/>
      <c r="J112" s="228"/>
      <c r="K112" s="228"/>
      <c r="L112" s="228"/>
      <c r="M112" s="228"/>
      <c r="N112" s="228"/>
      <c r="O112" s="228"/>
      <c r="P112" s="228"/>
      <c r="Q112" s="228"/>
      <c r="U112" s="13"/>
      <c r="V112" s="1"/>
      <c r="AA112" s="81"/>
      <c r="AF112" s="13" t="e">
        <f t="shared" si="180"/>
        <v>#DIV/0!</v>
      </c>
      <c r="AK112">
        <f>AJ113-AK113</f>
        <v>255</v>
      </c>
      <c r="AL112" s="35"/>
      <c r="BA112" s="119"/>
      <c r="BF112" s="13"/>
      <c r="BI112" s="13"/>
      <c r="BL112" s="13"/>
      <c r="BM112" s="34"/>
      <c r="BN112" s="109"/>
      <c r="BP112" s="13"/>
      <c r="BR112" s="13" t="str">
        <f t="shared" si="264"/>
        <v/>
      </c>
      <c r="BS112" s="13"/>
      <c r="BT112" s="13" t="str">
        <f t="shared" si="265"/>
        <v/>
      </c>
      <c r="BV112" s="13"/>
      <c r="BX112" s="13"/>
      <c r="BZ112" s="13"/>
      <c r="CB112" s="13"/>
      <c r="CC112" s="1"/>
      <c r="CD112" s="13"/>
      <c r="CF112" s="13"/>
      <c r="CG112" s="1"/>
      <c r="CH112" s="13"/>
      <c r="CJ112" s="13"/>
      <c r="CK112" s="1"/>
      <c r="CL112" s="13"/>
      <c r="CN112" s="13"/>
      <c r="CO112" s="1" t="s">
        <v>184</v>
      </c>
      <c r="CP112" s="13" t="s">
        <v>184</v>
      </c>
      <c r="CQ112" t="s">
        <v>184</v>
      </c>
      <c r="CR112" s="13" t="s">
        <v>184</v>
      </c>
      <c r="CS112" s="1" t="s">
        <v>184</v>
      </c>
      <c r="CT112" s="13" t="str">
        <f t="shared" si="181"/>
        <v/>
      </c>
      <c r="CU112" t="s">
        <v>184</v>
      </c>
      <c r="CV112" s="13" t="str">
        <f t="shared" si="182"/>
        <v/>
      </c>
      <c r="CW112" s="1" t="s">
        <v>184</v>
      </c>
      <c r="CX112" s="13" t="str">
        <f t="shared" si="183"/>
        <v/>
      </c>
      <c r="CY112" t="s">
        <v>184</v>
      </c>
      <c r="CZ112" s="13" t="str">
        <f t="shared" si="184"/>
        <v/>
      </c>
      <c r="DA112" s="1" t="s">
        <v>184</v>
      </c>
      <c r="DB112" s="13" t="str">
        <f t="shared" si="185"/>
        <v/>
      </c>
      <c r="DC112" t="s">
        <v>184</v>
      </c>
      <c r="DD112" s="13" t="str">
        <f t="shared" si="186"/>
        <v/>
      </c>
      <c r="DE112" s="1" t="s">
        <v>184</v>
      </c>
      <c r="DF112" s="13" t="str">
        <f t="shared" si="187"/>
        <v/>
      </c>
      <c r="DG112" s="1" t="s">
        <v>184</v>
      </c>
      <c r="DH112" s="13" t="str">
        <f t="shared" si="188"/>
        <v/>
      </c>
      <c r="DI112" s="1" t="s">
        <v>184</v>
      </c>
      <c r="DJ112" s="13" t="str">
        <f t="shared" si="189"/>
        <v/>
      </c>
      <c r="DK112" s="1" t="s">
        <v>184</v>
      </c>
      <c r="DL112" s="13" t="str">
        <f t="shared" si="190"/>
        <v/>
      </c>
      <c r="DM112" s="1" t="s">
        <v>184</v>
      </c>
      <c r="DN112" s="13" t="str">
        <f t="shared" si="191"/>
        <v/>
      </c>
      <c r="DO112" s="1" t="s">
        <v>184</v>
      </c>
      <c r="DP112" s="13" t="str">
        <f t="shared" si="192"/>
        <v/>
      </c>
      <c r="DQ112" s="1" t="s">
        <v>184</v>
      </c>
      <c r="DR112" s="13" t="str">
        <f t="shared" si="193"/>
        <v/>
      </c>
      <c r="DS112" t="s">
        <v>184</v>
      </c>
      <c r="DT112" s="13" t="str">
        <f t="shared" si="194"/>
        <v/>
      </c>
      <c r="DU112" s="1" t="s">
        <v>184</v>
      </c>
      <c r="DV112" s="13" t="str">
        <f t="shared" si="195"/>
        <v/>
      </c>
      <c r="DW112" t="s">
        <v>184</v>
      </c>
      <c r="DX112" s="13" t="str">
        <f t="shared" si="196"/>
        <v/>
      </c>
      <c r="DY112" s="1" t="s">
        <v>184</v>
      </c>
      <c r="DZ112" s="13" t="str">
        <f t="shared" si="197"/>
        <v/>
      </c>
      <c r="EA112" s="1" t="s">
        <v>184</v>
      </c>
      <c r="EB112" s="13" t="str">
        <f t="shared" si="198"/>
        <v/>
      </c>
      <c r="EC112" s="1" t="s">
        <v>184</v>
      </c>
      <c r="ED112" s="13" t="str">
        <f t="shared" si="199"/>
        <v/>
      </c>
      <c r="EE112" s="1" t="str">
        <f>IFERROR(VLOOKUP($A112,[1]Москва_продажа_районы!$C$2:$F$148,2,0),"")</f>
        <v/>
      </c>
      <c r="EF112" s="13" t="s">
        <v>184</v>
      </c>
      <c r="EG112" s="1" t="s">
        <v>184</v>
      </c>
      <c r="EH112" s="13" t="str">
        <f t="shared" si="200"/>
        <v/>
      </c>
      <c r="EI112" s="1" t="str">
        <f>IFERROR(VLOOKUP($A112,[2]Москва_продажа_районы!$C$2:$F$150,2,0),"")</f>
        <v/>
      </c>
      <c r="EJ112" s="13" t="s">
        <v>184</v>
      </c>
      <c r="EK112" s="1" t="s">
        <v>184</v>
      </c>
      <c r="EL112" s="13" t="str">
        <f t="shared" si="201"/>
        <v/>
      </c>
      <c r="EM112" t="s">
        <v>184</v>
      </c>
      <c r="EN112" s="13" t="str">
        <f t="shared" si="202"/>
        <v/>
      </c>
      <c r="EO112" s="1" t="s">
        <v>184</v>
      </c>
      <c r="EP112" s="13" t="str">
        <f t="shared" si="203"/>
        <v/>
      </c>
      <c r="EQ112" t="s">
        <v>184</v>
      </c>
      <c r="ER112" s="13" t="str">
        <f t="shared" si="204"/>
        <v/>
      </c>
      <c r="ES112" s="183" t="s">
        <v>184</v>
      </c>
      <c r="ET112" s="13" t="str">
        <f t="shared" si="205"/>
        <v/>
      </c>
      <c r="EU112" t="s">
        <v>184</v>
      </c>
      <c r="EV112" s="13" t="str">
        <f t="shared" si="206"/>
        <v/>
      </c>
      <c r="EW112" s="183" t="s">
        <v>184</v>
      </c>
      <c r="EX112" s="13" t="str">
        <f t="shared" si="207"/>
        <v/>
      </c>
      <c r="EY112" t="s">
        <v>184</v>
      </c>
      <c r="EZ112" s="13" t="str">
        <f t="shared" si="208"/>
        <v/>
      </c>
      <c r="FA112" s="1" t="s">
        <v>184</v>
      </c>
      <c r="FB112" s="13" t="str">
        <f t="shared" si="209"/>
        <v/>
      </c>
      <c r="FC112" s="1" t="s">
        <v>184</v>
      </c>
      <c r="FD112" s="13" t="str">
        <f t="shared" si="210"/>
        <v/>
      </c>
      <c r="FE112" s="1" t="s">
        <v>184</v>
      </c>
      <c r="FF112" s="13" t="str">
        <f t="shared" si="211"/>
        <v/>
      </c>
      <c r="FG112" s="1" t="s">
        <v>184</v>
      </c>
      <c r="FH112" s="13" t="str">
        <f t="shared" si="212"/>
        <v/>
      </c>
      <c r="FI112" s="1" t="s">
        <v>184</v>
      </c>
      <c r="FJ112" s="13" t="str">
        <f t="shared" si="213"/>
        <v/>
      </c>
      <c r="FK112" s="1" t="s">
        <v>184</v>
      </c>
      <c r="FL112" s="13" t="str">
        <f t="shared" si="214"/>
        <v/>
      </c>
      <c r="FM112" s="1" t="s">
        <v>184</v>
      </c>
      <c r="FN112" s="13" t="str">
        <f t="shared" si="215"/>
        <v/>
      </c>
      <c r="FO112" s="1" t="s">
        <v>184</v>
      </c>
      <c r="FP112" s="13" t="str">
        <f t="shared" si="216"/>
        <v/>
      </c>
      <c r="FQ112" s="1" t="s">
        <v>184</v>
      </c>
      <c r="FR112" s="13" t="str">
        <f t="shared" si="217"/>
        <v/>
      </c>
      <c r="FS112" t="s">
        <v>184</v>
      </c>
      <c r="FT112" s="13" t="str">
        <f t="shared" si="218"/>
        <v/>
      </c>
      <c r="FU112" s="1" t="s">
        <v>184</v>
      </c>
      <c r="FV112" s="13" t="str">
        <f t="shared" si="219"/>
        <v/>
      </c>
      <c r="FW112" s="1" t="s">
        <v>184</v>
      </c>
      <c r="FX112" s="13" t="str">
        <f t="shared" si="220"/>
        <v/>
      </c>
      <c r="FY112" s="1" t="s">
        <v>184</v>
      </c>
      <c r="FZ112" s="13" t="str">
        <f t="shared" si="221"/>
        <v/>
      </c>
      <c r="GA112" s="1" t="s">
        <v>184</v>
      </c>
      <c r="GB112" s="13" t="str">
        <f t="shared" si="222"/>
        <v/>
      </c>
      <c r="GC112" s="1" t="s">
        <v>184</v>
      </c>
      <c r="GD112" s="13" t="str">
        <f t="shared" si="223"/>
        <v/>
      </c>
      <c r="GE112" s="1" t="s">
        <v>184</v>
      </c>
      <c r="GF112" s="13" t="str">
        <f t="shared" si="224"/>
        <v/>
      </c>
      <c r="GG112" s="1" t="str">
        <f>IFERROR(VLOOKUP(A112,[3]Москва_продажа_районы!$C$2:$F$149,3,0),"")</f>
        <v/>
      </c>
      <c r="GH112" s="13" t="s">
        <v>184</v>
      </c>
      <c r="GI112" s="1" t="s">
        <v>184</v>
      </c>
      <c r="GJ112" s="13" t="str">
        <f t="shared" si="225"/>
        <v/>
      </c>
      <c r="GK112" s="1" t="s">
        <v>184</v>
      </c>
      <c r="GL112" s="13" t="str">
        <f t="shared" si="226"/>
        <v/>
      </c>
      <c r="GM112" s="1" t="s">
        <v>184</v>
      </c>
      <c r="GN112" s="13" t="str">
        <f t="shared" si="227"/>
        <v/>
      </c>
      <c r="GO112" s="1" t="s">
        <v>184</v>
      </c>
      <c r="GP112" s="13" t="str">
        <f t="shared" si="228"/>
        <v/>
      </c>
      <c r="GQ112" s="1" t="s">
        <v>184</v>
      </c>
      <c r="GR112" s="13" t="str">
        <f t="shared" si="229"/>
        <v/>
      </c>
      <c r="GT112" s="13"/>
      <c r="GV112" s="13"/>
      <c r="GX112" s="13"/>
      <c r="GZ112" s="13"/>
      <c r="HB112" s="13"/>
      <c r="HD112" s="13"/>
      <c r="HE112" t="e">
        <v>#N/A</v>
      </c>
      <c r="HF112" s="13" t="e">
        <v>#N/A</v>
      </c>
      <c r="HG112" t="e">
        <v>#N/A</v>
      </c>
      <c r="HH112" s="13" t="e">
        <v>#N/A</v>
      </c>
      <c r="HI112" t="e">
        <f>VLOOKUP(A112,[4]Москва_продажа_районы!$C$4:$F$151,3,0)</f>
        <v>#N/A</v>
      </c>
      <c r="HJ112" s="13" t="e">
        <f t="shared" si="232"/>
        <v>#N/A</v>
      </c>
      <c r="HK112" t="e">
        <f>VLOOKUP(A112,[4]Москва_продажа_районы!$C$4:$F$151,2,0)</f>
        <v>#N/A</v>
      </c>
      <c r="HL112" s="13" t="e">
        <f t="shared" si="233"/>
        <v>#N/A</v>
      </c>
      <c r="HM112" s="1" t="e">
        <f>VLOOKUP(A112,Лист3!$C$4:$F$149,3,0)</f>
        <v>#N/A</v>
      </c>
      <c r="HN112" s="13" t="e">
        <f t="shared" si="234"/>
        <v>#N/A</v>
      </c>
      <c r="HO112" t="e">
        <f>VLOOKUP(A112,Лист3!$C$4:$F$149,2,0)</f>
        <v>#N/A</v>
      </c>
      <c r="HP112" s="13" t="e">
        <f t="shared" si="235"/>
        <v>#N/A</v>
      </c>
      <c r="HQ112" s="1" t="e">
        <v>#N/A</v>
      </c>
      <c r="HR112" s="13" t="e">
        <v>#N/A</v>
      </c>
      <c r="HS112" t="e">
        <v>#N/A</v>
      </c>
      <c r="HT112" s="13" t="e">
        <v>#N/A</v>
      </c>
      <c r="HU112" s="34" t="e">
        <v>#N/A</v>
      </c>
      <c r="HV112" s="13" t="e">
        <v>#N/A</v>
      </c>
      <c r="HW112" t="e">
        <v>#N/A</v>
      </c>
      <c r="HX112" s="13" t="e">
        <v>#N/A</v>
      </c>
      <c r="HY112" t="e">
        <v>#N/A</v>
      </c>
      <c r="HZ112" s="13" t="e">
        <v>#N/A</v>
      </c>
      <c r="IA112" t="e">
        <v>#N/A</v>
      </c>
      <c r="IB112" s="13" t="e">
        <v>#N/A</v>
      </c>
      <c r="IC112" s="34" t="e">
        <v>#N/A</v>
      </c>
      <c r="ID112" s="13" t="e">
        <v>#N/A</v>
      </c>
      <c r="IE112" t="e">
        <v>#N/A</v>
      </c>
      <c r="IF112" s="13" t="e">
        <v>#N/A</v>
      </c>
    </row>
    <row r="113" spans="1:240" ht="15" thickTop="1" x14ac:dyDescent="0.3">
      <c r="A113" s="44" t="s">
        <v>118</v>
      </c>
      <c r="B113" s="63">
        <v>169525.36908285308</v>
      </c>
      <c r="C113" s="64">
        <v>694</v>
      </c>
      <c r="D113" s="63">
        <v>171705.65773046884</v>
      </c>
      <c r="E113" s="64">
        <v>704</v>
      </c>
      <c r="F113" s="63">
        <v>170906.34019302277</v>
      </c>
      <c r="G113" s="64">
        <v>483</v>
      </c>
      <c r="H113" s="63">
        <v>171333.67163096563</v>
      </c>
      <c r="I113" s="64">
        <v>527</v>
      </c>
      <c r="J113" s="63">
        <v>175038.78483687717</v>
      </c>
      <c r="K113" s="64">
        <v>657</v>
      </c>
      <c r="L113" s="63">
        <v>172525.0094477431</v>
      </c>
      <c r="M113" s="64">
        <v>623</v>
      </c>
      <c r="N113" s="63">
        <v>175599.22903400788</v>
      </c>
      <c r="O113" s="45">
        <v>623</v>
      </c>
      <c r="P113" s="66">
        <v>179133.18177780809</v>
      </c>
      <c r="Q113" s="45">
        <v>599</v>
      </c>
      <c r="R113" s="66">
        <v>182896.25867844652</v>
      </c>
      <c r="S113" s="45">
        <v>560</v>
      </c>
      <c r="T113" s="66">
        <v>187664.3382358895</v>
      </c>
      <c r="U113" s="45">
        <v>514</v>
      </c>
      <c r="V113" s="63">
        <v>194095.50625326121</v>
      </c>
      <c r="W113" s="45">
        <v>492</v>
      </c>
      <c r="X113" s="69">
        <v>196491.90123848329</v>
      </c>
      <c r="Y113" s="45">
        <v>436</v>
      </c>
      <c r="Z113" s="34">
        <v>196299.00914549988</v>
      </c>
      <c r="AA113" s="81">
        <v>494</v>
      </c>
      <c r="AB113" s="1">
        <v>200667.94277173179</v>
      </c>
      <c r="AC113">
        <v>460</v>
      </c>
      <c r="AD113" s="1">
        <v>204825.18212317</v>
      </c>
      <c r="AE113">
        <v>466</v>
      </c>
      <c r="AF113" s="13">
        <f t="shared" si="180"/>
        <v>4.2410302064167738E-2</v>
      </c>
      <c r="AG113" s="85">
        <f>AE113/$AJ$113</f>
        <v>0.11307934967240961</v>
      </c>
      <c r="AH113">
        <f>ROUNDUP(AG113*$AK$112,0)</f>
        <v>29</v>
      </c>
      <c r="AI113" s="89">
        <f>AH113+AE113</f>
        <v>495</v>
      </c>
      <c r="AJ113">
        <v>4121</v>
      </c>
      <c r="AK113">
        <f>SUM(AE113:AE124)</f>
        <v>3866</v>
      </c>
      <c r="AL113" s="1">
        <v>208853.13331567461</v>
      </c>
      <c r="AM113">
        <v>491</v>
      </c>
      <c r="AN113" s="13">
        <f>AM113/SUM($AM$113:$AM$124)</f>
        <v>0.124587668104542</v>
      </c>
      <c r="AO113">
        <f>SUM(AM113:AM124)</f>
        <v>3941</v>
      </c>
      <c r="AP113">
        <f>4149-AO113</f>
        <v>208</v>
      </c>
      <c r="AQ113">
        <f>ROUNDDOWN($AP$113*AN113,0)</f>
        <v>25</v>
      </c>
      <c r="AR113" s="89">
        <f>AQ113+AM113</f>
        <v>516</v>
      </c>
      <c r="AS113">
        <v>501</v>
      </c>
      <c r="AT113" s="1">
        <v>213424.68749357999</v>
      </c>
      <c r="AU113" s="13">
        <f>AT113/AL113-1</f>
        <v>2.1888846508209214E-2</v>
      </c>
      <c r="AV113" s="35">
        <v>461</v>
      </c>
      <c r="AW113" s="1">
        <v>212721.95478539329</v>
      </c>
      <c r="AX113" s="35">
        <v>512.19385211852671</v>
      </c>
      <c r="AY113" s="119">
        <v>217847.73721846269</v>
      </c>
      <c r="AZ113" s="120">
        <v>432</v>
      </c>
      <c r="BA113" s="119">
        <v>222197.41624645449</v>
      </c>
      <c r="BB113">
        <v>456</v>
      </c>
      <c r="BC113" s="13">
        <f>BA113/AY113-1</f>
        <v>1.996660182717358E-2</v>
      </c>
      <c r="BD113">
        <v>501</v>
      </c>
      <c r="BE113" s="1">
        <v>228665.32646092551</v>
      </c>
      <c r="BF113" s="13">
        <f t="shared" ref="BF113:BF124" si="291">BE113/BA113-1</f>
        <v>2.9108845295019226E-2</v>
      </c>
      <c r="BG113">
        <v>452</v>
      </c>
      <c r="BH113" s="1">
        <v>233057.81515018799</v>
      </c>
      <c r="BI113" s="13">
        <f t="shared" si="267"/>
        <v>1.9209246794192447E-2</v>
      </c>
      <c r="BJ113">
        <v>498</v>
      </c>
      <c r="BK113" s="1">
        <v>239382.30314171169</v>
      </c>
      <c r="BL113" s="13">
        <f t="shared" ref="BL113:BL124" si="292">BK113/BH113-1</f>
        <v>2.7136991683578859E-2</v>
      </c>
      <c r="BM113" s="1">
        <v>244009.38160636631</v>
      </c>
      <c r="BN113" s="109">
        <f t="shared" ref="BN113:BN124" si="293">BM113/BK113-1</f>
        <v>1.9329241986260959E-2</v>
      </c>
      <c r="BO113">
        <v>440</v>
      </c>
      <c r="BP113" s="13">
        <f t="shared" ref="BP113:BP124" si="294">BO113/BJ113-1</f>
        <v>-0.11646586345381527</v>
      </c>
      <c r="BQ113" s="1">
        <v>247707.92141357169</v>
      </c>
      <c r="BR113" s="13">
        <f t="shared" si="264"/>
        <v>1.5157367240788533E-2</v>
      </c>
      <c r="BS113">
        <v>500</v>
      </c>
      <c r="BT113" s="13">
        <f t="shared" si="265"/>
        <v>0.13636363636363646</v>
      </c>
      <c r="BU113" s="1">
        <v>253187.32743669479</v>
      </c>
      <c r="BV113" s="13">
        <f t="shared" ref="BV113:BV124" si="295">BU113/BQ113-1</f>
        <v>2.2120431158819231E-2</v>
      </c>
      <c r="BW113">
        <v>460</v>
      </c>
      <c r="BX113" s="13">
        <f t="shared" ref="BX113:BX124" si="296">BW113/BS113-1</f>
        <v>-7.999999999999996E-2</v>
      </c>
      <c r="BY113" s="1">
        <v>255317.58381425281</v>
      </c>
      <c r="BZ113" s="13">
        <f t="shared" ref="BZ113:BZ124" si="297">BY113/BU113-1</f>
        <v>8.4137559297499109E-3</v>
      </c>
      <c r="CA113">
        <v>475</v>
      </c>
      <c r="CB113" s="13">
        <f t="shared" ref="CB113:CB124" si="298">CA113/BW113-1</f>
        <v>3.2608695652173836E-2</v>
      </c>
      <c r="CC113" s="1">
        <v>252614.6024862933</v>
      </c>
      <c r="CD113" s="13">
        <f t="shared" ref="CD113:CD124" si="299">CC113/BY113-1</f>
        <v>-1.0586741765212571E-2</v>
      </c>
      <c r="CE113">
        <v>531</v>
      </c>
      <c r="CF113" s="13">
        <f t="shared" ref="CF113:CF124" si="300">CE113/CA113-1</f>
        <v>0.11789473684210527</v>
      </c>
      <c r="CG113" s="1">
        <v>248201.07365651731</v>
      </c>
      <c r="CH113" s="13">
        <f t="shared" ref="CH113:CH124" si="301">CG113/CC113-1</f>
        <v>-1.7471392335743796E-2</v>
      </c>
      <c r="CI113">
        <v>556</v>
      </c>
      <c r="CJ113" s="13">
        <f t="shared" ref="CJ113:CJ124" si="302">CI113/CE113-1</f>
        <v>4.7080979284369162E-2</v>
      </c>
      <c r="CK113" s="1">
        <v>246451.7333909958</v>
      </c>
      <c r="CL113" s="13">
        <f t="shared" ref="CL113:CL124" si="303">CK113/CG113-1</f>
        <v>-7.0480769472512916E-3</v>
      </c>
      <c r="CM113">
        <v>591</v>
      </c>
      <c r="CN113" s="13">
        <f t="shared" ref="CN113:CN124" si="304">CM113/CI113-1</f>
        <v>6.2949640287769837E-2</v>
      </c>
      <c r="CO113" s="1">
        <v>248086.40871847791</v>
      </c>
      <c r="CP113" s="13">
        <v>6.6328416724450445E-3</v>
      </c>
      <c r="CQ113">
        <v>591</v>
      </c>
      <c r="CR113" s="13">
        <v>0</v>
      </c>
      <c r="CS113" s="1">
        <v>242547.99284717999</v>
      </c>
      <c r="CT113" s="13">
        <f t="shared" si="181"/>
        <v>-2.2324543693898025E-2</v>
      </c>
      <c r="CU113">
        <v>648</v>
      </c>
      <c r="CV113" s="13">
        <f t="shared" si="182"/>
        <v>9.6446700507614169E-2</v>
      </c>
      <c r="CW113" s="1">
        <v>240105.6786283656</v>
      </c>
      <c r="CX113" s="13">
        <f t="shared" si="183"/>
        <v>-1.0069406017938931E-2</v>
      </c>
      <c r="CY113">
        <v>702</v>
      </c>
      <c r="CZ113" s="13">
        <f t="shared" si="184"/>
        <v>8.3333333333333259E-2</v>
      </c>
      <c r="DA113" s="1">
        <v>239224.03320141241</v>
      </c>
      <c r="DB113" s="13">
        <f t="shared" si="185"/>
        <v>-3.6719057707826908E-3</v>
      </c>
      <c r="DC113">
        <v>660</v>
      </c>
      <c r="DD113" s="13">
        <f t="shared" si="186"/>
        <v>-5.9829059829059839E-2</v>
      </c>
      <c r="DE113" s="1">
        <v>235565.00870246821</v>
      </c>
      <c r="DF113" s="13">
        <f t="shared" si="187"/>
        <v>-1.5295388385428321E-2</v>
      </c>
      <c r="DG113" s="1">
        <v>617</v>
      </c>
      <c r="DH113" s="13">
        <f t="shared" si="188"/>
        <v>-6.5151515151515182E-2</v>
      </c>
      <c r="DI113" s="1">
        <v>235479.73004318631</v>
      </c>
      <c r="DJ113" s="13">
        <f t="shared" si="189"/>
        <v>-3.6201751589348685E-4</v>
      </c>
      <c r="DK113" s="1">
        <v>578</v>
      </c>
      <c r="DL113" s="13">
        <f t="shared" si="190"/>
        <v>-6.3209076175040568E-2</v>
      </c>
      <c r="DM113" s="1">
        <v>236496.47375897469</v>
      </c>
      <c r="DN113" s="13">
        <f t="shared" si="191"/>
        <v>4.3177547197030819E-3</v>
      </c>
      <c r="DO113" s="1">
        <v>671</v>
      </c>
      <c r="DP113" s="13">
        <f t="shared" si="192"/>
        <v>0.16089965397923867</v>
      </c>
      <c r="DQ113" s="1">
        <v>237348.37099620141</v>
      </c>
      <c r="DR113" s="13">
        <f t="shared" si="193"/>
        <v>3.6021561915333677E-3</v>
      </c>
      <c r="DS113">
        <v>732</v>
      </c>
      <c r="DT113" s="13">
        <f t="shared" si="194"/>
        <v>9.0909090909090828E-2</v>
      </c>
      <c r="DU113" s="1">
        <v>237561.06618147891</v>
      </c>
      <c r="DV113" s="13">
        <f t="shared" si="195"/>
        <v>8.9613079872741253E-4</v>
      </c>
      <c r="DW113">
        <v>659</v>
      </c>
      <c r="DX113" s="13">
        <f t="shared" si="196"/>
        <v>-9.9726775956284208E-2</v>
      </c>
      <c r="DY113" s="1">
        <v>240450.94520063081</v>
      </c>
      <c r="DZ113" s="13">
        <f t="shared" si="197"/>
        <v>1.2164783841070337E-2</v>
      </c>
      <c r="EA113" s="1">
        <v>680</v>
      </c>
      <c r="EB113" s="13">
        <f t="shared" si="198"/>
        <v>3.1866464339908918E-2</v>
      </c>
      <c r="EC113" s="1">
        <v>241921.96670940431</v>
      </c>
      <c r="ED113" s="13">
        <f t="shared" si="199"/>
        <v>6.1177613901499672E-3</v>
      </c>
      <c r="EE113" s="1">
        <f>IFERROR(VLOOKUP($A113,[1]Москва_продажа_районы!$C$2:$F$148,2,0),"")</f>
        <v>684</v>
      </c>
      <c r="EF113" s="13">
        <v>5.8823529411764497E-3</v>
      </c>
      <c r="EG113" s="1">
        <v>244186.12815916919</v>
      </c>
      <c r="EH113" s="13">
        <f t="shared" si="200"/>
        <v>9.3590568916157579E-3</v>
      </c>
      <c r="EI113" s="1">
        <f>IFERROR(VLOOKUP($A113,[2]Москва_продажа_районы!$C$2:$F$150,2,0),"")</f>
        <v>674</v>
      </c>
      <c r="EJ113" s="13">
        <v>-1.4619883040935644E-2</v>
      </c>
      <c r="EK113" s="1">
        <v>249781.3365777366</v>
      </c>
      <c r="EL113" s="13">
        <f t="shared" si="201"/>
        <v>2.2913703004948216E-2</v>
      </c>
      <c r="EM113">
        <v>595</v>
      </c>
      <c r="EN113" s="13">
        <f t="shared" si="202"/>
        <v>-0.1172106824925816</v>
      </c>
      <c r="EO113" s="1">
        <v>254088.0563322184</v>
      </c>
      <c r="EP113" s="13">
        <f t="shared" si="203"/>
        <v>1.7241959761639336E-2</v>
      </c>
      <c r="EQ113">
        <v>560</v>
      </c>
      <c r="ER113" s="13">
        <f t="shared" si="204"/>
        <v>-5.8823529411764719E-2</v>
      </c>
      <c r="ES113" s="183">
        <v>253858.83598264391</v>
      </c>
      <c r="ET113" s="13">
        <f t="shared" si="205"/>
        <v>-9.0212957225654922E-4</v>
      </c>
      <c r="EU113">
        <v>507</v>
      </c>
      <c r="EV113" s="13">
        <f t="shared" si="206"/>
        <v>-9.464285714285714E-2</v>
      </c>
      <c r="EW113" s="183">
        <v>255148.96447443101</v>
      </c>
      <c r="EX113" s="13">
        <f t="shared" si="207"/>
        <v>5.0820704616927337E-3</v>
      </c>
      <c r="EY113">
        <v>468</v>
      </c>
      <c r="EZ113" s="13">
        <f t="shared" si="208"/>
        <v>-7.6923076923076872E-2</v>
      </c>
      <c r="FA113" s="1">
        <v>255081.29225357651</v>
      </c>
      <c r="FB113" s="13">
        <f t="shared" si="209"/>
        <v>-2.6522631982417444E-4</v>
      </c>
      <c r="FC113" s="1">
        <v>411</v>
      </c>
      <c r="FD113" s="13">
        <f t="shared" si="210"/>
        <v>-0.12179487179487181</v>
      </c>
      <c r="FE113" s="1">
        <v>258579.48687308011</v>
      </c>
      <c r="FF113" s="13">
        <f t="shared" si="211"/>
        <v>1.3714038331066769E-2</v>
      </c>
      <c r="FG113" s="1">
        <v>411</v>
      </c>
      <c r="FH113" s="13">
        <f t="shared" si="212"/>
        <v>0</v>
      </c>
      <c r="FI113" s="1">
        <v>260269.01534093279</v>
      </c>
      <c r="FJ113" s="13">
        <f t="shared" si="213"/>
        <v>6.5338843706574945E-3</v>
      </c>
      <c r="FK113" s="1">
        <v>469</v>
      </c>
      <c r="FL113" s="13">
        <f t="shared" si="214"/>
        <v>0.14111922141119226</v>
      </c>
      <c r="FM113" s="1">
        <v>260501.4824503542</v>
      </c>
      <c r="FN113" s="13">
        <f t="shared" si="215"/>
        <v>8.9318011641492667E-4</v>
      </c>
      <c r="FO113" s="1">
        <v>487</v>
      </c>
      <c r="FP113" s="13">
        <f t="shared" si="216"/>
        <v>3.8379530916844429E-2</v>
      </c>
      <c r="FQ113" s="1">
        <v>260129.8116277185</v>
      </c>
      <c r="FR113" s="13">
        <f t="shared" si="217"/>
        <v>-1.426751276574878E-3</v>
      </c>
      <c r="FS113">
        <v>518</v>
      </c>
      <c r="FT113" s="13">
        <f t="shared" si="218"/>
        <v>6.3655030800821466E-2</v>
      </c>
      <c r="FU113" s="1">
        <v>261448.40350396591</v>
      </c>
      <c r="FV113" s="13">
        <f t="shared" si="219"/>
        <v>5.0689764006537352E-3</v>
      </c>
      <c r="FW113" s="1">
        <v>551</v>
      </c>
      <c r="FX113" s="13">
        <f t="shared" si="220"/>
        <v>6.370656370656369E-2</v>
      </c>
      <c r="FY113" s="1">
        <v>261925.39070534991</v>
      </c>
      <c r="FZ113" s="13">
        <f t="shared" si="221"/>
        <v>1.8244028075573571E-3</v>
      </c>
      <c r="GA113" s="1">
        <v>549</v>
      </c>
      <c r="GB113" s="13">
        <f t="shared" si="222"/>
        <v>-3.6297640653357721E-3</v>
      </c>
      <c r="GC113" s="1">
        <v>263054.71861934621</v>
      </c>
      <c r="GD113" s="13">
        <f t="shared" si="223"/>
        <v>4.3116397037914478E-3</v>
      </c>
      <c r="GE113" s="1">
        <v>512</v>
      </c>
      <c r="GF113" s="13">
        <f t="shared" si="224"/>
        <v>-6.7395264116575593E-2</v>
      </c>
      <c r="GG113" s="1">
        <f>IFERROR(VLOOKUP(A113,[3]Москва_продажа_районы!$C$2:$F$149,3,0),"")</f>
        <v>260201.31332494799</v>
      </c>
      <c r="GH113" s="13">
        <v>-1.0847192969487218E-2</v>
      </c>
      <c r="GI113" s="1">
        <v>553</v>
      </c>
      <c r="GJ113" s="13">
        <f t="shared" si="225"/>
        <v>8.0078125E-2</v>
      </c>
      <c r="GK113" s="1">
        <v>259539.65939077971</v>
      </c>
      <c r="GL113" s="13">
        <f t="shared" si="226"/>
        <v>-2.5428539376431969E-3</v>
      </c>
      <c r="GM113" s="1">
        <v>591</v>
      </c>
      <c r="GN113" s="13">
        <f t="shared" si="227"/>
        <v>6.8716094032549746E-2</v>
      </c>
      <c r="GO113" s="1">
        <v>258326.75177446389</v>
      </c>
      <c r="GP113" s="13">
        <f t="shared" si="228"/>
        <v>-4.6733035681825186E-3</v>
      </c>
      <c r="GQ113" s="1">
        <v>608.83000000000004</v>
      </c>
      <c r="GR113" s="13">
        <f t="shared" si="229"/>
        <v>3.0169204737732658E-2</v>
      </c>
      <c r="GS113" s="1">
        <v>260700.21099967821</v>
      </c>
      <c r="GT113" s="13">
        <f t="shared" ref="GT113:GT124" si="305">GS113/GO113-1</f>
        <v>9.1878181756666066E-3</v>
      </c>
      <c r="GU113">
        <v>598</v>
      </c>
      <c r="GV113" s="13">
        <f t="shared" ref="GV113:GV124" si="306">GU113/GQ113-1</f>
        <v>-1.7788216743590213E-2</v>
      </c>
      <c r="GW113">
        <v>259553.61208501569</v>
      </c>
      <c r="GX113" s="13">
        <f t="shared" si="230"/>
        <v>-4.3981510803761115E-3</v>
      </c>
      <c r="GY113">
        <v>502</v>
      </c>
      <c r="GZ113" s="13">
        <f t="shared" si="231"/>
        <v>-0.16053511705685619</v>
      </c>
      <c r="HA113">
        <v>265543.4497065547</v>
      </c>
      <c r="HB113" s="13">
        <v>2.3077458153720753E-2</v>
      </c>
      <c r="HC113">
        <v>412</v>
      </c>
      <c r="HD113" s="13">
        <v>-0.17928286852589637</v>
      </c>
      <c r="HE113">
        <v>266018.40199465537</v>
      </c>
      <c r="HF113" s="13">
        <v>1.7886047975408381E-3</v>
      </c>
      <c r="HG113">
        <v>419</v>
      </c>
      <c r="HH113" s="13">
        <v>1.6990291262136026E-2</v>
      </c>
      <c r="HI113">
        <f>VLOOKUP(A113,[4]Москва_продажа_районы!$C$4:$F$151,3,0)</f>
        <v>264689.27893592312</v>
      </c>
      <c r="HJ113" s="13">
        <f t="shared" si="232"/>
        <v>-4.9963575781458713E-3</v>
      </c>
      <c r="HK113">
        <f>VLOOKUP(A113,[4]Москва_продажа_районы!$C$4:$F$151,2,0)</f>
        <v>430</v>
      </c>
      <c r="HL113" s="13">
        <f t="shared" si="233"/>
        <v>2.6252983293556076E-2</v>
      </c>
      <c r="HM113" s="1">
        <f>VLOOKUP(A113,Лист3!$C$4:$F$149,3,0)</f>
        <v>264546.06281685177</v>
      </c>
      <c r="HN113" s="13">
        <f t="shared" si="234"/>
        <v>-5.4107261029645581E-4</v>
      </c>
      <c r="HO113">
        <f>VLOOKUP(A113,Лист3!$C$4:$F$149,2,0)</f>
        <v>430</v>
      </c>
      <c r="HP113" s="13">
        <f t="shared" si="235"/>
        <v>0</v>
      </c>
      <c r="HQ113" s="1">
        <v>270087.29869147053</v>
      </c>
      <c r="HR113" s="13">
        <v>2.0946204285243963E-2</v>
      </c>
      <c r="HS113">
        <v>448</v>
      </c>
      <c r="HT113" s="13">
        <v>4.1860465116279055E-2</v>
      </c>
      <c r="HU113" s="34">
        <v>269300.88663101412</v>
      </c>
      <c r="HV113" s="13">
        <v>-2.9116958267435544E-3</v>
      </c>
      <c r="HW113">
        <v>429</v>
      </c>
      <c r="HX113" s="13">
        <v>-4.2410714285714302E-2</v>
      </c>
      <c r="HY113">
        <v>271889.09798749193</v>
      </c>
      <c r="HZ113" s="13">
        <v>9.6108534541294866E-3</v>
      </c>
      <c r="IA113">
        <v>434</v>
      </c>
      <c r="IB113" s="13">
        <v>1.1655011655011593E-2</v>
      </c>
      <c r="IC113" s="34">
        <v>275048.34557812958</v>
      </c>
      <c r="ID113" s="13">
        <v>1.1619618491591766E-2</v>
      </c>
      <c r="IE113">
        <v>460</v>
      </c>
      <c r="IF113" s="13">
        <v>5.9907834101382562E-2</v>
      </c>
    </row>
    <row r="114" spans="1:240" x14ac:dyDescent="0.3">
      <c r="A114" s="75" t="s">
        <v>119</v>
      </c>
      <c r="B114" s="61">
        <v>189875.38204483534</v>
      </c>
      <c r="C114">
        <v>455</v>
      </c>
      <c r="D114" s="61">
        <v>192388.83036034132</v>
      </c>
      <c r="E114">
        <v>469</v>
      </c>
      <c r="F114" s="61">
        <v>193743.0137727586</v>
      </c>
      <c r="G114">
        <v>290</v>
      </c>
      <c r="H114" s="61">
        <v>193466.24018204739</v>
      </c>
      <c r="I114">
        <v>312</v>
      </c>
      <c r="J114" s="61">
        <v>190500.02080863219</v>
      </c>
      <c r="K114">
        <v>388</v>
      </c>
      <c r="L114" s="61">
        <v>192605.70224985084</v>
      </c>
      <c r="M114">
        <v>413</v>
      </c>
      <c r="N114" s="61">
        <v>192678.98701851777</v>
      </c>
      <c r="O114" s="47">
        <v>438</v>
      </c>
      <c r="P114" s="35">
        <v>197218.36749003248</v>
      </c>
      <c r="Q114" s="47">
        <v>466</v>
      </c>
      <c r="R114" s="35">
        <v>201281.19261024558</v>
      </c>
      <c r="S114" s="47">
        <v>459</v>
      </c>
      <c r="T114" s="35">
        <v>210087.7080466465</v>
      </c>
      <c r="U114" s="47">
        <v>426</v>
      </c>
      <c r="V114" s="61">
        <v>209067.13118390349</v>
      </c>
      <c r="W114" s="47">
        <v>388</v>
      </c>
      <c r="X114" s="65">
        <v>213959.6604528458</v>
      </c>
      <c r="Y114" s="47">
        <v>362</v>
      </c>
      <c r="Z114" s="34">
        <v>217027.98286844874</v>
      </c>
      <c r="AA114" s="81">
        <v>376</v>
      </c>
      <c r="AB114" s="1">
        <v>222564.87577540701</v>
      </c>
      <c r="AC114">
        <v>375</v>
      </c>
      <c r="AD114" s="1">
        <v>231220.86889902069</v>
      </c>
      <c r="AE114">
        <v>403</v>
      </c>
      <c r="AF114" s="13">
        <f t="shared" si="180"/>
        <v>8.067506000730007E-2</v>
      </c>
      <c r="AG114" s="85">
        <f t="shared" ref="AG114:AG124" si="307">AE114/$AJ$113</f>
        <v>9.7791798107255523E-2</v>
      </c>
      <c r="AH114">
        <f t="shared" ref="AH114:AH124" si="308">ROUNDUP(AG114*$AK$112,0)</f>
        <v>25</v>
      </c>
      <c r="AI114" s="90">
        <f t="shared" ref="AI114:AI124" si="309">AH114+AE114</f>
        <v>428</v>
      </c>
      <c r="AL114" s="1">
        <v>233827.846932038</v>
      </c>
      <c r="AM114">
        <v>425</v>
      </c>
      <c r="AN114" s="13">
        <f t="shared" ref="AN114:AN124" si="310">AM114/SUM($AM$113:$AM$124)</f>
        <v>0.10784064958132454</v>
      </c>
      <c r="AQ114">
        <f t="shared" ref="AQ114:AQ124" si="311">ROUNDDOWN($AP$113*AN114,0)</f>
        <v>22</v>
      </c>
      <c r="AR114" s="90">
        <f t="shared" ref="AR114:AR124" si="312">AQ114+AM114</f>
        <v>447</v>
      </c>
      <c r="AS114">
        <v>407</v>
      </c>
      <c r="AT114" s="1">
        <v>238092.0508979302</v>
      </c>
      <c r="AU114" s="13">
        <f t="shared" ref="AU114:AU124" si="313">AT114/AL114-1</f>
        <v>1.8236510414995966E-2</v>
      </c>
      <c r="AV114" s="35">
        <v>370</v>
      </c>
      <c r="AW114" s="1">
        <v>238583.84321596159</v>
      </c>
      <c r="AX114" s="35">
        <v>411.08834117972862</v>
      </c>
      <c r="AY114" s="121">
        <v>230526.09448743999</v>
      </c>
      <c r="AZ114" s="122">
        <v>357</v>
      </c>
      <c r="BA114" s="119">
        <v>234797.00636791901</v>
      </c>
      <c r="BB114">
        <v>383</v>
      </c>
      <c r="BC114" s="13">
        <f t="shared" ref="BC114:BC124" si="314">BA114/AY114-1</f>
        <v>1.85268044816147E-2</v>
      </c>
      <c r="BD114">
        <v>399</v>
      </c>
      <c r="BE114" s="1">
        <v>249303.77896303521</v>
      </c>
      <c r="BF114" s="13">
        <f t="shared" si="291"/>
        <v>6.1784316672183426E-2</v>
      </c>
      <c r="BG114">
        <v>391</v>
      </c>
      <c r="BH114" s="1">
        <v>253391.39793234121</v>
      </c>
      <c r="BI114" s="13">
        <f t="shared" si="267"/>
        <v>1.6396137219853779E-2</v>
      </c>
      <c r="BJ114">
        <v>345</v>
      </c>
      <c r="BK114" s="1">
        <v>257929.18862350119</v>
      </c>
      <c r="BL114" s="13">
        <f t="shared" si="292"/>
        <v>1.7908227067643612E-2</v>
      </c>
      <c r="BM114" s="1">
        <v>263313.84618564998</v>
      </c>
      <c r="BN114" s="109">
        <f t="shared" si="293"/>
        <v>2.0876495564093656E-2</v>
      </c>
      <c r="BO114">
        <v>330</v>
      </c>
      <c r="BP114" s="13">
        <f t="shared" si="294"/>
        <v>-4.3478260869565188E-2</v>
      </c>
      <c r="BQ114" s="1">
        <v>269762.46627525822</v>
      </c>
      <c r="BR114" s="13">
        <f t="shared" si="264"/>
        <v>2.4490243042751381E-2</v>
      </c>
      <c r="BS114">
        <v>378</v>
      </c>
      <c r="BT114" s="13">
        <f t="shared" si="265"/>
        <v>0.1454545454545455</v>
      </c>
      <c r="BU114" s="1">
        <v>280079.79512898409</v>
      </c>
      <c r="BV114" s="13">
        <f t="shared" si="295"/>
        <v>3.8245976158886252E-2</v>
      </c>
      <c r="BW114">
        <v>354</v>
      </c>
      <c r="BX114" s="13">
        <f t="shared" si="296"/>
        <v>-6.3492063492063489E-2</v>
      </c>
      <c r="BY114" s="1">
        <v>279646.97213746101</v>
      </c>
      <c r="BZ114" s="13">
        <f t="shared" si="297"/>
        <v>-1.5453559987208543E-3</v>
      </c>
      <c r="CA114">
        <v>325</v>
      </c>
      <c r="CB114" s="13">
        <f t="shared" si="298"/>
        <v>-8.1920903954802227E-2</v>
      </c>
      <c r="CC114" s="1">
        <v>275206.83618494362</v>
      </c>
      <c r="CD114" s="13">
        <f t="shared" si="299"/>
        <v>-1.5877647158413888E-2</v>
      </c>
      <c r="CE114">
        <v>405</v>
      </c>
      <c r="CF114" s="13">
        <f t="shared" si="300"/>
        <v>0.24615384615384617</v>
      </c>
      <c r="CG114" s="1">
        <v>271337.98227786488</v>
      </c>
      <c r="CH114" s="13">
        <f t="shared" si="301"/>
        <v>-1.4057986206704509E-2</v>
      </c>
      <c r="CI114">
        <v>452</v>
      </c>
      <c r="CJ114" s="13">
        <f t="shared" si="302"/>
        <v>0.11604938271604937</v>
      </c>
      <c r="CK114" s="1">
        <v>268229.87589421612</v>
      </c>
      <c r="CL114" s="13">
        <f t="shared" si="303"/>
        <v>-1.1454741269749324E-2</v>
      </c>
      <c r="CM114">
        <v>501</v>
      </c>
      <c r="CN114" s="13">
        <f t="shared" si="304"/>
        <v>0.1084070796460177</v>
      </c>
      <c r="CO114" s="1">
        <v>268427.51278618572</v>
      </c>
      <c r="CP114" s="13">
        <v>7.3681908590805811E-4</v>
      </c>
      <c r="CQ114">
        <v>495</v>
      </c>
      <c r="CR114" s="13">
        <v>-1.19760479041916E-2</v>
      </c>
      <c r="CS114" s="1">
        <v>264939.89839342952</v>
      </c>
      <c r="CT114" s="13">
        <f t="shared" si="181"/>
        <v>-1.2992760527994918E-2</v>
      </c>
      <c r="CU114">
        <v>539</v>
      </c>
      <c r="CV114" s="13">
        <f t="shared" si="182"/>
        <v>8.8888888888888795E-2</v>
      </c>
      <c r="CW114" s="1">
        <v>264070.67649096472</v>
      </c>
      <c r="CX114" s="13">
        <f t="shared" si="183"/>
        <v>-3.2808267374437872E-3</v>
      </c>
      <c r="CY114">
        <v>535</v>
      </c>
      <c r="CZ114" s="13">
        <f t="shared" si="184"/>
        <v>-7.4211502782931538E-3</v>
      </c>
      <c r="DA114" s="1">
        <v>258341.14232724541</v>
      </c>
      <c r="DB114" s="13">
        <f t="shared" si="185"/>
        <v>-2.1696972340339848E-2</v>
      </c>
      <c r="DC114">
        <v>541</v>
      </c>
      <c r="DD114" s="13">
        <f t="shared" si="186"/>
        <v>1.121495327102795E-2</v>
      </c>
      <c r="DE114" s="1">
        <v>254743.00254421201</v>
      </c>
      <c r="DF114" s="13">
        <f t="shared" si="187"/>
        <v>-1.3927862014620818E-2</v>
      </c>
      <c r="DG114" s="1">
        <v>494</v>
      </c>
      <c r="DH114" s="13">
        <f t="shared" si="188"/>
        <v>-8.687615526802217E-2</v>
      </c>
      <c r="DI114" s="1">
        <v>254075.97092452811</v>
      </c>
      <c r="DJ114" s="13">
        <f t="shared" si="189"/>
        <v>-2.6184492332350651E-3</v>
      </c>
      <c r="DK114" s="1">
        <v>460</v>
      </c>
      <c r="DL114" s="13">
        <f t="shared" si="190"/>
        <v>-6.8825910931174072E-2</v>
      </c>
      <c r="DM114" s="1">
        <v>255245.73200235731</v>
      </c>
      <c r="DN114" s="13">
        <f t="shared" si="191"/>
        <v>4.6039815318728028E-3</v>
      </c>
      <c r="DO114" s="1">
        <v>448</v>
      </c>
      <c r="DP114" s="13">
        <f t="shared" si="192"/>
        <v>-2.6086956521739091E-2</v>
      </c>
      <c r="DQ114" s="1">
        <v>252973.7878081635</v>
      </c>
      <c r="DR114" s="13">
        <f t="shared" si="193"/>
        <v>-8.9010075756049689E-3</v>
      </c>
      <c r="DS114">
        <v>473</v>
      </c>
      <c r="DT114" s="13">
        <f t="shared" si="194"/>
        <v>5.5803571428571397E-2</v>
      </c>
      <c r="DU114" s="1">
        <v>253906.02538162679</v>
      </c>
      <c r="DV114" s="13">
        <f t="shared" si="195"/>
        <v>3.6851152901669071E-3</v>
      </c>
      <c r="DW114">
        <v>434</v>
      </c>
      <c r="DX114" s="13">
        <f t="shared" si="196"/>
        <v>-8.2452431289640638E-2</v>
      </c>
      <c r="DY114" s="1">
        <v>255105.46773233771</v>
      </c>
      <c r="DZ114" s="13">
        <f t="shared" si="197"/>
        <v>4.7239617449335025E-3</v>
      </c>
      <c r="EA114" s="1">
        <v>406</v>
      </c>
      <c r="EB114" s="13">
        <f t="shared" si="198"/>
        <v>-6.4516129032258118E-2</v>
      </c>
      <c r="EC114" s="1">
        <v>255662.0138332716</v>
      </c>
      <c r="ED114" s="13">
        <f t="shared" si="199"/>
        <v>2.1816314086917643E-3</v>
      </c>
      <c r="EE114" s="1">
        <f>IFERROR(VLOOKUP($A114,[1]Москва_продажа_районы!$C$2:$F$148,2,0),"")</f>
        <v>375</v>
      </c>
      <c r="EF114" s="13">
        <v>-7.6354679802955627E-2</v>
      </c>
      <c r="EG114" s="1">
        <v>258803.11176423641</v>
      </c>
      <c r="EH114" s="13">
        <f t="shared" si="200"/>
        <v>1.2286134666111392E-2</v>
      </c>
      <c r="EI114" s="1">
        <f>IFERROR(VLOOKUP($A114,[2]Москва_продажа_районы!$C$2:$F$150,2,0),"")</f>
        <v>365</v>
      </c>
      <c r="EJ114" s="13">
        <v>-2.6666666666666616E-2</v>
      </c>
      <c r="EK114" s="1">
        <v>266511.07481148391</v>
      </c>
      <c r="EL114" s="13">
        <f t="shared" si="201"/>
        <v>2.9783115800668059E-2</v>
      </c>
      <c r="EM114">
        <v>339</v>
      </c>
      <c r="EN114" s="13">
        <f t="shared" si="202"/>
        <v>-7.1232876712328808E-2</v>
      </c>
      <c r="EO114" s="1">
        <v>274012.08813810279</v>
      </c>
      <c r="EP114" s="13">
        <f t="shared" si="203"/>
        <v>2.8145221852130087E-2</v>
      </c>
      <c r="EQ114">
        <v>333</v>
      </c>
      <c r="ER114" s="13">
        <f t="shared" si="204"/>
        <v>-1.7699115044247815E-2</v>
      </c>
      <c r="ES114" s="183">
        <v>279757.13731883909</v>
      </c>
      <c r="ET114" s="13">
        <f t="shared" si="205"/>
        <v>2.0966407795267594E-2</v>
      </c>
      <c r="EU114">
        <v>332</v>
      </c>
      <c r="EV114" s="13">
        <f t="shared" si="206"/>
        <v>-3.0030030030030463E-3</v>
      </c>
      <c r="EW114" s="183">
        <v>282084.83742109389</v>
      </c>
      <c r="EX114" s="13">
        <f t="shared" si="207"/>
        <v>8.3204315162901388E-3</v>
      </c>
      <c r="EY114">
        <v>313</v>
      </c>
      <c r="EZ114" s="13">
        <f t="shared" si="208"/>
        <v>-5.7228915662650648E-2</v>
      </c>
      <c r="FA114" s="1">
        <v>282327.88460382639</v>
      </c>
      <c r="FB114" s="13">
        <f t="shared" si="209"/>
        <v>8.6161023383790614E-4</v>
      </c>
      <c r="FC114" s="1">
        <v>281</v>
      </c>
      <c r="FD114" s="13">
        <f t="shared" si="210"/>
        <v>-0.10223642172523961</v>
      </c>
      <c r="FE114" s="1">
        <v>286229.63502960087</v>
      </c>
      <c r="FF114" s="13">
        <f t="shared" si="211"/>
        <v>1.3819925832864843E-2</v>
      </c>
      <c r="FG114" s="1">
        <v>284</v>
      </c>
      <c r="FH114" s="13">
        <f t="shared" si="212"/>
        <v>1.067615658362997E-2</v>
      </c>
      <c r="FI114" s="1">
        <v>289949.21659129678</v>
      </c>
      <c r="FJ114" s="13">
        <f t="shared" si="213"/>
        <v>1.2995095917692989E-2</v>
      </c>
      <c r="FK114" s="1">
        <v>341</v>
      </c>
      <c r="FL114" s="13">
        <f t="shared" si="214"/>
        <v>0.20070422535211274</v>
      </c>
      <c r="FM114" s="1">
        <v>292018.96177896991</v>
      </c>
      <c r="FN114" s="13">
        <f t="shared" si="215"/>
        <v>7.1383023965558845E-3</v>
      </c>
      <c r="FO114" s="1">
        <v>352</v>
      </c>
      <c r="FP114" s="13">
        <f t="shared" si="216"/>
        <v>3.2258064516129004E-2</v>
      </c>
      <c r="FQ114" s="1">
        <v>292980.57497271651</v>
      </c>
      <c r="FR114" s="13">
        <f t="shared" si="217"/>
        <v>3.292982030647984E-3</v>
      </c>
      <c r="FS114">
        <v>363</v>
      </c>
      <c r="FT114" s="13">
        <f t="shared" si="218"/>
        <v>3.125E-2</v>
      </c>
      <c r="FU114" s="1">
        <v>294337.49712815369</v>
      </c>
      <c r="FV114" s="13">
        <f t="shared" si="219"/>
        <v>4.631440687026922E-3</v>
      </c>
      <c r="FW114" s="1">
        <v>362</v>
      </c>
      <c r="FX114" s="13">
        <f t="shared" si="220"/>
        <v>-2.7548209366391463E-3</v>
      </c>
      <c r="FY114" s="1">
        <v>296328.01863725833</v>
      </c>
      <c r="FZ114" s="13">
        <f t="shared" si="221"/>
        <v>6.762718065234985E-3</v>
      </c>
      <c r="GA114" s="1">
        <v>366</v>
      </c>
      <c r="GB114" s="13">
        <f t="shared" si="222"/>
        <v>1.1049723756906049E-2</v>
      </c>
      <c r="GC114" s="1">
        <v>294253.15048033523</v>
      </c>
      <c r="GD114" s="13">
        <f t="shared" si="223"/>
        <v>-7.0019303826378554E-3</v>
      </c>
      <c r="GE114" s="1">
        <v>361</v>
      </c>
      <c r="GF114" s="13">
        <f t="shared" si="224"/>
        <v>-1.3661202185792365E-2</v>
      </c>
      <c r="GG114" s="1">
        <f>IFERROR(VLOOKUP(A114,[3]Москва_продажа_районы!$C$2:$F$149,3,0),"")</f>
        <v>292909.12781580788</v>
      </c>
      <c r="GH114" s="13">
        <v>-4.5675727255031218E-3</v>
      </c>
      <c r="GI114" s="1">
        <v>334</v>
      </c>
      <c r="GJ114" s="13">
        <f t="shared" si="225"/>
        <v>-7.4792243767312971E-2</v>
      </c>
      <c r="GK114" s="1">
        <v>292286.29970378801</v>
      </c>
      <c r="GL114" s="13">
        <f t="shared" si="226"/>
        <v>-2.126352690557054E-3</v>
      </c>
      <c r="GM114" s="1">
        <v>375</v>
      </c>
      <c r="GN114" s="13">
        <f t="shared" si="227"/>
        <v>0.1227544910179641</v>
      </c>
      <c r="GO114" s="1">
        <v>293133.03614901332</v>
      </c>
      <c r="GP114" s="13">
        <f t="shared" si="228"/>
        <v>2.8969419575375355E-3</v>
      </c>
      <c r="GQ114" s="1">
        <v>381.99000000000007</v>
      </c>
      <c r="GR114" s="13">
        <f t="shared" si="229"/>
        <v>1.8640000000000212E-2</v>
      </c>
      <c r="GS114" s="1">
        <v>294661.20750723168</v>
      </c>
      <c r="GT114" s="13">
        <f t="shared" si="305"/>
        <v>5.2132348448146182E-3</v>
      </c>
      <c r="GU114">
        <v>395</v>
      </c>
      <c r="GV114" s="13">
        <f t="shared" si="306"/>
        <v>3.4058483206366397E-2</v>
      </c>
      <c r="GW114">
        <v>298584.41905993328</v>
      </c>
      <c r="GX114" s="13">
        <f t="shared" si="230"/>
        <v>1.3314313023730096E-2</v>
      </c>
      <c r="GY114">
        <v>339</v>
      </c>
      <c r="GZ114" s="13">
        <f t="shared" si="231"/>
        <v>-0.14177215189873416</v>
      </c>
      <c r="HA114">
        <v>300233.08452209859</v>
      </c>
      <c r="HB114" s="13">
        <v>5.5216058070142182E-3</v>
      </c>
      <c r="HC114">
        <v>280</v>
      </c>
      <c r="HD114" s="13">
        <v>-0.17404129793510326</v>
      </c>
      <c r="HE114">
        <v>301539.38025215972</v>
      </c>
      <c r="HF114" s="13">
        <v>4.3509386453544074E-3</v>
      </c>
      <c r="HG114">
        <v>301</v>
      </c>
      <c r="HH114" s="13">
        <v>7.4999999999999956E-2</v>
      </c>
      <c r="HI114">
        <f>VLOOKUP(A114,[4]Москва_продажа_районы!$C$4:$F$151,3,0)</f>
        <v>302336.6085798752</v>
      </c>
      <c r="HJ114" s="13">
        <f t="shared" si="232"/>
        <v>2.6438613989616666E-3</v>
      </c>
      <c r="HK114">
        <f>VLOOKUP(A114,[4]Москва_продажа_районы!$C$4:$F$151,2,0)</f>
        <v>313</v>
      </c>
      <c r="HL114" s="13">
        <f t="shared" si="233"/>
        <v>3.9867109634551534E-2</v>
      </c>
      <c r="HM114" s="1">
        <f>VLOOKUP(A114,Лист3!$C$4:$F$149,3,0)</f>
        <v>303370.67182921403</v>
      </c>
      <c r="HN114" s="13">
        <f t="shared" si="234"/>
        <v>3.4202383039090289E-3</v>
      </c>
      <c r="HO114">
        <f>VLOOKUP(A114,Лист3!$C$4:$F$149,2,0)</f>
        <v>311</v>
      </c>
      <c r="HP114" s="13">
        <f t="shared" si="235"/>
        <v>-6.389776357827448E-3</v>
      </c>
      <c r="HQ114" s="1">
        <v>302263.70042132592</v>
      </c>
      <c r="HR114" s="13">
        <v>-3.6489071313765553E-3</v>
      </c>
      <c r="HS114">
        <v>317</v>
      </c>
      <c r="HT114" s="13">
        <v>1.9292604501607746E-2</v>
      </c>
      <c r="HU114" s="34">
        <v>304379.75589778309</v>
      </c>
      <c r="HV114" s="13">
        <v>7.000693346596254E-3</v>
      </c>
      <c r="HW114">
        <v>299</v>
      </c>
      <c r="HX114" s="13">
        <v>-5.6782334384858024E-2</v>
      </c>
      <c r="HY114">
        <v>301230.61149012769</v>
      </c>
      <c r="HZ114" s="13">
        <v>-1.0346103335180268E-2</v>
      </c>
      <c r="IA114">
        <v>304</v>
      </c>
      <c r="IB114" s="13">
        <v>1.6722408026755842E-2</v>
      </c>
      <c r="IC114" s="34">
        <v>304219.77842953708</v>
      </c>
      <c r="ID114" s="13">
        <v>9.9231845150882236E-3</v>
      </c>
      <c r="IE114">
        <v>317</v>
      </c>
      <c r="IF114" s="13">
        <v>4.2763157894736947E-2</v>
      </c>
    </row>
    <row r="115" spans="1:240" x14ac:dyDescent="0.3">
      <c r="A115" s="75" t="s">
        <v>120</v>
      </c>
      <c r="B115" s="61">
        <v>215732.27419392506</v>
      </c>
      <c r="C115">
        <v>428</v>
      </c>
      <c r="D115" s="61">
        <v>211853.05234223916</v>
      </c>
      <c r="E115">
        <v>393</v>
      </c>
      <c r="F115" s="61">
        <v>212521.28052857137</v>
      </c>
      <c r="G115">
        <v>259</v>
      </c>
      <c r="H115" s="61">
        <v>212731.69180147204</v>
      </c>
      <c r="I115">
        <v>268</v>
      </c>
      <c r="J115" s="61">
        <v>210652.77662770505</v>
      </c>
      <c r="K115">
        <v>311</v>
      </c>
      <c r="L115" s="61">
        <v>211643.22727538858</v>
      </c>
      <c r="M115">
        <v>311</v>
      </c>
      <c r="N115" s="61">
        <v>215914.2327392424</v>
      </c>
      <c r="O115" s="47">
        <v>309</v>
      </c>
      <c r="P115" s="35">
        <v>220749.62349811502</v>
      </c>
      <c r="Q115" s="47">
        <v>326</v>
      </c>
      <c r="R115" s="35">
        <v>228893.6491822027</v>
      </c>
      <c r="S115" s="47">
        <v>278</v>
      </c>
      <c r="T115" s="35">
        <v>232849.90423127127</v>
      </c>
      <c r="U115" s="47">
        <v>263</v>
      </c>
      <c r="V115" s="61">
        <v>235242.79484995551</v>
      </c>
      <c r="W115" s="47">
        <v>255</v>
      </c>
      <c r="X115" s="65">
        <v>233010.91196928461</v>
      </c>
      <c r="Y115" s="47">
        <v>198</v>
      </c>
      <c r="Z115" s="34">
        <v>238878</v>
      </c>
      <c r="AA115" s="81">
        <v>248</v>
      </c>
      <c r="AB115" s="1">
        <v>241505.27236581</v>
      </c>
      <c r="AC115">
        <v>224</v>
      </c>
      <c r="AD115" s="1">
        <v>257580.64741946349</v>
      </c>
      <c r="AE115">
        <v>241</v>
      </c>
      <c r="AF115" s="13">
        <f t="shared" si="180"/>
        <v>0.10544457013849051</v>
      </c>
      <c r="AG115" s="85">
        <f t="shared" si="307"/>
        <v>5.8480951225430719E-2</v>
      </c>
      <c r="AH115">
        <f t="shared" si="308"/>
        <v>15</v>
      </c>
      <c r="AI115" s="90">
        <f t="shared" si="309"/>
        <v>256</v>
      </c>
      <c r="AL115" s="1">
        <v>266655.18814696319</v>
      </c>
      <c r="AM115">
        <v>229</v>
      </c>
      <c r="AN115" s="13">
        <f t="shared" si="310"/>
        <v>5.8107079421466631E-2</v>
      </c>
      <c r="AQ115">
        <f t="shared" si="311"/>
        <v>12</v>
      </c>
      <c r="AR115" s="90">
        <f t="shared" si="312"/>
        <v>241</v>
      </c>
      <c r="AS115">
        <v>221</v>
      </c>
      <c r="AT115" s="1">
        <v>266122.67674683698</v>
      </c>
      <c r="AU115" s="13">
        <f t="shared" si="313"/>
        <v>-1.9970037103974603E-3</v>
      </c>
      <c r="AV115" s="35">
        <v>234</v>
      </c>
      <c r="AW115" s="1">
        <v>288474.87346080388</v>
      </c>
      <c r="AX115" s="35">
        <v>259.98559955690945</v>
      </c>
      <c r="AY115" s="121">
        <v>263858.88161013898</v>
      </c>
      <c r="AZ115" s="122">
        <v>279</v>
      </c>
      <c r="BA115" s="119">
        <v>266762.63465366903</v>
      </c>
      <c r="BB115">
        <v>283</v>
      </c>
      <c r="BC115" s="13">
        <f t="shared" si="314"/>
        <v>1.1004947136175725E-2</v>
      </c>
      <c r="BD115">
        <v>309</v>
      </c>
      <c r="BE115" s="1">
        <v>304032.63221812568</v>
      </c>
      <c r="BF115" s="13">
        <f t="shared" si="291"/>
        <v>0.13971221124294009</v>
      </c>
      <c r="BG115">
        <v>292</v>
      </c>
      <c r="BH115" s="1">
        <v>307252.48786208453</v>
      </c>
      <c r="BI115" s="13">
        <f t="shared" si="267"/>
        <v>1.0590493594282213E-2</v>
      </c>
      <c r="BJ115">
        <v>270</v>
      </c>
      <c r="BK115" s="1">
        <v>314033.74401696719</v>
      </c>
      <c r="BL115" s="13">
        <f t="shared" si="292"/>
        <v>2.2070630581603412E-2</v>
      </c>
      <c r="BM115" s="1">
        <v>311727.28795936442</v>
      </c>
      <c r="BN115" s="109">
        <f t="shared" si="293"/>
        <v>-7.3446121684239696E-3</v>
      </c>
      <c r="BO115">
        <v>240</v>
      </c>
      <c r="BP115" s="13">
        <f t="shared" si="294"/>
        <v>-0.11111111111111116</v>
      </c>
      <c r="BQ115" s="1">
        <v>316432.46014653979</v>
      </c>
      <c r="BR115" s="13">
        <f t="shared" si="264"/>
        <v>1.50938732953938E-2</v>
      </c>
      <c r="BS115">
        <v>258</v>
      </c>
      <c r="BT115" s="13">
        <f t="shared" si="265"/>
        <v>7.4999999999999956E-2</v>
      </c>
      <c r="BU115" s="1">
        <v>326999.65429412352</v>
      </c>
      <c r="BV115" s="13">
        <f t="shared" si="295"/>
        <v>3.3394785549782258E-2</v>
      </c>
      <c r="BW115">
        <v>255</v>
      </c>
      <c r="BX115" s="13">
        <f t="shared" si="296"/>
        <v>-1.1627906976744207E-2</v>
      </c>
      <c r="BY115" s="1">
        <v>332444.54147317272</v>
      </c>
      <c r="BZ115" s="13">
        <f t="shared" si="297"/>
        <v>1.6651048732154727E-2</v>
      </c>
      <c r="CA115">
        <v>219</v>
      </c>
      <c r="CB115" s="13">
        <f t="shared" si="298"/>
        <v>-0.14117647058823535</v>
      </c>
      <c r="CC115" s="1">
        <v>325705.43935668032</v>
      </c>
      <c r="CD115" s="13">
        <f t="shared" si="299"/>
        <v>-2.027135740183672E-2</v>
      </c>
      <c r="CE115">
        <v>234</v>
      </c>
      <c r="CF115" s="13">
        <f t="shared" si="300"/>
        <v>6.8493150684931559E-2</v>
      </c>
      <c r="CG115" s="1">
        <v>318421.29597385542</v>
      </c>
      <c r="CH115" s="13">
        <f t="shared" si="301"/>
        <v>-2.2364205514075031E-2</v>
      </c>
      <c r="CI115">
        <v>268</v>
      </c>
      <c r="CJ115" s="13">
        <f t="shared" si="302"/>
        <v>0.14529914529914523</v>
      </c>
      <c r="CK115" s="1">
        <v>317153.44672559941</v>
      </c>
      <c r="CL115" s="13">
        <f t="shared" si="303"/>
        <v>-3.9816722822462181E-3</v>
      </c>
      <c r="CM115">
        <v>307</v>
      </c>
      <c r="CN115" s="13">
        <f t="shared" si="304"/>
        <v>0.14552238805970141</v>
      </c>
      <c r="CO115" s="1">
        <v>320635.79444991739</v>
      </c>
      <c r="CP115" s="13">
        <v>1.0980009078479069E-2</v>
      </c>
      <c r="CQ115">
        <v>313</v>
      </c>
      <c r="CR115" s="13">
        <v>1.9543973941368087E-2</v>
      </c>
      <c r="CS115" s="1">
        <v>314395.7485662059</v>
      </c>
      <c r="CT115" s="13">
        <f t="shared" si="181"/>
        <v>-1.9461476203606387E-2</v>
      </c>
      <c r="CU115">
        <v>373</v>
      </c>
      <c r="CV115" s="13">
        <f t="shared" si="182"/>
        <v>0.19169329073482433</v>
      </c>
      <c r="CW115" s="1">
        <v>312257.32511263562</v>
      </c>
      <c r="CX115" s="13">
        <f t="shared" si="183"/>
        <v>-6.8016932904548799E-3</v>
      </c>
      <c r="CY115">
        <v>374</v>
      </c>
      <c r="CZ115" s="13">
        <f t="shared" si="184"/>
        <v>2.6809651474530849E-3</v>
      </c>
      <c r="DA115" s="1">
        <v>312998.85209957458</v>
      </c>
      <c r="DB115" s="13">
        <f t="shared" si="185"/>
        <v>2.3747304780488143E-3</v>
      </c>
      <c r="DC115">
        <v>354</v>
      </c>
      <c r="DD115" s="13">
        <f t="shared" si="186"/>
        <v>-5.3475935828876997E-2</v>
      </c>
      <c r="DE115" s="1">
        <v>307449.80725908233</v>
      </c>
      <c r="DF115" s="13">
        <f t="shared" si="187"/>
        <v>-1.7728642783414794E-2</v>
      </c>
      <c r="DG115" s="1">
        <v>331</v>
      </c>
      <c r="DH115" s="13">
        <f t="shared" si="188"/>
        <v>-6.497175141242939E-2</v>
      </c>
      <c r="DI115" s="1">
        <v>310133.50080554723</v>
      </c>
      <c r="DJ115" s="13">
        <f t="shared" si="189"/>
        <v>8.7288834896013245E-3</v>
      </c>
      <c r="DK115" s="1">
        <v>331</v>
      </c>
      <c r="DL115" s="13">
        <f t="shared" si="190"/>
        <v>0</v>
      </c>
      <c r="DM115" s="1">
        <v>310848.62177209801</v>
      </c>
      <c r="DN115" s="13">
        <f t="shared" si="191"/>
        <v>2.3058488189546811E-3</v>
      </c>
      <c r="DO115" s="1">
        <v>362</v>
      </c>
      <c r="DP115" s="13">
        <f t="shared" si="192"/>
        <v>9.3655589123867067E-2</v>
      </c>
      <c r="DQ115" s="1">
        <v>307240.54066759162</v>
      </c>
      <c r="DR115" s="13">
        <f t="shared" si="193"/>
        <v>-1.1607196724686464E-2</v>
      </c>
      <c r="DS115">
        <v>388</v>
      </c>
      <c r="DT115" s="13">
        <f t="shared" si="194"/>
        <v>7.182320441988943E-2</v>
      </c>
      <c r="DU115" s="1">
        <v>307099.43517311628</v>
      </c>
      <c r="DV115" s="13">
        <f t="shared" si="195"/>
        <v>-4.5926717277844364E-4</v>
      </c>
      <c r="DW115">
        <v>354</v>
      </c>
      <c r="DX115" s="13">
        <f t="shared" si="196"/>
        <v>-8.7628865979381465E-2</v>
      </c>
      <c r="DY115" s="1">
        <v>304726.50975660462</v>
      </c>
      <c r="DZ115" s="13">
        <f t="shared" si="197"/>
        <v>-7.7268960627492334E-3</v>
      </c>
      <c r="EA115" s="1">
        <v>336</v>
      </c>
      <c r="EB115" s="13">
        <f t="shared" si="198"/>
        <v>-5.084745762711862E-2</v>
      </c>
      <c r="EC115" s="1">
        <v>305431.15716478502</v>
      </c>
      <c r="ED115" s="13">
        <f t="shared" si="199"/>
        <v>2.3123928690786943E-3</v>
      </c>
      <c r="EE115" s="1">
        <f>IFERROR(VLOOKUP($A115,[1]Москва_продажа_районы!$C$2:$F$148,2,0),"")</f>
        <v>312</v>
      </c>
      <c r="EF115" s="13">
        <v>-7.1428571428571397E-2</v>
      </c>
      <c r="EG115" s="1">
        <v>310098.88508787687</v>
      </c>
      <c r="EH115" s="13">
        <f t="shared" si="200"/>
        <v>1.5282422285993302E-2</v>
      </c>
      <c r="EI115" s="1">
        <f>IFERROR(VLOOKUP($A115,[2]Москва_продажа_районы!$C$2:$F$150,2,0),"")</f>
        <v>309</v>
      </c>
      <c r="EJ115" s="13">
        <v>-9.6153846153845812E-3</v>
      </c>
      <c r="EK115" s="1">
        <v>313787.7810730905</v>
      </c>
      <c r="EL115" s="13">
        <f t="shared" si="201"/>
        <v>1.1895869874437803E-2</v>
      </c>
      <c r="EM115">
        <v>326</v>
      </c>
      <c r="EN115" s="13">
        <f t="shared" si="202"/>
        <v>5.5016181229773364E-2</v>
      </c>
      <c r="EO115" s="1">
        <v>318520.06619676988</v>
      </c>
      <c r="EP115" s="13">
        <f t="shared" si="203"/>
        <v>1.5081164433796479E-2</v>
      </c>
      <c r="EQ115">
        <v>319</v>
      </c>
      <c r="ER115" s="13">
        <f t="shared" si="204"/>
        <v>-2.1472392638036797E-2</v>
      </c>
      <c r="ES115" s="183">
        <v>325891.50951689307</v>
      </c>
      <c r="ET115" s="13">
        <f t="shared" si="205"/>
        <v>2.3142790996311557E-2</v>
      </c>
      <c r="EU115">
        <v>314</v>
      </c>
      <c r="EV115" s="13">
        <f t="shared" si="206"/>
        <v>-1.5673981191222541E-2</v>
      </c>
      <c r="EW115" s="183">
        <v>327093.18117800407</v>
      </c>
      <c r="EX115" s="13">
        <f t="shared" si="207"/>
        <v>3.6873365092953136E-3</v>
      </c>
      <c r="EY115">
        <v>329</v>
      </c>
      <c r="EZ115" s="13">
        <f t="shared" si="208"/>
        <v>4.7770700636942776E-2</v>
      </c>
      <c r="FA115" s="1">
        <v>325143.47465713049</v>
      </c>
      <c r="FB115" s="13">
        <f t="shared" si="209"/>
        <v>-5.960706713150854E-3</v>
      </c>
      <c r="FC115" s="1">
        <v>303</v>
      </c>
      <c r="FD115" s="13">
        <f t="shared" si="210"/>
        <v>-7.9027355623100259E-2</v>
      </c>
      <c r="FE115" s="1">
        <v>336075.76146835071</v>
      </c>
      <c r="FF115" s="13">
        <f t="shared" si="211"/>
        <v>3.3622962363764275E-2</v>
      </c>
      <c r="FG115" s="1">
        <v>267</v>
      </c>
      <c r="FH115" s="13">
        <f t="shared" si="212"/>
        <v>-0.11881188118811881</v>
      </c>
      <c r="FI115" s="1">
        <v>338956.76354269951</v>
      </c>
      <c r="FJ115" s="13">
        <f t="shared" si="213"/>
        <v>8.5724780084150964E-3</v>
      </c>
      <c r="FK115" s="1">
        <v>310</v>
      </c>
      <c r="FL115" s="13">
        <f t="shared" si="214"/>
        <v>0.16104868913857673</v>
      </c>
      <c r="FM115" s="1">
        <v>336024.97514175699</v>
      </c>
      <c r="FN115" s="13">
        <f t="shared" si="215"/>
        <v>-8.6494465261590658E-3</v>
      </c>
      <c r="FO115" s="1">
        <v>320</v>
      </c>
      <c r="FP115" s="13">
        <f t="shared" si="216"/>
        <v>3.2258064516129004E-2</v>
      </c>
      <c r="FQ115" s="1">
        <v>333033.19429182122</v>
      </c>
      <c r="FR115" s="13">
        <f t="shared" si="217"/>
        <v>-8.903447872211423E-3</v>
      </c>
      <c r="FS115">
        <v>327</v>
      </c>
      <c r="FT115" s="13">
        <f t="shared" si="218"/>
        <v>2.1875000000000089E-2</v>
      </c>
      <c r="FU115" s="1">
        <v>331605.46954128513</v>
      </c>
      <c r="FV115" s="13">
        <f t="shared" si="219"/>
        <v>-4.2870343707691605E-3</v>
      </c>
      <c r="FW115" s="1">
        <v>328</v>
      </c>
      <c r="FX115" s="13">
        <f t="shared" si="220"/>
        <v>3.0581039755350758E-3</v>
      </c>
      <c r="FY115" s="1">
        <v>333171.45869443059</v>
      </c>
      <c r="FZ115" s="13">
        <f t="shared" si="221"/>
        <v>4.722446693390614E-3</v>
      </c>
      <c r="GA115" s="1">
        <v>337</v>
      </c>
      <c r="GB115" s="13">
        <f t="shared" si="222"/>
        <v>2.7439024390243816E-2</v>
      </c>
      <c r="GC115" s="1">
        <v>329930.8815669028</v>
      </c>
      <c r="GD115" s="13">
        <f t="shared" si="223"/>
        <v>-9.726454781650129E-3</v>
      </c>
      <c r="GE115" s="1">
        <v>338</v>
      </c>
      <c r="GF115" s="13">
        <f t="shared" si="224"/>
        <v>2.9673590504450953E-3</v>
      </c>
      <c r="GG115" s="1">
        <f>IFERROR(VLOOKUP(A115,[3]Москва_продажа_районы!$C$2:$F$149,3,0),"")</f>
        <v>326219.81135890138</v>
      </c>
      <c r="GH115" s="13">
        <v>-1.1248023193151435E-2</v>
      </c>
      <c r="GI115" s="1">
        <v>317</v>
      </c>
      <c r="GJ115" s="13">
        <f t="shared" si="225"/>
        <v>-6.2130177514792884E-2</v>
      </c>
      <c r="GK115" s="1">
        <v>329737.4551761066</v>
      </c>
      <c r="GL115" s="13">
        <f t="shared" si="226"/>
        <v>1.0783047793915701E-2</v>
      </c>
      <c r="GM115" s="1">
        <v>287</v>
      </c>
      <c r="GN115" s="13">
        <f t="shared" si="227"/>
        <v>-9.4637223974763374E-2</v>
      </c>
      <c r="GO115" s="1">
        <v>329250.40515823342</v>
      </c>
      <c r="GP115" s="13">
        <f t="shared" si="228"/>
        <v>-1.4770842991222999E-3</v>
      </c>
      <c r="GQ115" s="1">
        <v>288.90000000000003</v>
      </c>
      <c r="GR115" s="13">
        <f t="shared" si="229"/>
        <v>6.6202090592335505E-3</v>
      </c>
      <c r="GS115" s="1">
        <v>328659.91085841681</v>
      </c>
      <c r="GT115" s="13">
        <f t="shared" si="305"/>
        <v>-1.793450488034587E-3</v>
      </c>
      <c r="GU115">
        <v>299</v>
      </c>
      <c r="GV115" s="13">
        <f t="shared" si="306"/>
        <v>3.4960193838698306E-2</v>
      </c>
      <c r="GW115">
        <v>332456.2646558361</v>
      </c>
      <c r="GX115" s="13">
        <f t="shared" si="230"/>
        <v>1.1551009636385778E-2</v>
      </c>
      <c r="GY115">
        <v>257</v>
      </c>
      <c r="GZ115" s="13">
        <f t="shared" si="231"/>
        <v>-0.14046822742474918</v>
      </c>
      <c r="HA115">
        <v>335445.31962276303</v>
      </c>
      <c r="HB115" s="13">
        <v>8.9908216048244505E-3</v>
      </c>
      <c r="HC115">
        <v>238</v>
      </c>
      <c r="HD115" s="13">
        <v>-7.3929961089494123E-2</v>
      </c>
      <c r="HE115">
        <v>343010.80427434121</v>
      </c>
      <c r="HF115" s="13">
        <v>2.2553555554408078E-2</v>
      </c>
      <c r="HG115">
        <v>240</v>
      </c>
      <c r="HH115" s="13">
        <v>8.4033613445377853E-3</v>
      </c>
      <c r="HI115">
        <f>VLOOKUP(A115,[4]Москва_продажа_районы!$C$4:$F$151,3,0)</f>
        <v>346392.27006497863</v>
      </c>
      <c r="HJ115" s="13">
        <f t="shared" si="232"/>
        <v>9.8581903208299071E-3</v>
      </c>
      <c r="HK115">
        <f>VLOOKUP(A115,[4]Москва_продажа_районы!$C$4:$F$151,2,0)</f>
        <v>252</v>
      </c>
      <c r="HL115" s="13">
        <f t="shared" si="233"/>
        <v>5.0000000000000044E-2</v>
      </c>
      <c r="HM115" s="1">
        <f>VLOOKUP(A115,Лист3!$C$4:$F$149,3,0)</f>
        <v>348443.20057315641</v>
      </c>
      <c r="HN115" s="13">
        <f t="shared" si="234"/>
        <v>5.9208322050403606E-3</v>
      </c>
      <c r="HO115">
        <f>VLOOKUP(A115,Лист3!$C$4:$F$149,2,0)</f>
        <v>238</v>
      </c>
      <c r="HP115" s="13">
        <f t="shared" si="235"/>
        <v>-5.555555555555558E-2</v>
      </c>
      <c r="HQ115" s="1">
        <v>348146.29055774998</v>
      </c>
      <c r="HR115" s="13">
        <v>-8.5210448910477687E-4</v>
      </c>
      <c r="HS115">
        <v>231</v>
      </c>
      <c r="HT115" s="13">
        <v>-2.9411764705882359E-2</v>
      </c>
      <c r="HU115" s="34">
        <v>340751.42280884722</v>
      </c>
      <c r="HV115" s="13">
        <v>-2.1240690909145599E-2</v>
      </c>
      <c r="HW115">
        <v>240</v>
      </c>
      <c r="HX115" s="13">
        <v>3.8961038961038863E-2</v>
      </c>
      <c r="HY115">
        <v>344284.34563272807</v>
      </c>
      <c r="HZ115" s="13">
        <v>1.0368035428168332E-2</v>
      </c>
      <c r="IA115">
        <v>233</v>
      </c>
      <c r="IB115" s="13">
        <v>-2.9166666666666674E-2</v>
      </c>
      <c r="IC115" s="34">
        <v>346095.16550797888</v>
      </c>
      <c r="ID115" s="13">
        <v>5.2596637001396385E-3</v>
      </c>
      <c r="IE115">
        <v>249</v>
      </c>
      <c r="IF115" s="13">
        <v>6.8669527896995763E-2</v>
      </c>
    </row>
    <row r="116" spans="1:240" x14ac:dyDescent="0.3">
      <c r="A116" s="75" t="s">
        <v>121</v>
      </c>
      <c r="B116" s="61">
        <v>169510.99642129659</v>
      </c>
      <c r="C116">
        <v>725</v>
      </c>
      <c r="D116" s="61">
        <v>172781.59325928477</v>
      </c>
      <c r="E116">
        <v>727</v>
      </c>
      <c r="F116" s="61">
        <v>173195.32945585594</v>
      </c>
      <c r="G116">
        <v>444</v>
      </c>
      <c r="H116" s="61">
        <v>170611.47688667764</v>
      </c>
      <c r="I116">
        <v>457</v>
      </c>
      <c r="J116" s="61">
        <v>171820.51291308523</v>
      </c>
      <c r="K116">
        <v>576</v>
      </c>
      <c r="L116" s="61">
        <v>174706.75225393407</v>
      </c>
      <c r="M116">
        <v>588</v>
      </c>
      <c r="N116" s="61">
        <v>176980.24809298993</v>
      </c>
      <c r="O116" s="47">
        <v>577</v>
      </c>
      <c r="P116" s="35">
        <v>182909.41946092388</v>
      </c>
      <c r="Q116" s="47">
        <v>635</v>
      </c>
      <c r="R116" s="35">
        <v>188260.92241160144</v>
      </c>
      <c r="S116" s="47">
        <v>540</v>
      </c>
      <c r="T116" s="35">
        <v>197918.58363270483</v>
      </c>
      <c r="U116" s="47">
        <v>511</v>
      </c>
      <c r="V116" s="61">
        <v>201126.89298840141</v>
      </c>
      <c r="W116" s="47">
        <v>444</v>
      </c>
      <c r="X116" s="65">
        <v>204277.4215415194</v>
      </c>
      <c r="Y116" s="47">
        <v>424</v>
      </c>
      <c r="Z116" s="34">
        <v>202252.14529442973</v>
      </c>
      <c r="AA116" s="81">
        <v>490</v>
      </c>
      <c r="AB116" s="1">
        <v>210498.5446871843</v>
      </c>
      <c r="AC116">
        <v>462</v>
      </c>
      <c r="AD116" s="1">
        <v>213439.64426722619</v>
      </c>
      <c r="AE116">
        <v>517</v>
      </c>
      <c r="AF116" s="13">
        <f t="shared" si="180"/>
        <v>4.4851862024529066E-2</v>
      </c>
      <c r="AG116" s="85">
        <f t="shared" si="307"/>
        <v>0.12545498665372481</v>
      </c>
      <c r="AH116">
        <f t="shared" si="308"/>
        <v>32</v>
      </c>
      <c r="AI116" s="90">
        <f t="shared" si="309"/>
        <v>549</v>
      </c>
      <c r="AL116" s="1">
        <v>215330.14615748511</v>
      </c>
      <c r="AM116">
        <v>530</v>
      </c>
      <c r="AN116" s="13">
        <f t="shared" si="310"/>
        <v>0.13448363359553414</v>
      </c>
      <c r="AQ116">
        <f t="shared" si="311"/>
        <v>27</v>
      </c>
      <c r="AR116" s="90">
        <f t="shared" si="312"/>
        <v>557</v>
      </c>
      <c r="AS116">
        <v>548</v>
      </c>
      <c r="AT116" s="1">
        <v>220307.06518642281</v>
      </c>
      <c r="AU116" s="13">
        <f t="shared" si="313"/>
        <v>2.3112969167344399E-2</v>
      </c>
      <c r="AV116" s="35">
        <v>471</v>
      </c>
      <c r="AW116" s="1">
        <v>223186.33355708109</v>
      </c>
      <c r="AX116" s="35">
        <v>523.304347826087</v>
      </c>
      <c r="AY116" s="121">
        <v>224476.70188886501</v>
      </c>
      <c r="AZ116" s="122">
        <v>485</v>
      </c>
      <c r="BA116" s="119">
        <v>226813.8381819471</v>
      </c>
      <c r="BB116">
        <v>512</v>
      </c>
      <c r="BC116" s="13">
        <f t="shared" si="314"/>
        <v>1.0411487131698705E-2</v>
      </c>
      <c r="BD116">
        <v>503</v>
      </c>
      <c r="BE116" s="1">
        <v>231215.86156747249</v>
      </c>
      <c r="BF116" s="13">
        <f t="shared" si="291"/>
        <v>1.9408090003724343E-2</v>
      </c>
      <c r="BG116">
        <v>517</v>
      </c>
      <c r="BH116" s="1">
        <v>238402.8277742319</v>
      </c>
      <c r="BI116" s="13">
        <f t="shared" si="267"/>
        <v>3.1083361487560079E-2</v>
      </c>
      <c r="BJ116">
        <v>465</v>
      </c>
      <c r="BK116" s="1">
        <v>241958.65161383979</v>
      </c>
      <c r="BL116" s="13">
        <f t="shared" si="292"/>
        <v>1.4915191538647621E-2</v>
      </c>
      <c r="BM116" s="1">
        <v>249688.6829564462</v>
      </c>
      <c r="BN116" s="109">
        <f t="shared" si="293"/>
        <v>3.1947736900697299E-2</v>
      </c>
      <c r="BO116">
        <v>418</v>
      </c>
      <c r="BP116" s="13">
        <f t="shared" si="294"/>
        <v>-0.1010752688172043</v>
      </c>
      <c r="BQ116" s="1">
        <v>253369.38936425871</v>
      </c>
      <c r="BR116" s="13">
        <f t="shared" si="264"/>
        <v>1.4741182356488913E-2</v>
      </c>
      <c r="BS116">
        <v>479</v>
      </c>
      <c r="BT116" s="13">
        <f t="shared" si="265"/>
        <v>0.14593301435406691</v>
      </c>
      <c r="BU116" s="1">
        <v>258389.40871687941</v>
      </c>
      <c r="BV116" s="13">
        <f t="shared" si="295"/>
        <v>1.9813045945355379E-2</v>
      </c>
      <c r="BW116">
        <v>473</v>
      </c>
      <c r="BX116" s="13">
        <f t="shared" si="296"/>
        <v>-1.2526096033402934E-2</v>
      </c>
      <c r="BY116" s="1">
        <v>262564.19482469239</v>
      </c>
      <c r="BZ116" s="13">
        <f t="shared" si="297"/>
        <v>1.6156955227167868E-2</v>
      </c>
      <c r="CA116">
        <v>448</v>
      </c>
      <c r="CB116" s="13">
        <f t="shared" si="298"/>
        <v>-5.2854122621564525E-2</v>
      </c>
      <c r="CC116" s="1">
        <v>263174.29387052072</v>
      </c>
      <c r="CD116" s="13">
        <f t="shared" si="299"/>
        <v>2.3236185963424472E-3</v>
      </c>
      <c r="CE116">
        <v>495</v>
      </c>
      <c r="CF116" s="13">
        <f t="shared" si="300"/>
        <v>0.10491071428571419</v>
      </c>
      <c r="CG116" s="1">
        <v>259661.25701028149</v>
      </c>
      <c r="CH116" s="13">
        <f t="shared" si="301"/>
        <v>-1.334870822135692E-2</v>
      </c>
      <c r="CI116">
        <v>567</v>
      </c>
      <c r="CJ116" s="13">
        <f t="shared" si="302"/>
        <v>0.1454545454545455</v>
      </c>
      <c r="CK116" s="1">
        <v>258443.63405278671</v>
      </c>
      <c r="CL116" s="13">
        <f t="shared" si="303"/>
        <v>-4.6892746785346384E-3</v>
      </c>
      <c r="CM116">
        <v>597</v>
      </c>
      <c r="CN116" s="13">
        <f t="shared" si="304"/>
        <v>5.2910052910053018E-2</v>
      </c>
      <c r="CO116" s="1">
        <v>256507.48300772</v>
      </c>
      <c r="CP116" s="13">
        <v>-7.4915795552977782E-3</v>
      </c>
      <c r="CQ116">
        <v>636</v>
      </c>
      <c r="CR116" s="13">
        <v>6.5326633165829096E-2</v>
      </c>
      <c r="CS116" s="1">
        <v>253896.23110712989</v>
      </c>
      <c r="CT116" s="13">
        <f t="shared" si="181"/>
        <v>-1.018002231346804E-2</v>
      </c>
      <c r="CU116">
        <v>691</v>
      </c>
      <c r="CV116" s="13">
        <f t="shared" si="182"/>
        <v>8.6477987421383684E-2</v>
      </c>
      <c r="CW116" s="1">
        <v>251076.6350659313</v>
      </c>
      <c r="CX116" s="13">
        <f t="shared" si="183"/>
        <v>-1.1105308766906741E-2</v>
      </c>
      <c r="CY116">
        <v>738</v>
      </c>
      <c r="CZ116" s="13">
        <f t="shared" si="184"/>
        <v>6.8017366136034818E-2</v>
      </c>
      <c r="DA116" s="1">
        <v>247767.8201496517</v>
      </c>
      <c r="DB116" s="13">
        <f t="shared" si="185"/>
        <v>-1.317850589884928E-2</v>
      </c>
      <c r="DC116">
        <v>802</v>
      </c>
      <c r="DD116" s="13">
        <f t="shared" si="186"/>
        <v>8.6720867208672114E-2</v>
      </c>
      <c r="DE116" s="1">
        <v>246660.6212571818</v>
      </c>
      <c r="DF116" s="13">
        <f t="shared" si="187"/>
        <v>-4.4686952962702531E-3</v>
      </c>
      <c r="DG116" s="1">
        <v>767</v>
      </c>
      <c r="DH116" s="13">
        <f t="shared" si="188"/>
        <v>-4.3640897755610975E-2</v>
      </c>
      <c r="DI116" s="1">
        <v>246376.75204468329</v>
      </c>
      <c r="DJ116" s="13">
        <f t="shared" si="189"/>
        <v>-1.1508493372459627E-3</v>
      </c>
      <c r="DK116" s="1">
        <v>725</v>
      </c>
      <c r="DL116" s="13">
        <f t="shared" si="190"/>
        <v>-5.4758800521512385E-2</v>
      </c>
      <c r="DM116" s="1">
        <v>246252.59718288001</v>
      </c>
      <c r="DN116" s="13">
        <f t="shared" si="191"/>
        <v>-5.0392279617672564E-4</v>
      </c>
      <c r="DO116" s="1">
        <v>776</v>
      </c>
      <c r="DP116" s="13">
        <f t="shared" si="192"/>
        <v>7.0344827586206859E-2</v>
      </c>
      <c r="DQ116" s="1">
        <v>244542.02802965741</v>
      </c>
      <c r="DR116" s="13">
        <f t="shared" si="193"/>
        <v>-6.9464004554325998E-3</v>
      </c>
      <c r="DS116">
        <v>799</v>
      </c>
      <c r="DT116" s="13">
        <f t="shared" si="194"/>
        <v>2.9639175257731853E-2</v>
      </c>
      <c r="DU116" s="1">
        <v>244328.20927504581</v>
      </c>
      <c r="DV116" s="13">
        <f t="shared" si="195"/>
        <v>-8.7436403604890245E-4</v>
      </c>
      <c r="DW116">
        <v>744</v>
      </c>
      <c r="DX116" s="13">
        <f t="shared" si="196"/>
        <v>-6.883604505632035E-2</v>
      </c>
      <c r="DY116" s="1">
        <v>245939.35252337181</v>
      </c>
      <c r="DZ116" s="13">
        <f t="shared" si="197"/>
        <v>6.594176141619057E-3</v>
      </c>
      <c r="EA116" s="1">
        <v>748</v>
      </c>
      <c r="EB116" s="13">
        <f t="shared" si="198"/>
        <v>5.3763440860215006E-3</v>
      </c>
      <c r="EC116" s="1">
        <v>247179.9969605268</v>
      </c>
      <c r="ED116" s="13">
        <f t="shared" si="199"/>
        <v>5.0445137161898579E-3</v>
      </c>
      <c r="EE116" s="1">
        <f>IFERROR(VLOOKUP($A116,[1]Москва_продажа_районы!$C$2:$F$148,2,0),"")</f>
        <v>716</v>
      </c>
      <c r="EF116" s="13">
        <v>-4.2780748663101553E-2</v>
      </c>
      <c r="EG116" s="1">
        <v>246579.0021171371</v>
      </c>
      <c r="EH116" s="13">
        <f t="shared" si="200"/>
        <v>-2.4314056589525013E-3</v>
      </c>
      <c r="EI116" s="1">
        <f>IFERROR(VLOOKUP($A116,[2]Москва_продажа_районы!$C$2:$F$150,2,0),"")</f>
        <v>673</v>
      </c>
      <c r="EJ116" s="13">
        <v>-6.0055865921787688E-2</v>
      </c>
      <c r="EK116" s="1">
        <v>253385.23129327039</v>
      </c>
      <c r="EL116" s="13">
        <f t="shared" si="201"/>
        <v>2.7602630871626177E-2</v>
      </c>
      <c r="EM116">
        <v>683</v>
      </c>
      <c r="EN116" s="13">
        <f t="shared" si="202"/>
        <v>1.4858841010401136E-2</v>
      </c>
      <c r="EO116" s="1">
        <v>257755.95298199379</v>
      </c>
      <c r="EP116" s="13">
        <f t="shared" si="203"/>
        <v>1.7249315070240634E-2</v>
      </c>
      <c r="EQ116">
        <v>645</v>
      </c>
      <c r="ER116" s="13">
        <f t="shared" si="204"/>
        <v>-5.5636896046852069E-2</v>
      </c>
      <c r="ES116" s="183">
        <v>257907.63859766661</v>
      </c>
      <c r="ET116" s="13">
        <f t="shared" si="205"/>
        <v>5.8848540224953894E-4</v>
      </c>
      <c r="EU116">
        <v>575</v>
      </c>
      <c r="EV116" s="13">
        <f t="shared" si="206"/>
        <v>-0.10852713178294571</v>
      </c>
      <c r="EW116" s="183">
        <v>260994.67893818941</v>
      </c>
      <c r="EX116" s="13">
        <f t="shared" si="207"/>
        <v>1.1969557618797699E-2</v>
      </c>
      <c r="EY116">
        <v>599</v>
      </c>
      <c r="EZ116" s="13">
        <f t="shared" si="208"/>
        <v>4.1739130434782501E-2</v>
      </c>
      <c r="FA116" s="1">
        <v>260487.607503215</v>
      </c>
      <c r="FB116" s="13">
        <f t="shared" si="209"/>
        <v>-1.9428420419808079E-3</v>
      </c>
      <c r="FC116" s="1">
        <v>509</v>
      </c>
      <c r="FD116" s="13">
        <f t="shared" si="210"/>
        <v>-0.15025041736227041</v>
      </c>
      <c r="FE116" s="1">
        <v>264314.46089001728</v>
      </c>
      <c r="FF116" s="13">
        <f t="shared" si="211"/>
        <v>1.4691114957378737E-2</v>
      </c>
      <c r="FG116" s="1">
        <v>504</v>
      </c>
      <c r="FH116" s="13">
        <f t="shared" si="212"/>
        <v>-9.8231827111984193E-3</v>
      </c>
      <c r="FI116" s="1">
        <v>262676.11628328147</v>
      </c>
      <c r="FJ116" s="13">
        <f t="shared" si="213"/>
        <v>-6.1984675421051794E-3</v>
      </c>
      <c r="FK116" s="1">
        <v>576</v>
      </c>
      <c r="FL116" s="13">
        <f t="shared" si="214"/>
        <v>0.14285714285714279</v>
      </c>
      <c r="FM116" s="1">
        <v>265469.34943742282</v>
      </c>
      <c r="FN116" s="13">
        <f t="shared" si="215"/>
        <v>1.0633753816920999E-2</v>
      </c>
      <c r="FO116" s="1">
        <v>614</v>
      </c>
      <c r="FP116" s="13">
        <f t="shared" si="216"/>
        <v>6.5972222222222321E-2</v>
      </c>
      <c r="FQ116" s="1">
        <v>269203.89303855092</v>
      </c>
      <c r="FR116" s="13">
        <f t="shared" si="217"/>
        <v>1.4067701635018359E-2</v>
      </c>
      <c r="FS116">
        <v>614</v>
      </c>
      <c r="FT116" s="13">
        <f t="shared" si="218"/>
        <v>0</v>
      </c>
      <c r="FU116" s="1">
        <v>269737.66478188039</v>
      </c>
      <c r="FV116" s="13">
        <f t="shared" si="219"/>
        <v>1.9827786935200375E-3</v>
      </c>
      <c r="FW116" s="1">
        <v>625</v>
      </c>
      <c r="FX116" s="13">
        <f t="shared" si="220"/>
        <v>1.791530944625408E-2</v>
      </c>
      <c r="FY116" s="1">
        <v>270416.65168999118</v>
      </c>
      <c r="FZ116" s="13">
        <f t="shared" si="221"/>
        <v>2.5172120795953212E-3</v>
      </c>
      <c r="GA116" s="1">
        <v>604</v>
      </c>
      <c r="GB116" s="13">
        <f t="shared" si="222"/>
        <v>-3.3599999999999963E-2</v>
      </c>
      <c r="GC116" s="1">
        <v>269809.08741137933</v>
      </c>
      <c r="GD116" s="13">
        <f t="shared" si="223"/>
        <v>-2.2467709544321535E-3</v>
      </c>
      <c r="GE116" s="1">
        <v>634</v>
      </c>
      <c r="GF116" s="13">
        <f t="shared" si="224"/>
        <v>4.9668874172185351E-2</v>
      </c>
      <c r="GG116" s="1">
        <f>IFERROR(VLOOKUP(A116,[3]Москва_продажа_районы!$C$2:$F$149,3,0),"")</f>
        <v>270062.11709299329</v>
      </c>
      <c r="GH116" s="13">
        <v>9.3781007912507874E-4</v>
      </c>
      <c r="GI116" s="1">
        <v>626</v>
      </c>
      <c r="GJ116" s="13">
        <f t="shared" si="225"/>
        <v>-1.2618296529968487E-2</v>
      </c>
      <c r="GK116" s="1">
        <v>271758.05684621062</v>
      </c>
      <c r="GL116" s="13">
        <f t="shared" si="226"/>
        <v>6.2798135905650643E-3</v>
      </c>
      <c r="GM116" s="1">
        <v>664</v>
      </c>
      <c r="GN116" s="13">
        <f t="shared" si="227"/>
        <v>6.0702875399361034E-2</v>
      </c>
      <c r="GO116" s="1">
        <v>269302.93361303082</v>
      </c>
      <c r="GP116" s="13">
        <f t="shared" si="228"/>
        <v>-9.0342242716622279E-3</v>
      </c>
      <c r="GQ116" s="1">
        <v>683.73000000000013</v>
      </c>
      <c r="GR116" s="13">
        <f t="shared" si="229"/>
        <v>2.9713855421686919E-2</v>
      </c>
      <c r="GS116" s="1">
        <v>267583.07657871518</v>
      </c>
      <c r="GT116" s="13">
        <f t="shared" si="305"/>
        <v>-6.3863286271770292E-3</v>
      </c>
      <c r="GU116">
        <v>674</v>
      </c>
      <c r="GV116" s="13">
        <f t="shared" si="306"/>
        <v>-1.4230763605517005E-2</v>
      </c>
      <c r="GW116">
        <v>264814.87490557198</v>
      </c>
      <c r="GX116" s="13">
        <f t="shared" si="230"/>
        <v>-1.0345204594165991E-2</v>
      </c>
      <c r="GY116">
        <v>586</v>
      </c>
      <c r="GZ116" s="13">
        <f t="shared" si="231"/>
        <v>-0.13056379821958453</v>
      </c>
      <c r="HA116">
        <v>267235.24556612741</v>
      </c>
      <c r="HB116" s="13">
        <v>9.1398591616822511E-3</v>
      </c>
      <c r="HC116">
        <v>538</v>
      </c>
      <c r="HD116" s="13">
        <v>-8.191126279863481E-2</v>
      </c>
      <c r="HE116">
        <v>268670.61275573028</v>
      </c>
      <c r="HF116" s="13">
        <v>5.3711746987643583E-3</v>
      </c>
      <c r="HG116">
        <v>558</v>
      </c>
      <c r="HH116" s="13">
        <v>3.7174721189590976E-2</v>
      </c>
      <c r="HI116">
        <f>VLOOKUP(A116,[4]Москва_продажа_районы!$C$4:$F$151,3,0)</f>
        <v>271688.6264252385</v>
      </c>
      <c r="HJ116" s="13">
        <f t="shared" si="232"/>
        <v>1.1233136510736097E-2</v>
      </c>
      <c r="HK116">
        <f>VLOOKUP(A116,[4]Москва_продажа_районы!$C$4:$F$151,2,0)</f>
        <v>583</v>
      </c>
      <c r="HL116" s="13">
        <f t="shared" si="233"/>
        <v>4.4802867383512579E-2</v>
      </c>
      <c r="HM116" s="1">
        <f>VLOOKUP(A116,Лист3!$C$4:$F$149,3,0)</f>
        <v>268958.49072907632</v>
      </c>
      <c r="HN116" s="13">
        <f t="shared" si="234"/>
        <v>-1.0048766973001833E-2</v>
      </c>
      <c r="HO116">
        <f>VLOOKUP(A116,Лист3!$C$4:$F$149,2,0)</f>
        <v>579</v>
      </c>
      <c r="HP116" s="13">
        <f t="shared" si="235"/>
        <v>-6.8610634648370583E-3</v>
      </c>
      <c r="HQ116" s="1">
        <v>273178.61749529169</v>
      </c>
      <c r="HR116" s="13">
        <v>1.5690624805246633E-2</v>
      </c>
      <c r="HS116">
        <v>581</v>
      </c>
      <c r="HT116" s="13">
        <v>3.4542314335059832E-3</v>
      </c>
      <c r="HU116" s="34">
        <v>272927.44808326708</v>
      </c>
      <c r="HV116" s="13">
        <v>-9.1943291289608986E-4</v>
      </c>
      <c r="HW116">
        <v>522</v>
      </c>
      <c r="HX116" s="13">
        <v>-0.10154905335628228</v>
      </c>
      <c r="HY116">
        <v>273116.14060622657</v>
      </c>
      <c r="HZ116" s="13">
        <v>6.9136513855472259E-4</v>
      </c>
      <c r="IA116">
        <v>577</v>
      </c>
      <c r="IB116" s="13">
        <v>0.1053639846743295</v>
      </c>
      <c r="IC116" s="34">
        <v>274314.76764676342</v>
      </c>
      <c r="ID116" s="13">
        <v>4.3887081806159856E-3</v>
      </c>
      <c r="IE116">
        <v>570</v>
      </c>
      <c r="IF116" s="13">
        <v>-1.2131715771230511E-2</v>
      </c>
    </row>
    <row r="117" spans="1:240" x14ac:dyDescent="0.3">
      <c r="A117" s="75" t="s">
        <v>122</v>
      </c>
      <c r="B117" s="61">
        <v>171872.90273255217</v>
      </c>
      <c r="C117">
        <v>1152</v>
      </c>
      <c r="D117" s="61">
        <v>173807.45358247685</v>
      </c>
      <c r="E117">
        <v>1090</v>
      </c>
      <c r="F117" s="61">
        <v>172822.66113574771</v>
      </c>
      <c r="G117">
        <v>701</v>
      </c>
      <c r="H117" s="61">
        <v>175246.15083687592</v>
      </c>
      <c r="I117">
        <v>723</v>
      </c>
      <c r="J117" s="61">
        <v>175143.36850412938</v>
      </c>
      <c r="K117">
        <v>886</v>
      </c>
      <c r="L117" s="61">
        <v>176107.95464675632</v>
      </c>
      <c r="M117">
        <v>909</v>
      </c>
      <c r="N117" s="61">
        <v>178677.40767513833</v>
      </c>
      <c r="O117" s="47">
        <v>909</v>
      </c>
      <c r="P117" s="35">
        <v>181632.5398642784</v>
      </c>
      <c r="Q117" s="47">
        <v>872</v>
      </c>
      <c r="R117" s="35">
        <v>186932.9777424075</v>
      </c>
      <c r="S117" s="47">
        <v>823</v>
      </c>
      <c r="T117" s="35">
        <v>193790.04326759302</v>
      </c>
      <c r="U117" s="47">
        <v>682</v>
      </c>
      <c r="V117" s="61">
        <v>198809.5817656682</v>
      </c>
      <c r="W117" s="47">
        <v>629</v>
      </c>
      <c r="X117" s="65">
        <v>204449.5283561231</v>
      </c>
      <c r="Y117" s="47">
        <v>587</v>
      </c>
      <c r="Z117" s="34">
        <v>204298.16658687309</v>
      </c>
      <c r="AA117" s="81">
        <v>637</v>
      </c>
      <c r="AB117" s="1">
        <v>210993.3186549338</v>
      </c>
      <c r="AC117">
        <v>627</v>
      </c>
      <c r="AD117" s="1">
        <v>216937.21137967729</v>
      </c>
      <c r="AE117">
        <v>688</v>
      </c>
      <c r="AF117" s="13">
        <f t="shared" si="180"/>
        <v>6.1079539404964356E-2</v>
      </c>
      <c r="AG117" s="85">
        <f t="shared" si="307"/>
        <v>0.16694976947342877</v>
      </c>
      <c r="AH117">
        <f t="shared" si="308"/>
        <v>43</v>
      </c>
      <c r="AI117" s="90">
        <f t="shared" si="309"/>
        <v>731</v>
      </c>
      <c r="AL117" s="1">
        <v>218294.46728734279</v>
      </c>
      <c r="AM117">
        <v>667</v>
      </c>
      <c r="AN117" s="13">
        <f t="shared" si="310"/>
        <v>0.16924638416645521</v>
      </c>
      <c r="AQ117">
        <f t="shared" si="311"/>
        <v>35</v>
      </c>
      <c r="AR117" s="90">
        <f t="shared" si="312"/>
        <v>702</v>
      </c>
      <c r="AS117">
        <v>644</v>
      </c>
      <c r="AT117" s="1">
        <v>221214.28618339539</v>
      </c>
      <c r="AU117" s="13">
        <f t="shared" si="313"/>
        <v>1.3375597340308243E-2</v>
      </c>
      <c r="AV117" s="35">
        <v>608</v>
      </c>
      <c r="AW117" s="1">
        <v>223372.85304552989</v>
      </c>
      <c r="AX117" s="35">
        <v>675.51813901966216</v>
      </c>
      <c r="AY117" s="121">
        <v>222548.68074980431</v>
      </c>
      <c r="AZ117" s="122">
        <v>602</v>
      </c>
      <c r="BA117" s="119">
        <v>230984.82413149221</v>
      </c>
      <c r="BB117">
        <v>628</v>
      </c>
      <c r="BC117" s="13">
        <f t="shared" si="314"/>
        <v>3.7906957494715732E-2</v>
      </c>
      <c r="BD117">
        <v>652</v>
      </c>
      <c r="BE117" s="1">
        <v>236821.29028893271</v>
      </c>
      <c r="BF117" s="13">
        <f t="shared" si="291"/>
        <v>2.5267747261690232E-2</v>
      </c>
      <c r="BG117">
        <v>614</v>
      </c>
      <c r="BH117" s="1">
        <v>240464.1531339442</v>
      </c>
      <c r="BI117" s="13">
        <f t="shared" si="267"/>
        <v>1.538232833951314E-2</v>
      </c>
      <c r="BJ117">
        <v>585</v>
      </c>
      <c r="BK117" s="1">
        <v>245302.20197647001</v>
      </c>
      <c r="BL117" s="13">
        <f t="shared" si="292"/>
        <v>2.0119626062645946E-2</v>
      </c>
      <c r="BM117" s="1">
        <v>250501.83736468561</v>
      </c>
      <c r="BN117" s="109">
        <f t="shared" si="293"/>
        <v>2.1196855740880594E-2</v>
      </c>
      <c r="BO117">
        <v>536</v>
      </c>
      <c r="BP117" s="13">
        <f t="shared" si="294"/>
        <v>-8.3760683760683796E-2</v>
      </c>
      <c r="BQ117" s="1">
        <v>254565.45147521279</v>
      </c>
      <c r="BR117" s="13">
        <f t="shared" si="264"/>
        <v>1.6221893433105983E-2</v>
      </c>
      <c r="BS117">
        <v>612</v>
      </c>
      <c r="BT117" s="13">
        <f t="shared" si="265"/>
        <v>0.14179104477611948</v>
      </c>
      <c r="BU117" s="1">
        <v>262904.75213695032</v>
      </c>
      <c r="BV117" s="13">
        <f t="shared" si="295"/>
        <v>3.2758964790434497E-2</v>
      </c>
      <c r="BW117">
        <v>546</v>
      </c>
      <c r="BX117" s="13">
        <f t="shared" si="296"/>
        <v>-0.10784313725490191</v>
      </c>
      <c r="BY117" s="1">
        <v>267522.50417502061</v>
      </c>
      <c r="BZ117" s="13">
        <f t="shared" si="297"/>
        <v>1.7564353632013585E-2</v>
      </c>
      <c r="CA117">
        <v>469</v>
      </c>
      <c r="CB117" s="13">
        <f t="shared" si="298"/>
        <v>-0.14102564102564108</v>
      </c>
      <c r="CC117" s="1">
        <v>264476.15389979008</v>
      </c>
      <c r="CD117" s="13">
        <f t="shared" si="299"/>
        <v>-1.1387267342703788E-2</v>
      </c>
      <c r="CE117">
        <v>530</v>
      </c>
      <c r="CF117" s="13">
        <f t="shared" si="300"/>
        <v>0.13006396588486147</v>
      </c>
      <c r="CG117" s="1">
        <v>260299.5645973098</v>
      </c>
      <c r="CH117" s="13">
        <f t="shared" si="301"/>
        <v>-1.5791931487565414E-2</v>
      </c>
      <c r="CI117">
        <v>611</v>
      </c>
      <c r="CJ117" s="13">
        <f t="shared" si="302"/>
        <v>0.15283018867924536</v>
      </c>
      <c r="CK117" s="1">
        <v>257118.0064775311</v>
      </c>
      <c r="CL117" s="13">
        <f t="shared" si="303"/>
        <v>-1.2222679375974543E-2</v>
      </c>
      <c r="CM117">
        <v>685</v>
      </c>
      <c r="CN117" s="13">
        <f t="shared" si="304"/>
        <v>0.12111292962356801</v>
      </c>
      <c r="CO117" s="1">
        <v>256224.95558068759</v>
      </c>
      <c r="CP117" s="13">
        <v>-3.4733113758859124E-3</v>
      </c>
      <c r="CQ117">
        <v>700</v>
      </c>
      <c r="CR117" s="13">
        <v>2.1897810218978186E-2</v>
      </c>
      <c r="CS117" s="1">
        <v>254548.45744452899</v>
      </c>
      <c r="CT117" s="13">
        <f t="shared" si="181"/>
        <v>-6.5430712334757501E-3</v>
      </c>
      <c r="CU117">
        <v>779</v>
      </c>
      <c r="CV117" s="13">
        <f t="shared" si="182"/>
        <v>0.11285714285714277</v>
      </c>
      <c r="CW117" s="1">
        <v>252363.9643614316</v>
      </c>
      <c r="CX117" s="13">
        <f t="shared" si="183"/>
        <v>-8.5818358713622978E-3</v>
      </c>
      <c r="CY117">
        <v>836</v>
      </c>
      <c r="CZ117" s="13">
        <f t="shared" si="184"/>
        <v>7.3170731707317138E-2</v>
      </c>
      <c r="DA117" s="1">
        <v>249048.02574701959</v>
      </c>
      <c r="DB117" s="13">
        <f t="shared" si="185"/>
        <v>-1.3139509132385374E-2</v>
      </c>
      <c r="DC117">
        <v>795</v>
      </c>
      <c r="DD117" s="13">
        <f t="shared" si="186"/>
        <v>-4.9043062200956888E-2</v>
      </c>
      <c r="DE117" s="1">
        <v>246382.14538761729</v>
      </c>
      <c r="DF117" s="13">
        <f t="shared" si="187"/>
        <v>-1.0704282241973173E-2</v>
      </c>
      <c r="DG117" s="1">
        <v>749</v>
      </c>
      <c r="DH117" s="13">
        <f t="shared" si="188"/>
        <v>-5.7861635220125773E-2</v>
      </c>
      <c r="DI117" s="1">
        <v>243291.14219020371</v>
      </c>
      <c r="DJ117" s="13">
        <f t="shared" si="189"/>
        <v>-1.2545564909140272E-2</v>
      </c>
      <c r="DK117" s="1">
        <v>714</v>
      </c>
      <c r="DL117" s="13">
        <f t="shared" si="190"/>
        <v>-4.6728971962616828E-2</v>
      </c>
      <c r="DM117" s="1">
        <v>241970.7217386972</v>
      </c>
      <c r="DN117" s="13">
        <f t="shared" si="191"/>
        <v>-5.4273264518368558E-3</v>
      </c>
      <c r="DO117" s="1">
        <v>787</v>
      </c>
      <c r="DP117" s="13">
        <f t="shared" si="192"/>
        <v>0.1022408963585435</v>
      </c>
      <c r="DQ117" s="1">
        <v>240991.79833726131</v>
      </c>
      <c r="DR117" s="13">
        <f t="shared" si="193"/>
        <v>-4.0456274808859938E-3</v>
      </c>
      <c r="DS117">
        <v>834</v>
      </c>
      <c r="DT117" s="13">
        <f t="shared" si="194"/>
        <v>5.9720457433291019E-2</v>
      </c>
      <c r="DU117" s="1">
        <v>243163.86977403829</v>
      </c>
      <c r="DV117" s="13">
        <f t="shared" si="195"/>
        <v>9.0130512812607311E-3</v>
      </c>
      <c r="DW117">
        <v>803</v>
      </c>
      <c r="DX117" s="13">
        <f t="shared" si="196"/>
        <v>-3.7170263788968816E-2</v>
      </c>
      <c r="DY117" s="1">
        <v>244751.95826117211</v>
      </c>
      <c r="DZ117" s="13">
        <f t="shared" si="197"/>
        <v>6.5309393562849039E-3</v>
      </c>
      <c r="EA117" s="1">
        <v>755</v>
      </c>
      <c r="EB117" s="13">
        <f t="shared" si="198"/>
        <v>-5.9775840597758423E-2</v>
      </c>
      <c r="EC117" s="1">
        <v>246935.9098170315</v>
      </c>
      <c r="ED117" s="13">
        <f t="shared" si="199"/>
        <v>8.9231218878702556E-3</v>
      </c>
      <c r="EE117" s="1">
        <f>IFERROR(VLOOKUP($A117,[1]Москва_продажа_районы!$C$2:$F$148,2,0),"")</f>
        <v>747</v>
      </c>
      <c r="EF117" s="13">
        <v>-1.059602649006619E-2</v>
      </c>
      <c r="EG117" s="1">
        <v>248651.72222820701</v>
      </c>
      <c r="EH117" s="13">
        <f t="shared" si="200"/>
        <v>6.9484118873064382E-3</v>
      </c>
      <c r="EI117" s="1">
        <f>IFERROR(VLOOKUP($A117,[2]Москва_продажа_районы!$C$2:$F$150,2,0),"")</f>
        <v>703</v>
      </c>
      <c r="EJ117" s="13">
        <v>-5.8902275769745605E-2</v>
      </c>
      <c r="EK117" s="1">
        <v>252149.30281428809</v>
      </c>
      <c r="EL117" s="13">
        <f t="shared" si="201"/>
        <v>1.4066182830903884E-2</v>
      </c>
      <c r="EM117">
        <v>613</v>
      </c>
      <c r="EN117" s="13">
        <f t="shared" si="202"/>
        <v>-0.12802275960170695</v>
      </c>
      <c r="EO117" s="1">
        <v>256699.75000352561</v>
      </c>
      <c r="EP117" s="13">
        <f t="shared" si="203"/>
        <v>1.8046637997603421E-2</v>
      </c>
      <c r="EQ117">
        <v>528</v>
      </c>
      <c r="ER117" s="13">
        <f t="shared" si="204"/>
        <v>-0.13866231647634586</v>
      </c>
      <c r="ES117" s="183">
        <v>265179.76398963202</v>
      </c>
      <c r="ET117" s="13">
        <f t="shared" si="205"/>
        <v>3.303475747829876E-2</v>
      </c>
      <c r="EU117">
        <v>573</v>
      </c>
      <c r="EV117" s="13">
        <f t="shared" si="206"/>
        <v>8.5227272727272707E-2</v>
      </c>
      <c r="EW117" s="183">
        <v>269289.1600267925</v>
      </c>
      <c r="EX117" s="13">
        <f t="shared" si="207"/>
        <v>1.549664263718542E-2</v>
      </c>
      <c r="EY117">
        <v>565</v>
      </c>
      <c r="EZ117" s="13">
        <f t="shared" si="208"/>
        <v>-1.3961605584642212E-2</v>
      </c>
      <c r="FA117" s="1">
        <v>274974.47131921322</v>
      </c>
      <c r="FB117" s="13">
        <f t="shared" si="209"/>
        <v>2.1112291678785366E-2</v>
      </c>
      <c r="FC117" s="1">
        <v>525</v>
      </c>
      <c r="FD117" s="13">
        <f t="shared" si="210"/>
        <v>-7.0796460176991149E-2</v>
      </c>
      <c r="FE117" s="1">
        <v>275415.13090110128</v>
      </c>
      <c r="FF117" s="13">
        <f t="shared" si="211"/>
        <v>1.6025472465641677E-3</v>
      </c>
      <c r="FG117" s="1">
        <v>541</v>
      </c>
      <c r="FH117" s="13">
        <f t="shared" si="212"/>
        <v>3.0476190476190546E-2</v>
      </c>
      <c r="FI117" s="1">
        <v>270648.19831253687</v>
      </c>
      <c r="FJ117" s="13">
        <f t="shared" si="213"/>
        <v>-1.7308172477554118E-2</v>
      </c>
      <c r="FK117" s="1">
        <v>584</v>
      </c>
      <c r="FL117" s="13">
        <f t="shared" si="214"/>
        <v>7.9482439926062742E-2</v>
      </c>
      <c r="FM117" s="1">
        <v>270879.98223354347</v>
      </c>
      <c r="FN117" s="13">
        <f t="shared" si="215"/>
        <v>8.5640297054156989E-4</v>
      </c>
      <c r="FO117" s="1">
        <v>586</v>
      </c>
      <c r="FP117" s="13">
        <f t="shared" si="216"/>
        <v>3.424657534246478E-3</v>
      </c>
      <c r="FQ117" s="1">
        <v>270528.48033525952</v>
      </c>
      <c r="FR117" s="13">
        <f t="shared" si="217"/>
        <v>-1.2976296564465306E-3</v>
      </c>
      <c r="FS117">
        <v>610</v>
      </c>
      <c r="FT117" s="13">
        <f t="shared" si="218"/>
        <v>4.0955631399317349E-2</v>
      </c>
      <c r="FU117" s="1">
        <v>272569.29725120502</v>
      </c>
      <c r="FV117" s="13">
        <f t="shared" si="219"/>
        <v>7.5438153994593637E-3</v>
      </c>
      <c r="FW117" s="1">
        <v>612</v>
      </c>
      <c r="FX117" s="13">
        <f t="shared" si="220"/>
        <v>3.2786885245901232E-3</v>
      </c>
      <c r="FY117" s="1">
        <v>273944.48548227211</v>
      </c>
      <c r="FZ117" s="13">
        <f t="shared" si="221"/>
        <v>5.0452792920387957E-3</v>
      </c>
      <c r="GA117" s="1">
        <v>620</v>
      </c>
      <c r="GB117" s="13">
        <f t="shared" si="222"/>
        <v>1.3071895424836555E-2</v>
      </c>
      <c r="GC117" s="1">
        <v>273964.12800577638</v>
      </c>
      <c r="GD117" s="13">
        <f t="shared" si="223"/>
        <v>7.1702569481191247E-5</v>
      </c>
      <c r="GE117" s="1">
        <v>642</v>
      </c>
      <c r="GF117" s="13">
        <f t="shared" si="224"/>
        <v>3.548387096774186E-2</v>
      </c>
      <c r="GG117" s="1">
        <f>IFERROR(VLOOKUP(A117,[3]Москва_продажа_районы!$C$2:$F$149,3,0),"")</f>
        <v>272809.43876341177</v>
      </c>
      <c r="GH117" s="13">
        <v>-4.2147461084404148E-3</v>
      </c>
      <c r="GI117" s="1">
        <v>689</v>
      </c>
      <c r="GJ117" s="13">
        <f t="shared" si="225"/>
        <v>7.3208722741433085E-2</v>
      </c>
      <c r="GK117" s="1">
        <v>272088.58554206672</v>
      </c>
      <c r="GL117" s="13">
        <f t="shared" si="226"/>
        <v>-2.6423324083379995E-3</v>
      </c>
      <c r="GM117" s="1">
        <v>750</v>
      </c>
      <c r="GN117" s="13">
        <f t="shared" si="227"/>
        <v>8.8534107402031825E-2</v>
      </c>
      <c r="GO117" s="1">
        <v>273444.77668163332</v>
      </c>
      <c r="GP117" s="13">
        <f t="shared" si="228"/>
        <v>4.984373515209084E-3</v>
      </c>
      <c r="GQ117" s="1">
        <v>757.56000000000006</v>
      </c>
      <c r="GR117" s="13">
        <f t="shared" si="229"/>
        <v>1.0080000000000089E-2</v>
      </c>
      <c r="GS117" s="1">
        <v>272803.59984712541</v>
      </c>
      <c r="GT117" s="13">
        <f t="shared" si="305"/>
        <v>-2.3448128806439206E-3</v>
      </c>
      <c r="GU117">
        <v>760</v>
      </c>
      <c r="GV117" s="13">
        <f t="shared" si="306"/>
        <v>3.2208669940334556E-3</v>
      </c>
      <c r="GW117">
        <v>272908.9598733653</v>
      </c>
      <c r="GX117" s="13">
        <f t="shared" si="230"/>
        <v>3.8621200856203686E-4</v>
      </c>
      <c r="GY117">
        <v>631</v>
      </c>
      <c r="GZ117" s="13">
        <f t="shared" si="231"/>
        <v>-0.16973684210526319</v>
      </c>
      <c r="HA117">
        <v>276335.12249181757</v>
      </c>
      <c r="HB117" s="13">
        <v>1.2554232810978672E-2</v>
      </c>
      <c r="HC117">
        <v>564</v>
      </c>
      <c r="HD117" s="13">
        <v>-0.10618066561014261</v>
      </c>
      <c r="HE117">
        <v>278614.52760339022</v>
      </c>
      <c r="HF117" s="13">
        <v>8.2486985042595773E-3</v>
      </c>
      <c r="HG117">
        <v>556</v>
      </c>
      <c r="HH117" s="13">
        <v>-1.4184397163120588E-2</v>
      </c>
      <c r="HI117">
        <f>VLOOKUP(A117,[4]Москва_продажа_районы!$C$4:$F$151,3,0)</f>
        <v>280752.71571029478</v>
      </c>
      <c r="HJ117" s="13">
        <f t="shared" si="232"/>
        <v>7.6743597159021348E-3</v>
      </c>
      <c r="HK117">
        <f>VLOOKUP(A117,[4]Москва_продажа_районы!$C$4:$F$151,2,0)</f>
        <v>576</v>
      </c>
      <c r="HL117" s="13">
        <f t="shared" si="233"/>
        <v>3.5971223021582732E-2</v>
      </c>
      <c r="HM117" s="1">
        <f>VLOOKUP(A117,Лист3!$C$4:$F$149,3,0)</f>
        <v>281219.01195943262</v>
      </c>
      <c r="HN117" s="13">
        <f t="shared" si="234"/>
        <v>1.6608788554659526E-3</v>
      </c>
      <c r="HO117">
        <f>VLOOKUP(A117,Лист3!$C$4:$F$149,2,0)</f>
        <v>620</v>
      </c>
      <c r="HP117" s="13">
        <f t="shared" si="235"/>
        <v>7.638888888888884E-2</v>
      </c>
      <c r="HQ117" s="1">
        <v>280988.38637572719</v>
      </c>
      <c r="HR117" s="13">
        <v>-8.2009243293512668E-4</v>
      </c>
      <c r="HS117">
        <v>643</v>
      </c>
      <c r="HT117" s="13">
        <v>3.7096774193548399E-2</v>
      </c>
      <c r="HU117" s="34">
        <v>278460.2224527098</v>
      </c>
      <c r="HV117" s="13">
        <v>-8.9973964960844421E-3</v>
      </c>
      <c r="HW117">
        <v>593</v>
      </c>
      <c r="HX117" s="13">
        <v>-7.7760497667185069E-2</v>
      </c>
      <c r="HY117">
        <v>281343.40761789988</v>
      </c>
      <c r="HZ117" s="13">
        <v>1.0354028808117199E-2</v>
      </c>
      <c r="IA117">
        <v>593</v>
      </c>
      <c r="IB117" s="13">
        <v>0</v>
      </c>
      <c r="IC117" s="34">
        <v>282773.55988343112</v>
      </c>
      <c r="ID117" s="13">
        <v>5.0832975886663245E-3</v>
      </c>
      <c r="IE117">
        <v>584</v>
      </c>
      <c r="IF117" s="13">
        <v>-1.5177065767284947E-2</v>
      </c>
    </row>
    <row r="118" spans="1:240" x14ac:dyDescent="0.3">
      <c r="A118" s="75" t="s">
        <v>123</v>
      </c>
      <c r="B118" s="61">
        <v>141071.4569070627</v>
      </c>
      <c r="C118">
        <v>606</v>
      </c>
      <c r="D118" s="61">
        <v>141178.063899147</v>
      </c>
      <c r="E118">
        <v>551</v>
      </c>
      <c r="F118" s="61">
        <v>141785.51637129736</v>
      </c>
      <c r="G118">
        <v>370</v>
      </c>
      <c r="H118" s="61">
        <v>141247.93217381294</v>
      </c>
      <c r="I118">
        <v>364</v>
      </c>
      <c r="J118" s="61">
        <v>144603.5325046283</v>
      </c>
      <c r="K118">
        <v>435</v>
      </c>
      <c r="L118" s="61">
        <v>145025.11613483127</v>
      </c>
      <c r="M118">
        <v>381</v>
      </c>
      <c r="N118" s="61">
        <v>145554.22826150566</v>
      </c>
      <c r="O118" s="47">
        <v>415</v>
      </c>
      <c r="P118" s="35">
        <v>147742.23992778757</v>
      </c>
      <c r="Q118" s="47">
        <v>383</v>
      </c>
      <c r="R118" s="35">
        <v>153406.53896340946</v>
      </c>
      <c r="S118" s="47">
        <v>318</v>
      </c>
      <c r="T118" s="35">
        <v>161136.80161309664</v>
      </c>
      <c r="U118" s="47">
        <v>317</v>
      </c>
      <c r="V118" s="61">
        <v>165802.92114735319</v>
      </c>
      <c r="W118" s="47">
        <v>282</v>
      </c>
      <c r="X118" s="65">
        <v>170011.37732491569</v>
      </c>
      <c r="Y118" s="47">
        <v>254</v>
      </c>
      <c r="Z118" s="34">
        <v>177689.5816294158</v>
      </c>
      <c r="AA118" s="81">
        <v>309</v>
      </c>
      <c r="AB118" s="1">
        <v>179436.90624900491</v>
      </c>
      <c r="AC118">
        <v>338</v>
      </c>
      <c r="AD118" s="1">
        <v>179670.10319218051</v>
      </c>
      <c r="AE118">
        <v>296</v>
      </c>
      <c r="AF118" s="13">
        <f t="shared" si="180"/>
        <v>5.6812232329637835E-2</v>
      </c>
      <c r="AG118" s="85">
        <f t="shared" si="307"/>
        <v>7.1827226401358898E-2</v>
      </c>
      <c r="AH118">
        <f t="shared" si="308"/>
        <v>19</v>
      </c>
      <c r="AI118" s="90">
        <f t="shared" si="309"/>
        <v>315</v>
      </c>
      <c r="AL118" s="1">
        <v>180549.72890978359</v>
      </c>
      <c r="AM118">
        <v>302</v>
      </c>
      <c r="AN118" s="13">
        <f t="shared" si="310"/>
        <v>7.6630296878964735E-2</v>
      </c>
      <c r="AQ118">
        <f t="shared" si="311"/>
        <v>15</v>
      </c>
      <c r="AR118" s="90">
        <f t="shared" si="312"/>
        <v>317</v>
      </c>
      <c r="AS118">
        <v>272</v>
      </c>
      <c r="AT118" s="1">
        <v>181287.82795996399</v>
      </c>
      <c r="AU118" s="13">
        <f t="shared" si="313"/>
        <v>4.0880651255323919E-3</v>
      </c>
      <c r="AV118" s="35">
        <v>264</v>
      </c>
      <c r="AW118" s="1">
        <v>185347.74719593141</v>
      </c>
      <c r="AX118" s="35">
        <v>293.31708667959015</v>
      </c>
      <c r="AY118" s="121">
        <v>186459.589830332</v>
      </c>
      <c r="AZ118" s="122">
        <v>265</v>
      </c>
      <c r="BA118" s="119">
        <v>191283.2316450706</v>
      </c>
      <c r="BB118">
        <v>255</v>
      </c>
      <c r="BC118" s="13">
        <f t="shared" si="314"/>
        <v>2.5869636520856165E-2</v>
      </c>
      <c r="BD118">
        <v>270</v>
      </c>
      <c r="BE118" s="1">
        <v>194143.98910010481</v>
      </c>
      <c r="BF118" s="13">
        <f t="shared" si="291"/>
        <v>1.4955610224854476E-2</v>
      </c>
      <c r="BG118">
        <v>251</v>
      </c>
      <c r="BH118" s="1">
        <v>197588.84773748909</v>
      </c>
      <c r="BI118" s="13">
        <f t="shared" si="267"/>
        <v>1.7743833601812087E-2</v>
      </c>
      <c r="BJ118">
        <v>218</v>
      </c>
      <c r="BK118" s="1">
        <v>202396.17988699401</v>
      </c>
      <c r="BL118" s="13">
        <f t="shared" si="292"/>
        <v>2.4329977144721182E-2</v>
      </c>
      <c r="BM118" s="1">
        <v>209166.31959787389</v>
      </c>
      <c r="BN118" s="109">
        <f t="shared" si="293"/>
        <v>3.344993820861597E-2</v>
      </c>
      <c r="BO118">
        <v>230</v>
      </c>
      <c r="BP118" s="13">
        <f t="shared" si="294"/>
        <v>5.504587155963292E-2</v>
      </c>
      <c r="BQ118" s="1">
        <v>209556.04001903199</v>
      </c>
      <c r="BR118" s="13">
        <f t="shared" si="264"/>
        <v>1.8632082923644155E-3</v>
      </c>
      <c r="BS118">
        <v>233</v>
      </c>
      <c r="BT118" s="13">
        <f t="shared" si="265"/>
        <v>1.304347826086949E-2</v>
      </c>
      <c r="BU118" s="1">
        <v>217782.45792168609</v>
      </c>
      <c r="BV118" s="13">
        <f t="shared" si="295"/>
        <v>3.9256410370738903E-2</v>
      </c>
      <c r="BW118">
        <v>217</v>
      </c>
      <c r="BX118" s="13">
        <f t="shared" si="296"/>
        <v>-6.8669527896995763E-2</v>
      </c>
      <c r="BY118" s="1">
        <v>219726.57520178569</v>
      </c>
      <c r="BZ118" s="13">
        <f t="shared" si="297"/>
        <v>8.9268773006441204E-3</v>
      </c>
      <c r="CA118">
        <v>191</v>
      </c>
      <c r="CB118" s="13">
        <f t="shared" si="298"/>
        <v>-0.11981566820276501</v>
      </c>
      <c r="CC118" s="1">
        <v>216569.3087235009</v>
      </c>
      <c r="CD118" s="13">
        <f t="shared" si="299"/>
        <v>-1.436906971942431E-2</v>
      </c>
      <c r="CE118">
        <v>198</v>
      </c>
      <c r="CF118" s="13">
        <f t="shared" si="300"/>
        <v>3.6649214659685958E-2</v>
      </c>
      <c r="CG118" s="1">
        <v>214360.00960766961</v>
      </c>
      <c r="CH118" s="13">
        <f t="shared" si="301"/>
        <v>-1.0201349068588272E-2</v>
      </c>
      <c r="CI118">
        <v>274</v>
      </c>
      <c r="CJ118" s="13">
        <f t="shared" si="302"/>
        <v>0.38383838383838387</v>
      </c>
      <c r="CK118" s="1">
        <v>213861.6883229721</v>
      </c>
      <c r="CL118" s="13">
        <f t="shared" si="303"/>
        <v>-2.3246933306709794E-3</v>
      </c>
      <c r="CM118">
        <v>285</v>
      </c>
      <c r="CN118" s="13">
        <f t="shared" si="304"/>
        <v>4.014598540145986E-2</v>
      </c>
      <c r="CO118" s="1">
        <v>212039.67523536101</v>
      </c>
      <c r="CP118" s="13">
        <v>-8.5195861956326446E-3</v>
      </c>
      <c r="CQ118">
        <v>289</v>
      </c>
      <c r="CR118" s="13">
        <v>1.4035087719298289E-2</v>
      </c>
      <c r="CS118" s="1">
        <v>211442.29362261761</v>
      </c>
      <c r="CT118" s="13">
        <f t="shared" si="181"/>
        <v>-2.8173105437947488E-3</v>
      </c>
      <c r="CU118">
        <v>316</v>
      </c>
      <c r="CV118" s="13">
        <f t="shared" si="182"/>
        <v>9.3425605536332279E-2</v>
      </c>
      <c r="CW118" s="1">
        <v>207613.1953875607</v>
      </c>
      <c r="CX118" s="13">
        <f t="shared" si="183"/>
        <v>-1.8109424417666831E-2</v>
      </c>
      <c r="CY118">
        <v>320</v>
      </c>
      <c r="CZ118" s="13">
        <f t="shared" si="184"/>
        <v>1.2658227848101333E-2</v>
      </c>
      <c r="DA118" s="1">
        <v>206886.0349045828</v>
      </c>
      <c r="DB118" s="13">
        <f t="shared" si="185"/>
        <v>-3.502477198621512E-3</v>
      </c>
      <c r="DC118">
        <v>332</v>
      </c>
      <c r="DD118" s="13">
        <f t="shared" si="186"/>
        <v>3.7500000000000089E-2</v>
      </c>
      <c r="DE118" s="1">
        <v>203892.87503024089</v>
      </c>
      <c r="DF118" s="13">
        <f t="shared" si="187"/>
        <v>-1.4467674803291475E-2</v>
      </c>
      <c r="DG118" s="1">
        <v>328</v>
      </c>
      <c r="DH118" s="13">
        <f t="shared" si="188"/>
        <v>-1.2048192771084376E-2</v>
      </c>
      <c r="DI118" s="1">
        <v>203246.32633999371</v>
      </c>
      <c r="DJ118" s="13">
        <f t="shared" si="189"/>
        <v>-3.1710214991635954E-3</v>
      </c>
      <c r="DK118" s="1">
        <v>298</v>
      </c>
      <c r="DL118" s="13">
        <f t="shared" si="190"/>
        <v>-9.1463414634146312E-2</v>
      </c>
      <c r="DM118" s="1">
        <v>207422.3336665002</v>
      </c>
      <c r="DN118" s="13">
        <f t="shared" si="191"/>
        <v>2.054653287814312E-2</v>
      </c>
      <c r="DO118" s="1">
        <v>393</v>
      </c>
      <c r="DP118" s="13">
        <f t="shared" si="192"/>
        <v>0.31879194630872476</v>
      </c>
      <c r="DQ118" s="1">
        <v>202965.04833790011</v>
      </c>
      <c r="DR118" s="13">
        <f t="shared" si="193"/>
        <v>-2.1488936363847189E-2</v>
      </c>
      <c r="DS118">
        <v>370</v>
      </c>
      <c r="DT118" s="13">
        <f t="shared" si="194"/>
        <v>-5.8524173027989845E-2</v>
      </c>
      <c r="DU118" s="1">
        <v>200907.5712238292</v>
      </c>
      <c r="DV118" s="13">
        <f t="shared" si="195"/>
        <v>-1.0137100603871407E-2</v>
      </c>
      <c r="DW118">
        <v>354</v>
      </c>
      <c r="DX118" s="13">
        <f t="shared" si="196"/>
        <v>-4.3243243243243246E-2</v>
      </c>
      <c r="DY118" s="1">
        <v>204906.01001537251</v>
      </c>
      <c r="DZ118" s="13">
        <f t="shared" si="197"/>
        <v>1.9901882080335831E-2</v>
      </c>
      <c r="EA118" s="1">
        <v>356</v>
      </c>
      <c r="EB118" s="13">
        <f t="shared" si="198"/>
        <v>5.6497175141243527E-3</v>
      </c>
      <c r="EC118" s="1">
        <v>206778.1169368081</v>
      </c>
      <c r="ED118" s="13">
        <f t="shared" si="199"/>
        <v>9.1364178205175506E-3</v>
      </c>
      <c r="EE118" s="1">
        <f>IFERROR(VLOOKUP($A118,[1]Москва_продажа_районы!$C$2:$F$148,2,0),"")</f>
        <v>334</v>
      </c>
      <c r="EF118" s="13">
        <v>-6.1797752808988804E-2</v>
      </c>
      <c r="EG118" s="1">
        <v>207484.818767597</v>
      </c>
      <c r="EH118" s="13">
        <f t="shared" si="200"/>
        <v>3.4176819155620208E-3</v>
      </c>
      <c r="EI118" s="1">
        <f>IFERROR(VLOOKUP($A118,[2]Москва_продажа_районы!$C$2:$F$150,2,0),"")</f>
        <v>310</v>
      </c>
      <c r="EJ118" s="13">
        <v>-7.1856287425149712E-2</v>
      </c>
      <c r="EK118" s="1">
        <v>210072.63866793661</v>
      </c>
      <c r="EL118" s="13">
        <f t="shared" si="201"/>
        <v>1.2472333714391937E-2</v>
      </c>
      <c r="EM118">
        <v>283</v>
      </c>
      <c r="EN118" s="13">
        <f t="shared" si="202"/>
        <v>-8.7096774193548332E-2</v>
      </c>
      <c r="EO118" s="1">
        <v>210687.80464755511</v>
      </c>
      <c r="EP118" s="13">
        <f t="shared" si="203"/>
        <v>2.9283488964542137E-3</v>
      </c>
      <c r="EQ118">
        <v>253</v>
      </c>
      <c r="ER118" s="13">
        <f t="shared" si="204"/>
        <v>-0.10600706713780916</v>
      </c>
      <c r="ES118" s="183">
        <v>211967.19414003321</v>
      </c>
      <c r="ET118" s="13">
        <f t="shared" si="205"/>
        <v>6.0724420885125419E-3</v>
      </c>
      <c r="EU118">
        <v>250</v>
      </c>
      <c r="EV118" s="13">
        <f t="shared" si="206"/>
        <v>-1.1857707509881465E-2</v>
      </c>
      <c r="EW118" s="183">
        <v>214212.25709341429</v>
      </c>
      <c r="EX118" s="13">
        <f t="shared" si="207"/>
        <v>1.0591558578153748E-2</v>
      </c>
      <c r="EY118">
        <v>256</v>
      </c>
      <c r="EZ118" s="13">
        <f t="shared" si="208"/>
        <v>2.4000000000000021E-2</v>
      </c>
      <c r="FA118" s="1">
        <v>216638.64566133381</v>
      </c>
      <c r="FB118" s="13">
        <f t="shared" si="209"/>
        <v>1.1327029558637403E-2</v>
      </c>
      <c r="FC118" s="1">
        <v>228</v>
      </c>
      <c r="FD118" s="13">
        <f t="shared" si="210"/>
        <v>-0.109375</v>
      </c>
      <c r="FE118" s="1">
        <v>219679.71001848779</v>
      </c>
      <c r="FF118" s="13">
        <f t="shared" si="211"/>
        <v>1.4037497085852335E-2</v>
      </c>
      <c r="FG118" s="1">
        <v>224</v>
      </c>
      <c r="FH118" s="13">
        <f t="shared" si="212"/>
        <v>-1.7543859649122862E-2</v>
      </c>
      <c r="FI118" s="1">
        <v>217370.1760827431</v>
      </c>
      <c r="FJ118" s="13">
        <f t="shared" si="213"/>
        <v>-1.0513187292309878E-2</v>
      </c>
      <c r="FK118" s="1">
        <v>241</v>
      </c>
      <c r="FL118" s="13">
        <f t="shared" si="214"/>
        <v>7.5892857142857206E-2</v>
      </c>
      <c r="FM118" s="1">
        <v>219859.88382761471</v>
      </c>
      <c r="FN118" s="13">
        <f t="shared" si="215"/>
        <v>1.145376881842286E-2</v>
      </c>
      <c r="FO118" s="1">
        <v>259</v>
      </c>
      <c r="FP118" s="13">
        <f t="shared" si="216"/>
        <v>7.4688796680497882E-2</v>
      </c>
      <c r="FQ118" s="1">
        <v>220606.05875238319</v>
      </c>
      <c r="FR118" s="13">
        <f t="shared" si="217"/>
        <v>3.3938657283814067E-3</v>
      </c>
      <c r="FS118">
        <v>281</v>
      </c>
      <c r="FT118" s="13">
        <f t="shared" si="218"/>
        <v>8.4942084942084994E-2</v>
      </c>
      <c r="FU118" s="1">
        <v>220694.83407860939</v>
      </c>
      <c r="FV118" s="13">
        <f t="shared" si="219"/>
        <v>4.0241563050558149E-4</v>
      </c>
      <c r="FW118" s="1">
        <v>280</v>
      </c>
      <c r="FX118" s="13">
        <f t="shared" si="220"/>
        <v>-3.558718861209953E-3</v>
      </c>
      <c r="FY118" s="1">
        <v>219804.33997033571</v>
      </c>
      <c r="FZ118" s="13">
        <f t="shared" si="221"/>
        <v>-4.0349567401133379E-3</v>
      </c>
      <c r="GA118" s="1">
        <v>288</v>
      </c>
      <c r="GB118" s="13">
        <f t="shared" si="222"/>
        <v>2.857142857142847E-2</v>
      </c>
      <c r="GC118" s="1">
        <v>220319.92437645019</v>
      </c>
      <c r="GD118" s="13">
        <f t="shared" si="223"/>
        <v>2.3456516199091837E-3</v>
      </c>
      <c r="GE118" s="1">
        <v>273</v>
      </c>
      <c r="GF118" s="13">
        <f t="shared" si="224"/>
        <v>-5.208333333333337E-2</v>
      </c>
      <c r="GG118" s="1">
        <f>IFERROR(VLOOKUP(A118,[3]Москва_продажа_районы!$C$2:$F$149,3,0),"")</f>
        <v>221047.94079732869</v>
      </c>
      <c r="GH118" s="13">
        <v>3.3043603429827595E-3</v>
      </c>
      <c r="GI118" s="1">
        <v>272</v>
      </c>
      <c r="GJ118" s="13">
        <f t="shared" si="225"/>
        <v>-3.66300366300365E-3</v>
      </c>
      <c r="GK118" s="1">
        <v>218795.01018630221</v>
      </c>
      <c r="GL118" s="13">
        <f t="shared" si="226"/>
        <v>-1.0192045231907865E-2</v>
      </c>
      <c r="GM118" s="1">
        <v>275</v>
      </c>
      <c r="GN118" s="13">
        <f t="shared" si="227"/>
        <v>1.1029411764705843E-2</v>
      </c>
      <c r="GO118" s="1">
        <v>217963.079879956</v>
      </c>
      <c r="GP118" s="13">
        <f t="shared" si="228"/>
        <v>-3.8023276017027374E-3</v>
      </c>
      <c r="GQ118" s="1">
        <v>293.18</v>
      </c>
      <c r="GR118" s="13">
        <f t="shared" si="229"/>
        <v>6.6109090909090895E-2</v>
      </c>
      <c r="GS118" s="1">
        <v>221821.2472776972</v>
      </c>
      <c r="GT118" s="13">
        <f t="shared" si="305"/>
        <v>1.770101340037078E-2</v>
      </c>
      <c r="GU118">
        <v>276</v>
      </c>
      <c r="GV118" s="13">
        <f t="shared" si="306"/>
        <v>-5.8598813015894646E-2</v>
      </c>
      <c r="GW118">
        <v>221725.82717682989</v>
      </c>
      <c r="GX118" s="13">
        <f t="shared" si="230"/>
        <v>-4.3016664110562264E-4</v>
      </c>
      <c r="GY118">
        <v>252</v>
      </c>
      <c r="GZ118" s="13">
        <f t="shared" si="231"/>
        <v>-8.6956521739130488E-2</v>
      </c>
      <c r="HA118">
        <v>222845.72564779629</v>
      </c>
      <c r="HB118" s="13">
        <v>5.0508255408301395E-3</v>
      </c>
      <c r="HC118">
        <v>224</v>
      </c>
      <c r="HD118" s="13">
        <v>-0.11111111111111116</v>
      </c>
      <c r="HE118">
        <v>225918.9136848147</v>
      </c>
      <c r="HF118" s="13">
        <v>1.3790652829821504E-2</v>
      </c>
      <c r="HG118">
        <v>226</v>
      </c>
      <c r="HH118" s="13">
        <v>8.9285714285713969E-3</v>
      </c>
      <c r="HI118">
        <f>VLOOKUP(A118,[4]Москва_продажа_районы!$C$4:$F$151,3,0)</f>
        <v>227561.7341597226</v>
      </c>
      <c r="HJ118" s="13">
        <f t="shared" si="232"/>
        <v>7.2717261610057982E-3</v>
      </c>
      <c r="HK118">
        <f>VLOOKUP(A118,[4]Москва_продажа_районы!$C$4:$F$151,2,0)</f>
        <v>250</v>
      </c>
      <c r="HL118" s="13">
        <f t="shared" si="233"/>
        <v>0.10619469026548667</v>
      </c>
      <c r="HM118" s="1">
        <f>VLOOKUP(A118,Лист3!$C$4:$F$149,3,0)</f>
        <v>226428.88243678739</v>
      </c>
      <c r="HN118" s="13">
        <f t="shared" si="234"/>
        <v>-4.9782171291596899E-3</v>
      </c>
      <c r="HO118">
        <f>VLOOKUP(A118,Лист3!$C$4:$F$149,2,0)</f>
        <v>233</v>
      </c>
      <c r="HP118" s="13">
        <f t="shared" si="235"/>
        <v>-6.7999999999999949E-2</v>
      </c>
      <c r="HQ118" s="1">
        <v>227776.74598850461</v>
      </c>
      <c r="HR118" s="13">
        <v>5.9527015158655772E-3</v>
      </c>
      <c r="HS118">
        <v>228</v>
      </c>
      <c r="HT118" s="13">
        <v>-2.1459227467811148E-2</v>
      </c>
      <c r="HU118" s="34">
        <v>228316.87979123581</v>
      </c>
      <c r="HV118" s="13">
        <v>2.3713298756073975E-3</v>
      </c>
      <c r="HW118">
        <v>217</v>
      </c>
      <c r="HX118" s="13">
        <v>-4.8245614035087758E-2</v>
      </c>
      <c r="HY118">
        <v>229620.0823887779</v>
      </c>
      <c r="HZ118" s="13">
        <v>5.7078679365873963E-3</v>
      </c>
      <c r="IA118">
        <v>216</v>
      </c>
      <c r="IB118" s="13">
        <v>-4.6082949308755561E-3</v>
      </c>
      <c r="IC118" s="34">
        <v>231986.21868727781</v>
      </c>
      <c r="ID118" s="13">
        <v>1.0304570375049948E-2</v>
      </c>
      <c r="IE118">
        <v>200</v>
      </c>
      <c r="IF118" s="13">
        <v>-7.407407407407407E-2</v>
      </c>
    </row>
    <row r="119" spans="1:240" x14ac:dyDescent="0.3">
      <c r="A119" s="75" t="s">
        <v>124</v>
      </c>
      <c r="B119" s="61">
        <v>196326.06619568355</v>
      </c>
      <c r="C119">
        <v>139</v>
      </c>
      <c r="D119" s="61">
        <v>191024.98327253241</v>
      </c>
      <c r="E119">
        <v>154</v>
      </c>
      <c r="F119" s="61">
        <v>195629.18951102358</v>
      </c>
      <c r="G119">
        <v>127</v>
      </c>
      <c r="H119" s="61">
        <v>195998.21812838729</v>
      </c>
      <c r="I119">
        <v>130</v>
      </c>
      <c r="J119" s="61">
        <v>193086.94596954991</v>
      </c>
      <c r="K119">
        <v>163</v>
      </c>
      <c r="L119" s="61">
        <v>191015.36807723207</v>
      </c>
      <c r="M119">
        <v>157</v>
      </c>
      <c r="N119" s="61">
        <v>190774.0242804515</v>
      </c>
      <c r="O119" s="47">
        <v>149</v>
      </c>
      <c r="P119" s="35">
        <v>193058.24138013931</v>
      </c>
      <c r="Q119" s="47">
        <v>139</v>
      </c>
      <c r="R119" s="35">
        <v>204639.0305884541</v>
      </c>
      <c r="S119" s="47">
        <v>167</v>
      </c>
      <c r="T119" s="35">
        <v>209676.7361260982</v>
      </c>
      <c r="U119" s="47">
        <v>146</v>
      </c>
      <c r="V119" s="61">
        <v>211859.53413172779</v>
      </c>
      <c r="W119" s="47">
        <v>148</v>
      </c>
      <c r="X119" s="65">
        <v>217044.57536786509</v>
      </c>
      <c r="Y119" s="47">
        <v>123</v>
      </c>
      <c r="Z119" s="1">
        <v>218053.74451552989</v>
      </c>
      <c r="AA119" s="81">
        <v>156</v>
      </c>
      <c r="AB119" s="1">
        <v>223958.80930961121</v>
      </c>
      <c r="AC119">
        <v>161</v>
      </c>
      <c r="AD119" s="1">
        <v>239980.03888629371</v>
      </c>
      <c r="AE119">
        <v>208</v>
      </c>
      <c r="AF119" s="13">
        <f t="shared" si="180"/>
        <v>0.10567167357007512</v>
      </c>
      <c r="AG119" s="85">
        <f t="shared" si="307"/>
        <v>5.0473186119873815E-2</v>
      </c>
      <c r="AH119">
        <f t="shared" si="308"/>
        <v>13</v>
      </c>
      <c r="AI119" s="90">
        <f t="shared" si="309"/>
        <v>221</v>
      </c>
      <c r="AL119" s="1">
        <v>244726.35370303231</v>
      </c>
      <c r="AM119">
        <v>221</v>
      </c>
      <c r="AN119" s="13">
        <f t="shared" si="310"/>
        <v>5.6077137782288761E-2</v>
      </c>
      <c r="AQ119">
        <f t="shared" si="311"/>
        <v>11</v>
      </c>
      <c r="AR119" s="90">
        <f t="shared" si="312"/>
        <v>232</v>
      </c>
      <c r="AS119">
        <v>194</v>
      </c>
      <c r="AT119" s="1">
        <v>245238.59053308409</v>
      </c>
      <c r="AU119" s="13">
        <f t="shared" si="313"/>
        <v>2.0931004050073199E-3</v>
      </c>
      <c r="AV119" s="35">
        <v>183</v>
      </c>
      <c r="AW119" s="1">
        <v>254541.2467763804</v>
      </c>
      <c r="AX119" s="35">
        <v>203.32207144835226</v>
      </c>
      <c r="AY119" s="121">
        <v>244654.66475384799</v>
      </c>
      <c r="AZ119" s="122">
        <v>203</v>
      </c>
      <c r="BA119" s="119">
        <v>249495.06556664899</v>
      </c>
      <c r="BB119">
        <v>207</v>
      </c>
      <c r="BC119" s="13">
        <f t="shared" si="314"/>
        <v>1.9784625065992545E-2</v>
      </c>
      <c r="BD119">
        <v>211</v>
      </c>
      <c r="BE119" s="1">
        <v>261971.20064920749</v>
      </c>
      <c r="BF119" s="13">
        <f t="shared" si="291"/>
        <v>5.0005538403025795E-2</v>
      </c>
      <c r="BG119">
        <v>242</v>
      </c>
      <c r="BH119" s="1">
        <v>270659.84790853161</v>
      </c>
      <c r="BI119" s="13">
        <f t="shared" si="267"/>
        <v>3.3166421491340303E-2</v>
      </c>
      <c r="BJ119">
        <v>269</v>
      </c>
      <c r="BK119" s="1">
        <v>287093.71742743312</v>
      </c>
      <c r="BL119" s="13">
        <f t="shared" si="292"/>
        <v>6.0717796325871154E-2</v>
      </c>
      <c r="BM119" s="1">
        <v>284894.01764667529</v>
      </c>
      <c r="BN119" s="109">
        <f t="shared" si="293"/>
        <v>-7.6619572189483565E-3</v>
      </c>
      <c r="BO119">
        <v>223</v>
      </c>
      <c r="BP119" s="13">
        <f t="shared" si="294"/>
        <v>-0.17100371747211895</v>
      </c>
      <c r="BQ119" s="1">
        <v>285499.3562891999</v>
      </c>
      <c r="BR119" s="13">
        <f t="shared" si="264"/>
        <v>2.1247853764179148E-3</v>
      </c>
      <c r="BS119">
        <v>211</v>
      </c>
      <c r="BT119" s="13">
        <f t="shared" si="265"/>
        <v>-5.3811659192825156E-2</v>
      </c>
      <c r="BU119" s="1">
        <v>290299.77205222071</v>
      </c>
      <c r="BV119" s="13">
        <f t="shared" si="295"/>
        <v>1.6814103630265809E-2</v>
      </c>
      <c r="BW119">
        <v>199</v>
      </c>
      <c r="BX119" s="13">
        <f t="shared" si="296"/>
        <v>-5.6872037914691975E-2</v>
      </c>
      <c r="BY119" s="1">
        <v>291656.42201557831</v>
      </c>
      <c r="BZ119" s="13">
        <f t="shared" si="297"/>
        <v>4.6732725753348969E-3</v>
      </c>
      <c r="CA119">
        <v>176</v>
      </c>
      <c r="CB119" s="13">
        <f t="shared" si="298"/>
        <v>-0.11557788944723613</v>
      </c>
      <c r="CC119" s="1">
        <v>292327.31954243552</v>
      </c>
      <c r="CD119" s="13">
        <f t="shared" si="299"/>
        <v>2.300300889041873E-3</v>
      </c>
      <c r="CE119">
        <v>187</v>
      </c>
      <c r="CF119" s="13">
        <f t="shared" si="300"/>
        <v>6.25E-2</v>
      </c>
      <c r="CG119" s="1">
        <v>291145.9842614432</v>
      </c>
      <c r="CH119" s="13">
        <f t="shared" si="301"/>
        <v>-4.0411388263040804E-3</v>
      </c>
      <c r="CI119">
        <v>206</v>
      </c>
      <c r="CJ119" s="13">
        <f t="shared" si="302"/>
        <v>0.10160427807486627</v>
      </c>
      <c r="CK119" s="1">
        <v>288801.53291431721</v>
      </c>
      <c r="CL119" s="13">
        <f t="shared" si="303"/>
        <v>-8.0524941914387194E-3</v>
      </c>
      <c r="CM119">
        <v>220</v>
      </c>
      <c r="CN119" s="13">
        <f t="shared" si="304"/>
        <v>6.7961165048543659E-2</v>
      </c>
      <c r="CO119" s="1">
        <v>287030.97360603279</v>
      </c>
      <c r="CP119" s="13">
        <v>-6.1307129862421261E-3</v>
      </c>
      <c r="CQ119">
        <v>223</v>
      </c>
      <c r="CR119" s="13">
        <v>1.3636363636363669E-2</v>
      </c>
      <c r="CS119" s="1">
        <v>291612.83048153669</v>
      </c>
      <c r="CT119" s="13">
        <f t="shared" si="181"/>
        <v>1.5962935351335306E-2</v>
      </c>
      <c r="CU119">
        <v>236</v>
      </c>
      <c r="CV119" s="13">
        <f t="shared" si="182"/>
        <v>5.8295964125560484E-2</v>
      </c>
      <c r="CW119" s="1">
        <v>288413.71410520218</v>
      </c>
      <c r="CX119" s="13">
        <f t="shared" si="183"/>
        <v>-1.0970423938658103E-2</v>
      </c>
      <c r="CY119">
        <v>230</v>
      </c>
      <c r="CZ119" s="13">
        <f t="shared" si="184"/>
        <v>-2.5423728813559365E-2</v>
      </c>
      <c r="DA119" s="1">
        <v>287587.27838859393</v>
      </c>
      <c r="DB119" s="13">
        <f t="shared" si="185"/>
        <v>-2.8654522173893193E-3</v>
      </c>
      <c r="DC119">
        <v>207</v>
      </c>
      <c r="DD119" s="13">
        <f t="shared" si="186"/>
        <v>-9.9999999999999978E-2</v>
      </c>
      <c r="DE119" s="1">
        <v>282224.1283939131</v>
      </c>
      <c r="DF119" s="13">
        <f t="shared" si="187"/>
        <v>-1.8648773425346099E-2</v>
      </c>
      <c r="DG119" s="1">
        <v>222</v>
      </c>
      <c r="DH119" s="13">
        <f t="shared" si="188"/>
        <v>7.2463768115942129E-2</v>
      </c>
      <c r="DI119" s="1">
        <v>280430.76260973251</v>
      </c>
      <c r="DJ119" s="13">
        <f t="shared" si="189"/>
        <v>-6.3544027733783981E-3</v>
      </c>
      <c r="DK119" s="1">
        <v>230</v>
      </c>
      <c r="DL119" s="13">
        <f t="shared" si="190"/>
        <v>3.6036036036036112E-2</v>
      </c>
      <c r="DM119" s="1">
        <v>280568.49240821769</v>
      </c>
      <c r="DN119" s="13">
        <f t="shared" si="191"/>
        <v>4.9113655436183734E-4</v>
      </c>
      <c r="DO119" s="1">
        <v>257</v>
      </c>
      <c r="DP119" s="13">
        <f t="shared" si="192"/>
        <v>0.11739130434782608</v>
      </c>
      <c r="DQ119" s="1">
        <v>280598.58686131443</v>
      </c>
      <c r="DR119" s="13">
        <f t="shared" si="193"/>
        <v>1.0726241153613536E-4</v>
      </c>
      <c r="DS119">
        <v>276</v>
      </c>
      <c r="DT119" s="13">
        <f t="shared" si="194"/>
        <v>7.3929961089494123E-2</v>
      </c>
      <c r="DU119" s="1">
        <v>284183.92475413752</v>
      </c>
      <c r="DV119" s="13">
        <f t="shared" si="195"/>
        <v>1.2777462398964712E-2</v>
      </c>
      <c r="DW119">
        <v>293</v>
      </c>
      <c r="DX119" s="13">
        <f t="shared" si="196"/>
        <v>6.1594202898550776E-2</v>
      </c>
      <c r="DY119" s="1">
        <v>289877.31599352608</v>
      </c>
      <c r="DZ119" s="13">
        <f t="shared" si="197"/>
        <v>2.0034177669670195E-2</v>
      </c>
      <c r="EA119" s="1">
        <v>315</v>
      </c>
      <c r="EB119" s="13">
        <f t="shared" si="198"/>
        <v>7.5085324232081918E-2</v>
      </c>
      <c r="EC119" s="1">
        <v>288693.37118697859</v>
      </c>
      <c r="ED119" s="13">
        <f t="shared" si="199"/>
        <v>-4.0842961529764521E-3</v>
      </c>
      <c r="EE119" s="1">
        <f>IFERROR(VLOOKUP($A119,[1]Москва_продажа_районы!$C$2:$F$148,2,0),"")</f>
        <v>317</v>
      </c>
      <c r="EF119" s="13">
        <v>6.3492063492063266E-3</v>
      </c>
      <c r="EG119" s="1">
        <v>292065.6272166968</v>
      </c>
      <c r="EH119" s="13">
        <f t="shared" si="200"/>
        <v>1.1681099624327951E-2</v>
      </c>
      <c r="EI119" s="1">
        <f>IFERROR(VLOOKUP($A119,[2]Москва_продажа_районы!$C$2:$F$150,2,0),"")</f>
        <v>304</v>
      </c>
      <c r="EJ119" s="13">
        <v>-4.1009463722397443E-2</v>
      </c>
      <c r="EK119" s="1">
        <v>301931.51451390848</v>
      </c>
      <c r="EL119" s="13">
        <f t="shared" si="201"/>
        <v>3.377969325329655E-2</v>
      </c>
      <c r="EM119">
        <v>282</v>
      </c>
      <c r="EN119" s="13">
        <f t="shared" si="202"/>
        <v>-7.2368421052631526E-2</v>
      </c>
      <c r="EO119" s="1">
        <v>305348.85270665068</v>
      </c>
      <c r="EP119" s="13">
        <f t="shared" si="203"/>
        <v>1.1318256056324305E-2</v>
      </c>
      <c r="EQ119">
        <v>288</v>
      </c>
      <c r="ER119" s="13">
        <f t="shared" si="204"/>
        <v>2.1276595744680771E-2</v>
      </c>
      <c r="ES119" s="183">
        <v>303779.09802937327</v>
      </c>
      <c r="ET119" s="13">
        <f t="shared" si="205"/>
        <v>-5.1408566410612311E-3</v>
      </c>
      <c r="EU119">
        <v>259</v>
      </c>
      <c r="EV119" s="13">
        <f t="shared" si="206"/>
        <v>-0.10069444444444442</v>
      </c>
      <c r="EW119" s="183">
        <v>302790.025217394</v>
      </c>
      <c r="EX119" s="13">
        <f t="shared" si="207"/>
        <v>-3.2558948867629223E-3</v>
      </c>
      <c r="EY119">
        <v>280</v>
      </c>
      <c r="EZ119" s="13">
        <f t="shared" si="208"/>
        <v>8.1081081081081141E-2</v>
      </c>
      <c r="FA119" s="1">
        <v>314881.88048284932</v>
      </c>
      <c r="FB119" s="13">
        <f t="shared" si="209"/>
        <v>3.993478733909317E-2</v>
      </c>
      <c r="FC119" s="1">
        <v>271</v>
      </c>
      <c r="FD119" s="13">
        <f t="shared" si="210"/>
        <v>-3.214285714285714E-2</v>
      </c>
      <c r="FE119" s="1">
        <v>321842.74203498423</v>
      </c>
      <c r="FF119" s="13">
        <f t="shared" si="211"/>
        <v>2.2106262645093855E-2</v>
      </c>
      <c r="FG119" s="1">
        <v>257</v>
      </c>
      <c r="FH119" s="13">
        <f t="shared" si="212"/>
        <v>-5.1660516605166018E-2</v>
      </c>
      <c r="FI119" s="1">
        <v>321594.26275436563</v>
      </c>
      <c r="FJ119" s="13">
        <f t="shared" si="213"/>
        <v>-7.7205183825956869E-4</v>
      </c>
      <c r="FK119" s="1">
        <v>294</v>
      </c>
      <c r="FL119" s="13">
        <f t="shared" si="214"/>
        <v>0.14396887159533067</v>
      </c>
      <c r="FM119" s="1">
        <v>314859.1678642339</v>
      </c>
      <c r="FN119" s="13">
        <f t="shared" si="215"/>
        <v>-2.0942832849216608E-2</v>
      </c>
      <c r="FO119" s="1">
        <v>253</v>
      </c>
      <c r="FP119" s="13">
        <f t="shared" si="216"/>
        <v>-0.13945578231292521</v>
      </c>
      <c r="FQ119" s="1">
        <v>312024.28346219042</v>
      </c>
      <c r="FR119" s="13">
        <f t="shared" si="217"/>
        <v>-9.0036584333026415E-3</v>
      </c>
      <c r="FS119">
        <v>262</v>
      </c>
      <c r="FT119" s="13">
        <f t="shared" si="218"/>
        <v>3.5573122529644285E-2</v>
      </c>
      <c r="FU119" s="1">
        <v>312400.32338313921</v>
      </c>
      <c r="FV119" s="13">
        <f t="shared" si="219"/>
        <v>1.2051623571611714E-3</v>
      </c>
      <c r="FW119" s="1">
        <v>248</v>
      </c>
      <c r="FX119" s="13">
        <f t="shared" si="220"/>
        <v>-5.3435114503816772E-2</v>
      </c>
      <c r="FY119" s="1">
        <v>311142.64153302961</v>
      </c>
      <c r="FZ119" s="13">
        <f t="shared" si="221"/>
        <v>-4.0258660314097527E-3</v>
      </c>
      <c r="GA119" s="1">
        <v>264</v>
      </c>
      <c r="GB119" s="13">
        <f t="shared" si="222"/>
        <v>6.4516129032258007E-2</v>
      </c>
      <c r="GC119" s="1">
        <v>305692.28547207272</v>
      </c>
      <c r="GD119" s="13">
        <f t="shared" si="223"/>
        <v>-1.7517226292424803E-2</v>
      </c>
      <c r="GE119" s="1">
        <v>273</v>
      </c>
      <c r="GF119" s="13">
        <f t="shared" si="224"/>
        <v>3.4090909090909172E-2</v>
      </c>
      <c r="GG119" s="1">
        <f>IFERROR(VLOOKUP(A119,[3]Москва_продажа_районы!$C$2:$F$149,3,0),"")</f>
        <v>308395.59598007641</v>
      </c>
      <c r="GH119" s="13">
        <v>8.8432408551921693E-3</v>
      </c>
      <c r="GI119" s="1">
        <v>288</v>
      </c>
      <c r="GJ119" s="13">
        <f t="shared" si="225"/>
        <v>5.4945054945054972E-2</v>
      </c>
      <c r="GK119" s="1">
        <v>311267.18350109493</v>
      </c>
      <c r="GL119" s="13">
        <f t="shared" si="226"/>
        <v>9.3113765515770996E-3</v>
      </c>
      <c r="GM119" s="1">
        <v>272</v>
      </c>
      <c r="GN119" s="13">
        <f t="shared" si="227"/>
        <v>-5.555555555555558E-2</v>
      </c>
      <c r="GO119" s="1">
        <v>312068.47230368928</v>
      </c>
      <c r="GP119" s="13">
        <f t="shared" si="228"/>
        <v>2.5742797347974022E-3</v>
      </c>
      <c r="GQ119" s="1">
        <v>272.85000000000002</v>
      </c>
      <c r="GR119" s="13">
        <f t="shared" si="229"/>
        <v>3.1250000000000444E-3</v>
      </c>
      <c r="GS119" s="1">
        <v>305257.51029511832</v>
      </c>
      <c r="GT119" s="13">
        <f t="shared" si="305"/>
        <v>-2.1825216620866672E-2</v>
      </c>
      <c r="GU119">
        <v>262</v>
      </c>
      <c r="GV119" s="13">
        <f t="shared" si="306"/>
        <v>-3.9765438885834836E-2</v>
      </c>
      <c r="GW119">
        <v>302262.434991649</v>
      </c>
      <c r="GX119" s="13">
        <f t="shared" si="230"/>
        <v>-9.8116351030109739E-3</v>
      </c>
      <c r="GY119">
        <v>202</v>
      </c>
      <c r="GZ119" s="13">
        <f t="shared" si="231"/>
        <v>-0.22900763358778631</v>
      </c>
      <c r="HA119">
        <v>302480.65777197317</v>
      </c>
      <c r="HB119" s="13">
        <v>7.2196460777607108E-4</v>
      </c>
      <c r="HC119">
        <v>175</v>
      </c>
      <c r="HD119" s="13">
        <v>-0.13366336633663367</v>
      </c>
      <c r="HE119">
        <v>309399.77705558471</v>
      </c>
      <c r="HF119" s="13">
        <v>2.2874584228217199E-2</v>
      </c>
      <c r="HG119">
        <v>168</v>
      </c>
      <c r="HH119" s="13">
        <v>-4.0000000000000036E-2</v>
      </c>
      <c r="HI119">
        <f>VLOOKUP(A119,[4]Москва_продажа_районы!$C$4:$F$151,3,0)</f>
        <v>310741.90533950098</v>
      </c>
      <c r="HJ119" s="13">
        <f t="shared" si="232"/>
        <v>4.3378450259037304E-3</v>
      </c>
      <c r="HK119">
        <f>VLOOKUP(A119,[4]Москва_продажа_районы!$C$4:$F$151,2,0)</f>
        <v>179</v>
      </c>
      <c r="HL119" s="13">
        <f t="shared" si="233"/>
        <v>6.5476190476190466E-2</v>
      </c>
      <c r="HM119" s="1">
        <f>VLOOKUP(A119,Лист3!$C$4:$F$149,3,0)</f>
        <v>303934.20270433318</v>
      </c>
      <c r="HN119" s="13">
        <f t="shared" si="234"/>
        <v>-2.1907900151831972E-2</v>
      </c>
      <c r="HO119">
        <f>VLOOKUP(A119,Лист3!$C$4:$F$149,2,0)</f>
        <v>172</v>
      </c>
      <c r="HP119" s="13">
        <f t="shared" si="235"/>
        <v>-3.9106145251396662E-2</v>
      </c>
      <c r="HQ119" s="1">
        <v>305205.29431491689</v>
      </c>
      <c r="HR119" s="13">
        <v>4.182127576540795E-3</v>
      </c>
      <c r="HS119">
        <v>181</v>
      </c>
      <c r="HT119" s="13">
        <v>5.232558139534893E-2</v>
      </c>
      <c r="HU119" s="34">
        <v>306965.98084966181</v>
      </c>
      <c r="HV119" s="13">
        <v>5.7688597397926866E-3</v>
      </c>
      <c r="HW119">
        <v>177</v>
      </c>
      <c r="HX119" s="13">
        <v>-2.2099447513812209E-2</v>
      </c>
      <c r="HY119">
        <v>310146.8522771282</v>
      </c>
      <c r="HZ119" s="13">
        <v>1.0362292976772158E-2</v>
      </c>
      <c r="IA119">
        <v>166</v>
      </c>
      <c r="IB119" s="13">
        <v>-6.2146892655367214E-2</v>
      </c>
      <c r="IC119" s="34">
        <v>315643.24384340388</v>
      </c>
      <c r="ID119" s="13">
        <v>1.7721900209273889E-2</v>
      </c>
      <c r="IE119">
        <v>181</v>
      </c>
      <c r="IF119" s="13">
        <v>9.0361445783132543E-2</v>
      </c>
    </row>
    <row r="120" spans="1:240" x14ac:dyDescent="0.3">
      <c r="A120" s="75" t="s">
        <v>125</v>
      </c>
      <c r="B120" s="61">
        <v>185521.138312258</v>
      </c>
      <c r="C120">
        <v>310</v>
      </c>
      <c r="D120" s="61">
        <v>177346.90021217952</v>
      </c>
      <c r="E120">
        <v>312</v>
      </c>
      <c r="F120" s="61">
        <v>180188.91715226127</v>
      </c>
      <c r="G120">
        <v>199</v>
      </c>
      <c r="H120" s="61">
        <v>182969.72780152332</v>
      </c>
      <c r="I120">
        <v>188</v>
      </c>
      <c r="J120" s="61">
        <v>183980.94811048318</v>
      </c>
      <c r="K120">
        <v>235</v>
      </c>
      <c r="L120" s="61">
        <v>183755.23841222649</v>
      </c>
      <c r="M120">
        <v>244</v>
      </c>
      <c r="N120" s="61">
        <v>186241.44792212153</v>
      </c>
      <c r="O120" s="47">
        <v>251</v>
      </c>
      <c r="P120" s="35">
        <v>188898.29149809346</v>
      </c>
      <c r="Q120" s="47">
        <v>246</v>
      </c>
      <c r="R120" s="35">
        <v>191627.67311135904</v>
      </c>
      <c r="S120" s="47">
        <v>204</v>
      </c>
      <c r="T120" s="35">
        <v>197473.95842025668</v>
      </c>
      <c r="U120" s="47">
        <v>203</v>
      </c>
      <c r="V120" s="61">
        <v>203193.637900464</v>
      </c>
      <c r="W120" s="47">
        <v>191</v>
      </c>
      <c r="X120" s="65">
        <v>210144.24893899169</v>
      </c>
      <c r="Y120" s="47">
        <v>177</v>
      </c>
      <c r="Z120" s="34">
        <v>206935.58035643856</v>
      </c>
      <c r="AA120" s="81">
        <v>217</v>
      </c>
      <c r="AB120" s="1">
        <v>214563.50501172521</v>
      </c>
      <c r="AC120">
        <v>215</v>
      </c>
      <c r="AD120" s="1">
        <v>221476.51879454771</v>
      </c>
      <c r="AE120">
        <v>207</v>
      </c>
      <c r="AF120" s="13">
        <f t="shared" si="180"/>
        <v>5.3926147933013313E-2</v>
      </c>
      <c r="AG120" s="85">
        <f t="shared" si="307"/>
        <v>5.0230526571220575E-2</v>
      </c>
      <c r="AH120">
        <f t="shared" si="308"/>
        <v>13</v>
      </c>
      <c r="AI120" s="90">
        <f t="shared" si="309"/>
        <v>220</v>
      </c>
      <c r="AL120" s="1">
        <v>222519.60074991171</v>
      </c>
      <c r="AM120">
        <v>223</v>
      </c>
      <c r="AN120" s="13">
        <f t="shared" si="310"/>
        <v>5.6584623192083225E-2</v>
      </c>
      <c r="AQ120">
        <f t="shared" si="311"/>
        <v>11</v>
      </c>
      <c r="AR120" s="90">
        <f t="shared" si="312"/>
        <v>234</v>
      </c>
      <c r="AS120">
        <v>229</v>
      </c>
      <c r="AT120" s="1">
        <v>222002.543820338</v>
      </c>
      <c r="AU120" s="13">
        <f t="shared" si="313"/>
        <v>-2.323646671264834E-3</v>
      </c>
      <c r="AV120" s="35">
        <v>197</v>
      </c>
      <c r="AW120" s="1">
        <v>230000.57858958191</v>
      </c>
      <c r="AX120" s="35">
        <v>218.87676543893659</v>
      </c>
      <c r="AY120" s="121">
        <v>229949.85774121599</v>
      </c>
      <c r="AZ120" s="122">
        <v>206</v>
      </c>
      <c r="BA120" s="119">
        <v>234270.94136409831</v>
      </c>
      <c r="BB120">
        <v>230</v>
      </c>
      <c r="BC120" s="13">
        <f t="shared" si="314"/>
        <v>1.8791416812900197E-2</v>
      </c>
      <c r="BD120">
        <v>256</v>
      </c>
      <c r="BE120" s="1">
        <v>237812.01382652571</v>
      </c>
      <c r="BF120" s="13">
        <f t="shared" si="291"/>
        <v>1.5115286777816594E-2</v>
      </c>
      <c r="BG120">
        <v>259</v>
      </c>
      <c r="BH120" s="1">
        <v>240478.59518582761</v>
      </c>
      <c r="BI120" s="13">
        <f t="shared" si="267"/>
        <v>1.1212980018944885E-2</v>
      </c>
      <c r="BJ120">
        <v>259</v>
      </c>
      <c r="BK120" s="1">
        <v>244505.84664897909</v>
      </c>
      <c r="BL120" s="13">
        <f t="shared" si="292"/>
        <v>1.6746818817863884E-2</v>
      </c>
      <c r="BM120" s="1">
        <v>249852.1648185713</v>
      </c>
      <c r="BN120" s="109">
        <f t="shared" si="293"/>
        <v>2.1865809111990542E-2</v>
      </c>
      <c r="BO120">
        <v>233</v>
      </c>
      <c r="BP120" s="13">
        <f t="shared" si="294"/>
        <v>-0.10038610038610041</v>
      </c>
      <c r="BQ120" s="1">
        <v>255867.97448136471</v>
      </c>
      <c r="BR120" s="13">
        <f t="shared" si="264"/>
        <v>2.4077476643685536E-2</v>
      </c>
      <c r="BS120">
        <v>237</v>
      </c>
      <c r="BT120" s="13">
        <f t="shared" si="265"/>
        <v>1.716738197424883E-2</v>
      </c>
      <c r="BU120" s="1">
        <v>264291.94442598498</v>
      </c>
      <c r="BV120" s="13">
        <f t="shared" si="295"/>
        <v>3.2923111857571685E-2</v>
      </c>
      <c r="BW120">
        <v>201</v>
      </c>
      <c r="BX120" s="13">
        <f t="shared" si="296"/>
        <v>-0.15189873417721522</v>
      </c>
      <c r="BY120" s="1">
        <v>264061.38128557248</v>
      </c>
      <c r="BZ120" s="13">
        <f t="shared" si="297"/>
        <v>-8.7238050676596846E-4</v>
      </c>
      <c r="CA120">
        <v>152</v>
      </c>
      <c r="CB120" s="13">
        <f t="shared" si="298"/>
        <v>-0.24378109452736318</v>
      </c>
      <c r="CC120" s="1">
        <v>259920.30097381721</v>
      </c>
      <c r="CD120" s="13">
        <f t="shared" si="299"/>
        <v>-1.5682264069037943E-2</v>
      </c>
      <c r="CE120">
        <v>170</v>
      </c>
      <c r="CF120" s="13">
        <f t="shared" si="300"/>
        <v>0.11842105263157898</v>
      </c>
      <c r="CG120" s="1">
        <v>258231.9594270706</v>
      </c>
      <c r="CH120" s="13">
        <f t="shared" si="301"/>
        <v>-6.495612464363365E-3</v>
      </c>
      <c r="CI120">
        <v>201</v>
      </c>
      <c r="CJ120" s="13">
        <f t="shared" si="302"/>
        <v>0.18235294117647061</v>
      </c>
      <c r="CK120" s="1">
        <v>258444.98045617461</v>
      </c>
      <c r="CL120" s="13">
        <f t="shared" si="303"/>
        <v>8.2492124358513053E-4</v>
      </c>
      <c r="CM120">
        <v>205</v>
      </c>
      <c r="CN120" s="13">
        <f t="shared" si="304"/>
        <v>1.990049751243772E-2</v>
      </c>
      <c r="CO120" s="1">
        <v>257444.6633099484</v>
      </c>
      <c r="CP120" s="13">
        <v>-3.8705226329432962E-3</v>
      </c>
      <c r="CQ120">
        <v>246</v>
      </c>
      <c r="CR120" s="13">
        <v>0.19999999999999996</v>
      </c>
      <c r="CS120" s="1">
        <v>256616.48373333251</v>
      </c>
      <c r="CT120" s="13">
        <f t="shared" si="181"/>
        <v>-3.2169226814339202E-3</v>
      </c>
      <c r="CU120">
        <v>253</v>
      </c>
      <c r="CV120" s="13">
        <f t="shared" si="182"/>
        <v>2.8455284552845628E-2</v>
      </c>
      <c r="CW120" s="1">
        <v>249477.1394380836</v>
      </c>
      <c r="CX120" s="13">
        <f t="shared" si="183"/>
        <v>-2.7821066641486203E-2</v>
      </c>
      <c r="CY120">
        <v>252</v>
      </c>
      <c r="CZ120" s="13">
        <f t="shared" si="184"/>
        <v>-3.9525691699604515E-3</v>
      </c>
      <c r="DA120" s="1">
        <v>251239.17998829079</v>
      </c>
      <c r="DB120" s="13">
        <f t="shared" si="185"/>
        <v>7.0629339192198604E-3</v>
      </c>
      <c r="DC120">
        <v>287</v>
      </c>
      <c r="DD120" s="13">
        <f t="shared" si="186"/>
        <v>0.13888888888888884</v>
      </c>
      <c r="DE120" s="1">
        <v>247281.5264892274</v>
      </c>
      <c r="DF120" s="13">
        <f t="shared" si="187"/>
        <v>-1.575253310111846E-2</v>
      </c>
      <c r="DG120" s="1">
        <v>267</v>
      </c>
      <c r="DH120" s="13">
        <f t="shared" si="188"/>
        <v>-6.9686411149825767E-2</v>
      </c>
      <c r="DI120" s="1">
        <v>246813.6297104058</v>
      </c>
      <c r="DJ120" s="13">
        <f t="shared" si="189"/>
        <v>-1.8921622875130995E-3</v>
      </c>
      <c r="DK120" s="1">
        <v>244</v>
      </c>
      <c r="DL120" s="13">
        <f t="shared" si="190"/>
        <v>-8.6142322097378266E-2</v>
      </c>
      <c r="DM120" s="1">
        <v>247587.6511798056</v>
      </c>
      <c r="DN120" s="13">
        <f t="shared" si="191"/>
        <v>3.1360564256843748E-3</v>
      </c>
      <c r="DO120" s="1">
        <v>267</v>
      </c>
      <c r="DP120" s="13">
        <f t="shared" si="192"/>
        <v>9.4262295081967151E-2</v>
      </c>
      <c r="DQ120" s="1">
        <v>247840.45929209591</v>
      </c>
      <c r="DR120" s="13">
        <f t="shared" si="193"/>
        <v>1.02108530488354E-3</v>
      </c>
      <c r="DS120">
        <v>286</v>
      </c>
      <c r="DT120" s="13">
        <f t="shared" si="194"/>
        <v>7.1161048689138529E-2</v>
      </c>
      <c r="DU120" s="1">
        <v>252695.17378394699</v>
      </c>
      <c r="DV120" s="13">
        <f t="shared" si="195"/>
        <v>1.9588062843804988E-2</v>
      </c>
      <c r="DW120">
        <v>259</v>
      </c>
      <c r="DX120" s="13">
        <f t="shared" si="196"/>
        <v>-9.4405594405594373E-2</v>
      </c>
      <c r="DY120" s="1">
        <v>259301.11423771211</v>
      </c>
      <c r="DZ120" s="13">
        <f t="shared" si="197"/>
        <v>2.6141933598673228E-2</v>
      </c>
      <c r="EA120" s="1">
        <v>266</v>
      </c>
      <c r="EB120" s="13">
        <f t="shared" si="198"/>
        <v>2.7027027027026973E-2</v>
      </c>
      <c r="EC120" s="1">
        <v>256841.18408712521</v>
      </c>
      <c r="ED120" s="13">
        <f t="shared" si="199"/>
        <v>-9.4867704591958812E-3</v>
      </c>
      <c r="EE120" s="1">
        <f>IFERROR(VLOOKUP($A120,[1]Москва_продажа_районы!$C$2:$F$148,2,0),"")</f>
        <v>246</v>
      </c>
      <c r="EF120" s="13">
        <v>-7.5187969924812026E-2</v>
      </c>
      <c r="EG120" s="1">
        <v>257202.38109645521</v>
      </c>
      <c r="EH120" s="13">
        <f t="shared" si="200"/>
        <v>1.4063048751848939E-3</v>
      </c>
      <c r="EI120" s="1">
        <f>IFERROR(VLOOKUP($A120,[2]Москва_продажа_районы!$C$2:$F$150,2,0),"")</f>
        <v>229</v>
      </c>
      <c r="EJ120" s="13">
        <v>-6.9105691056910556E-2</v>
      </c>
      <c r="EK120" s="1">
        <v>266142.56718837039</v>
      </c>
      <c r="EL120" s="13">
        <f t="shared" si="201"/>
        <v>3.4759344193483477E-2</v>
      </c>
      <c r="EM120">
        <v>227</v>
      </c>
      <c r="EN120" s="13">
        <f t="shared" si="202"/>
        <v>-8.733624454148492E-3</v>
      </c>
      <c r="EO120" s="1">
        <v>269927.79040342459</v>
      </c>
      <c r="EP120" s="13">
        <f t="shared" si="203"/>
        <v>1.4222539652497979E-2</v>
      </c>
      <c r="EQ120">
        <v>197</v>
      </c>
      <c r="ER120" s="13">
        <f t="shared" si="204"/>
        <v>-0.13215859030837007</v>
      </c>
      <c r="ES120" s="183">
        <v>271730.31318412221</v>
      </c>
      <c r="ET120" s="13">
        <f t="shared" si="205"/>
        <v>6.6777962284048087E-3</v>
      </c>
      <c r="EU120">
        <v>213</v>
      </c>
      <c r="EV120" s="13">
        <f t="shared" si="206"/>
        <v>8.1218274111675148E-2</v>
      </c>
      <c r="EW120" s="183">
        <v>278520.43448194402</v>
      </c>
      <c r="EX120" s="13">
        <f t="shared" si="207"/>
        <v>2.4988457188509949E-2</v>
      </c>
      <c r="EY120">
        <v>225</v>
      </c>
      <c r="EZ120" s="13">
        <f t="shared" si="208"/>
        <v>5.6338028169014009E-2</v>
      </c>
      <c r="FA120" s="1">
        <v>280523.31478157348</v>
      </c>
      <c r="FB120" s="13">
        <f t="shared" si="209"/>
        <v>7.1911430963940148E-3</v>
      </c>
      <c r="FC120" s="1">
        <v>205</v>
      </c>
      <c r="FD120" s="13">
        <f t="shared" si="210"/>
        <v>-8.8888888888888906E-2</v>
      </c>
      <c r="FE120" s="1">
        <v>277360.73923367547</v>
      </c>
      <c r="FF120" s="13">
        <f t="shared" si="211"/>
        <v>-1.1273842070348095E-2</v>
      </c>
      <c r="FG120" s="1">
        <v>197</v>
      </c>
      <c r="FH120" s="13">
        <f t="shared" si="212"/>
        <v>-3.9024390243902474E-2</v>
      </c>
      <c r="FI120" s="1">
        <v>277825.2379715534</v>
      </c>
      <c r="FJ120" s="13">
        <f t="shared" si="213"/>
        <v>1.6747097630374075E-3</v>
      </c>
      <c r="FK120" s="1">
        <v>217</v>
      </c>
      <c r="FL120" s="13">
        <f t="shared" si="214"/>
        <v>0.10152284263959399</v>
      </c>
      <c r="FM120" s="1">
        <v>278306.4326126058</v>
      </c>
      <c r="FN120" s="13">
        <f t="shared" si="215"/>
        <v>1.7320047831712593E-3</v>
      </c>
      <c r="FO120" s="1">
        <v>234</v>
      </c>
      <c r="FP120" s="13">
        <f t="shared" si="216"/>
        <v>7.8341013824884786E-2</v>
      </c>
      <c r="FQ120" s="1">
        <v>274479.22567376943</v>
      </c>
      <c r="FR120" s="13">
        <f t="shared" si="217"/>
        <v>-1.3751773190825656E-2</v>
      </c>
      <c r="FS120">
        <v>262</v>
      </c>
      <c r="FT120" s="13">
        <f t="shared" si="218"/>
        <v>0.11965811965811968</v>
      </c>
      <c r="FU120" s="1">
        <v>272936.91049568239</v>
      </c>
      <c r="FV120" s="13">
        <f t="shared" si="219"/>
        <v>-5.6190597823972954E-3</v>
      </c>
      <c r="FW120" s="1">
        <v>255</v>
      </c>
      <c r="FX120" s="13">
        <f t="shared" si="220"/>
        <v>-2.6717557251908386E-2</v>
      </c>
      <c r="FY120" s="1">
        <v>274562.35057297879</v>
      </c>
      <c r="FZ120" s="13">
        <f t="shared" si="221"/>
        <v>5.9553692256002488E-3</v>
      </c>
      <c r="GA120" s="1">
        <v>243</v>
      </c>
      <c r="GB120" s="13">
        <f t="shared" si="222"/>
        <v>-4.705882352941182E-2</v>
      </c>
      <c r="GC120" s="1">
        <v>274939.73317243898</v>
      </c>
      <c r="GD120" s="13">
        <f t="shared" si="223"/>
        <v>1.3744877936565647E-3</v>
      </c>
      <c r="GE120" s="1">
        <v>237</v>
      </c>
      <c r="GF120" s="13">
        <f t="shared" si="224"/>
        <v>-2.4691358024691357E-2</v>
      </c>
      <c r="GG120" s="1">
        <f>IFERROR(VLOOKUP(A120,[3]Москва_продажа_районы!$C$2:$F$149,3,0),"")</f>
        <v>273458.57727543672</v>
      </c>
      <c r="GH120" s="13">
        <v>-5.3872020602904191E-3</v>
      </c>
      <c r="GI120" s="1">
        <v>243</v>
      </c>
      <c r="GJ120" s="13">
        <f t="shared" si="225"/>
        <v>2.5316455696202445E-2</v>
      </c>
      <c r="GK120" s="1">
        <v>272634.01880073082</v>
      </c>
      <c r="GL120" s="13">
        <f t="shared" si="226"/>
        <v>-3.0152957092122179E-3</v>
      </c>
      <c r="GM120" s="1">
        <v>251</v>
      </c>
      <c r="GN120" s="13">
        <f t="shared" si="227"/>
        <v>3.292181069958855E-2</v>
      </c>
      <c r="GO120" s="1">
        <v>274721.56196156418</v>
      </c>
      <c r="GP120" s="13">
        <f t="shared" si="228"/>
        <v>7.6569430697464025E-3</v>
      </c>
      <c r="GQ120" s="1">
        <v>240.75000000000003</v>
      </c>
      <c r="GR120" s="13">
        <f t="shared" si="229"/>
        <v>-4.0836653386454036E-2</v>
      </c>
      <c r="GS120" s="1">
        <v>271260.88830808888</v>
      </c>
      <c r="GT120" s="13">
        <f t="shared" si="305"/>
        <v>-1.2597022340603448E-2</v>
      </c>
      <c r="GU120">
        <v>237</v>
      </c>
      <c r="GV120" s="13">
        <f t="shared" si="306"/>
        <v>-1.5576323987539054E-2</v>
      </c>
      <c r="GW120">
        <v>277315.99724241142</v>
      </c>
      <c r="GX120" s="13">
        <f t="shared" si="230"/>
        <v>2.2322086210398995E-2</v>
      </c>
      <c r="GY120">
        <v>207</v>
      </c>
      <c r="GZ120" s="13">
        <f t="shared" si="231"/>
        <v>-0.12658227848101267</v>
      </c>
      <c r="HA120">
        <v>284261.33692410839</v>
      </c>
      <c r="HB120" s="13">
        <v>2.5044857674134891E-2</v>
      </c>
      <c r="HC120">
        <v>190</v>
      </c>
      <c r="HD120" s="13">
        <v>-8.2125603864734331E-2</v>
      </c>
      <c r="HE120">
        <v>282245.02675993409</v>
      </c>
      <c r="HF120" s="13">
        <v>-7.0931565509122496E-3</v>
      </c>
      <c r="HG120">
        <v>190</v>
      </c>
      <c r="HH120" s="13">
        <v>0</v>
      </c>
      <c r="HI120">
        <f>VLOOKUP(A120,[4]Москва_продажа_районы!$C$4:$F$151,3,0)</f>
        <v>279904.82751076779</v>
      </c>
      <c r="HJ120" s="13">
        <f t="shared" si="232"/>
        <v>-8.2913746117367904E-3</v>
      </c>
      <c r="HK120">
        <f>VLOOKUP(A120,[4]Москва_продажа_районы!$C$4:$F$151,2,0)</f>
        <v>192</v>
      </c>
      <c r="HL120" s="13">
        <f t="shared" si="233"/>
        <v>1.0526315789473717E-2</v>
      </c>
      <c r="HM120" s="1">
        <f>VLOOKUP(A120,Лист3!$C$4:$F$149,3,0)</f>
        <v>284792.50229701912</v>
      </c>
      <c r="HN120" s="13">
        <f t="shared" si="234"/>
        <v>1.7461916715471038E-2</v>
      </c>
      <c r="HO120">
        <f>VLOOKUP(A120,Лист3!$C$4:$F$149,2,0)</f>
        <v>180</v>
      </c>
      <c r="HP120" s="13">
        <f t="shared" si="235"/>
        <v>-6.25E-2</v>
      </c>
      <c r="HQ120" s="1">
        <v>288536.60354275478</v>
      </c>
      <c r="HR120" s="13">
        <v>1.3146769017924553E-2</v>
      </c>
      <c r="HS120">
        <v>169</v>
      </c>
      <c r="HT120" s="13">
        <v>-6.1111111111111116E-2</v>
      </c>
      <c r="HU120" s="34">
        <v>287471.22099917172</v>
      </c>
      <c r="HV120" s="13">
        <v>-3.6923653030564996E-3</v>
      </c>
      <c r="HW120">
        <v>166</v>
      </c>
      <c r="HX120" s="13">
        <v>-1.7751479289940808E-2</v>
      </c>
      <c r="HY120">
        <v>285616.25714916422</v>
      </c>
      <c r="HZ120" s="13">
        <v>-6.4526940942476463E-3</v>
      </c>
      <c r="IA120">
        <v>175</v>
      </c>
      <c r="IB120" s="13">
        <v>5.4216867469879526E-2</v>
      </c>
      <c r="IC120" s="34">
        <v>283539.69986947073</v>
      </c>
      <c r="ID120" s="13">
        <v>-7.27044496843543E-3</v>
      </c>
      <c r="IE120">
        <v>163</v>
      </c>
      <c r="IF120" s="13">
        <v>-6.8571428571428616E-2</v>
      </c>
    </row>
    <row r="121" spans="1:240" x14ac:dyDescent="0.3">
      <c r="A121" s="75" t="s">
        <v>170</v>
      </c>
      <c r="B121" s="61">
        <v>176316.34450312503</v>
      </c>
      <c r="C121">
        <v>336</v>
      </c>
      <c r="D121" s="61">
        <v>178606.60836699072</v>
      </c>
      <c r="E121">
        <v>329</v>
      </c>
      <c r="F121" s="61">
        <v>180091.52114965991</v>
      </c>
      <c r="G121">
        <v>294</v>
      </c>
      <c r="H121" s="61">
        <v>181284.61820865161</v>
      </c>
      <c r="I121">
        <v>310</v>
      </c>
      <c r="J121" s="61">
        <v>182493.45227647401</v>
      </c>
      <c r="K121">
        <v>402</v>
      </c>
      <c r="L121" s="61">
        <v>182654.05315367365</v>
      </c>
      <c r="M121">
        <v>414</v>
      </c>
      <c r="N121" s="61">
        <v>184256.44108887087</v>
      </c>
      <c r="O121" s="47">
        <v>388</v>
      </c>
      <c r="P121" s="35">
        <v>188347.3855863889</v>
      </c>
      <c r="Q121" s="47">
        <v>390</v>
      </c>
      <c r="R121" s="35">
        <v>194988.11851410914</v>
      </c>
      <c r="S121" s="47">
        <v>341</v>
      </c>
      <c r="T121" s="35">
        <v>203443.09130896049</v>
      </c>
      <c r="U121" s="47">
        <v>330</v>
      </c>
      <c r="V121" s="61">
        <v>207735.71377082361</v>
      </c>
      <c r="W121" s="47">
        <v>299</v>
      </c>
      <c r="X121" s="65">
        <v>211942.74754616589</v>
      </c>
      <c r="Y121" s="47">
        <v>266</v>
      </c>
      <c r="Z121" s="34">
        <v>207747.85939358242</v>
      </c>
      <c r="AA121" s="81">
        <v>331</v>
      </c>
      <c r="AB121" s="1">
        <v>218859.11289802441</v>
      </c>
      <c r="AC121">
        <v>305</v>
      </c>
      <c r="AD121" s="1">
        <v>222549.93191990859</v>
      </c>
      <c r="AE121">
        <v>331</v>
      </c>
      <c r="AF121" s="13">
        <f t="shared" si="180"/>
        <v>5.0047404294559339E-2</v>
      </c>
      <c r="AG121" s="85">
        <f t="shared" si="307"/>
        <v>8.0320310604222275E-2</v>
      </c>
      <c r="AH121">
        <f t="shared" si="308"/>
        <v>21</v>
      </c>
      <c r="AI121" s="90">
        <f t="shared" si="309"/>
        <v>352</v>
      </c>
      <c r="AL121" s="1">
        <v>224017.77431951289</v>
      </c>
      <c r="AM121">
        <v>354</v>
      </c>
      <c r="AN121" s="13">
        <f t="shared" si="310"/>
        <v>8.9824917533620902E-2</v>
      </c>
      <c r="AQ121">
        <f t="shared" si="311"/>
        <v>18</v>
      </c>
      <c r="AR121" s="90">
        <f t="shared" si="312"/>
        <v>372</v>
      </c>
      <c r="AS121">
        <v>325</v>
      </c>
      <c r="AT121" s="1">
        <v>226375.35095739359</v>
      </c>
      <c r="AU121" s="13">
        <f t="shared" si="313"/>
        <v>1.0524060624395482E-2</v>
      </c>
      <c r="AV121" s="35">
        <v>302</v>
      </c>
      <c r="AW121" s="1">
        <v>230936.81159813609</v>
      </c>
      <c r="AX121" s="35">
        <v>335.53697036831903</v>
      </c>
      <c r="AY121" s="121">
        <v>232495.2105660502</v>
      </c>
      <c r="AZ121" s="122">
        <v>302</v>
      </c>
      <c r="BA121" s="119">
        <v>237639.15662931069</v>
      </c>
      <c r="BB121">
        <v>325</v>
      </c>
      <c r="BC121" s="13">
        <f t="shared" si="314"/>
        <v>2.2124954964606092E-2</v>
      </c>
      <c r="BD121">
        <v>371</v>
      </c>
      <c r="BE121" s="1">
        <v>242342.97568828601</v>
      </c>
      <c r="BF121" s="13">
        <f t="shared" si="291"/>
        <v>1.9793956205259366E-2</v>
      </c>
      <c r="BG121">
        <v>337</v>
      </c>
      <c r="BH121" s="1">
        <v>241575.96306091559</v>
      </c>
      <c r="BI121" s="13">
        <f t="shared" si="267"/>
        <v>-3.164988071933994E-3</v>
      </c>
      <c r="BJ121">
        <v>323</v>
      </c>
      <c r="BK121" s="1">
        <v>248440.53844462309</v>
      </c>
      <c r="BL121" s="13">
        <f t="shared" si="292"/>
        <v>2.841580468821947E-2</v>
      </c>
      <c r="BM121" s="1">
        <v>255863.23673473779</v>
      </c>
      <c r="BN121" s="109">
        <f t="shared" si="293"/>
        <v>2.9877162304448923E-2</v>
      </c>
      <c r="BO121">
        <v>266</v>
      </c>
      <c r="BP121" s="13">
        <f t="shared" si="294"/>
        <v>-0.17647058823529416</v>
      </c>
      <c r="BQ121" s="1">
        <v>260670.74547241119</v>
      </c>
      <c r="BR121" s="13">
        <f t="shared" si="264"/>
        <v>1.8789368879349899E-2</v>
      </c>
      <c r="BS121">
        <v>286</v>
      </c>
      <c r="BT121" s="13">
        <f t="shared" si="265"/>
        <v>7.5187969924812137E-2</v>
      </c>
      <c r="BU121" s="1">
        <v>271769.63092393457</v>
      </c>
      <c r="BV121" s="13">
        <f t="shared" si="295"/>
        <v>4.2578178197208105E-2</v>
      </c>
      <c r="BW121">
        <v>258</v>
      </c>
      <c r="BX121" s="13">
        <f t="shared" si="296"/>
        <v>-9.7902097902097918E-2</v>
      </c>
      <c r="BY121" s="1">
        <v>277917.79068435868</v>
      </c>
      <c r="BZ121" s="13">
        <f t="shared" si="297"/>
        <v>2.2622688707057526E-2</v>
      </c>
      <c r="CA121">
        <v>241</v>
      </c>
      <c r="CB121" s="13">
        <f t="shared" si="298"/>
        <v>-6.589147286821706E-2</v>
      </c>
      <c r="CC121" s="1">
        <v>272823.76283830631</v>
      </c>
      <c r="CD121" s="13">
        <f t="shared" si="299"/>
        <v>-1.8329261446374367E-2</v>
      </c>
      <c r="CE121">
        <v>257</v>
      </c>
      <c r="CF121" s="13">
        <f t="shared" si="300"/>
        <v>6.639004149377592E-2</v>
      </c>
      <c r="CG121" s="1">
        <v>265201.75276846602</v>
      </c>
      <c r="CH121" s="13">
        <f t="shared" si="301"/>
        <v>-2.7937486055265692E-2</v>
      </c>
      <c r="CI121">
        <v>298</v>
      </c>
      <c r="CJ121" s="13">
        <f t="shared" si="302"/>
        <v>0.15953307392996119</v>
      </c>
      <c r="CK121" s="1">
        <v>262951.35920421558</v>
      </c>
      <c r="CL121" s="13">
        <f t="shared" si="303"/>
        <v>-8.4855908407782676E-3</v>
      </c>
      <c r="CM121">
        <v>333</v>
      </c>
      <c r="CN121" s="13">
        <f t="shared" si="304"/>
        <v>0.1174496644295302</v>
      </c>
      <c r="CO121" s="1">
        <v>260556.1097681892</v>
      </c>
      <c r="CP121" s="13">
        <v>-9.1090969952589695E-3</v>
      </c>
      <c r="CQ121">
        <v>335</v>
      </c>
      <c r="CR121" s="13">
        <v>6.0060060060060927E-3</v>
      </c>
      <c r="CS121" s="1">
        <v>255924.2817455102</v>
      </c>
      <c r="CT121" s="13">
        <f t="shared" si="181"/>
        <v>-1.7776700868000428E-2</v>
      </c>
      <c r="CU121">
        <v>367</v>
      </c>
      <c r="CV121" s="13">
        <f t="shared" si="182"/>
        <v>9.5522388059701591E-2</v>
      </c>
      <c r="CW121" s="1">
        <v>251834.24887877289</v>
      </c>
      <c r="CX121" s="13">
        <f t="shared" si="183"/>
        <v>-1.5981417780452811E-2</v>
      </c>
      <c r="CY121">
        <v>387</v>
      </c>
      <c r="CZ121" s="13">
        <f t="shared" si="184"/>
        <v>5.4495912806539426E-2</v>
      </c>
      <c r="DA121" s="1">
        <v>250861.29249262539</v>
      </c>
      <c r="DB121" s="13">
        <f t="shared" si="185"/>
        <v>-3.8634792149174757E-3</v>
      </c>
      <c r="DC121">
        <v>378</v>
      </c>
      <c r="DD121" s="13">
        <f t="shared" si="186"/>
        <v>-2.3255813953488413E-2</v>
      </c>
      <c r="DE121" s="1">
        <v>248622.80263428899</v>
      </c>
      <c r="DF121" s="13">
        <f t="shared" si="187"/>
        <v>-8.9232174326064895E-3</v>
      </c>
      <c r="DG121" s="1">
        <v>357</v>
      </c>
      <c r="DH121" s="13">
        <f t="shared" si="188"/>
        <v>-5.555555555555558E-2</v>
      </c>
      <c r="DI121" s="1">
        <v>248215.13067267771</v>
      </c>
      <c r="DJ121" s="13">
        <f t="shared" si="189"/>
        <v>-1.6397207226842569E-3</v>
      </c>
      <c r="DK121" s="1">
        <v>350</v>
      </c>
      <c r="DL121" s="13">
        <f t="shared" si="190"/>
        <v>-1.9607843137254943E-2</v>
      </c>
      <c r="DM121" s="1">
        <v>250127.61287897971</v>
      </c>
      <c r="DN121" s="13">
        <f t="shared" si="191"/>
        <v>7.7049380556255542E-3</v>
      </c>
      <c r="DO121" s="1">
        <v>385</v>
      </c>
      <c r="DP121" s="13">
        <f t="shared" si="192"/>
        <v>0.10000000000000009</v>
      </c>
      <c r="DQ121" s="1">
        <v>251078.84118160731</v>
      </c>
      <c r="DR121" s="13">
        <f t="shared" si="193"/>
        <v>3.8029719776992987E-3</v>
      </c>
      <c r="DS121">
        <v>394</v>
      </c>
      <c r="DT121" s="13">
        <f t="shared" si="194"/>
        <v>2.3376623376623273E-2</v>
      </c>
      <c r="DU121" s="1">
        <v>257431.79513205079</v>
      </c>
      <c r="DV121" s="13">
        <f t="shared" si="195"/>
        <v>2.5302625743155893E-2</v>
      </c>
      <c r="DW121">
        <v>395</v>
      </c>
      <c r="DX121" s="13">
        <f t="shared" si="196"/>
        <v>2.5380710659899108E-3</v>
      </c>
      <c r="DY121" s="1">
        <v>259545.70834337719</v>
      </c>
      <c r="DZ121" s="13">
        <f t="shared" si="197"/>
        <v>8.2115467137306997E-3</v>
      </c>
      <c r="EA121" s="1">
        <v>396</v>
      </c>
      <c r="EB121" s="13">
        <f t="shared" si="198"/>
        <v>2.5316455696202667E-3</v>
      </c>
      <c r="EC121" s="1">
        <v>264978.27386163711</v>
      </c>
      <c r="ED121" s="13">
        <f t="shared" si="199"/>
        <v>2.0931055084419503E-2</v>
      </c>
      <c r="EE121" s="1">
        <f>IFERROR(VLOOKUP($A121,[1]Москва_продажа_районы!$C$2:$F$148,2,0),"")</f>
        <v>387</v>
      </c>
      <c r="EF121" s="13">
        <v>-2.2727272727272707E-2</v>
      </c>
      <c r="EG121" s="1">
        <v>267082.06807665899</v>
      </c>
      <c r="EH121" s="13">
        <f t="shared" si="200"/>
        <v>7.9394970174815338E-3</v>
      </c>
      <c r="EI121" s="1">
        <f>IFERROR(VLOOKUP($A121,[2]Москва_продажа_районы!$C$2:$F$150,2,0),"")</f>
        <v>374</v>
      </c>
      <c r="EJ121" s="13">
        <v>-3.3591731266149893E-2</v>
      </c>
      <c r="EK121" s="1">
        <v>272035.88058144093</v>
      </c>
      <c r="EL121" s="13">
        <f t="shared" si="201"/>
        <v>1.8547903797719867E-2</v>
      </c>
      <c r="EM121">
        <v>362</v>
      </c>
      <c r="EN121" s="13">
        <f t="shared" si="202"/>
        <v>-3.208556149732622E-2</v>
      </c>
      <c r="EO121" s="1">
        <v>274687.87223204831</v>
      </c>
      <c r="EP121" s="13">
        <f t="shared" si="203"/>
        <v>9.7486833168445308E-3</v>
      </c>
      <c r="EQ121">
        <v>324</v>
      </c>
      <c r="ER121" s="13">
        <f t="shared" si="204"/>
        <v>-0.10497237569060769</v>
      </c>
      <c r="ES121" s="183">
        <v>280019.46487490012</v>
      </c>
      <c r="ET121" s="13">
        <f t="shared" si="205"/>
        <v>1.9409639746846397E-2</v>
      </c>
      <c r="EU121">
        <v>279</v>
      </c>
      <c r="EV121" s="13">
        <f t="shared" si="206"/>
        <v>-0.13888888888888884</v>
      </c>
      <c r="EW121" s="183">
        <v>279288.48464928678</v>
      </c>
      <c r="EX121" s="13">
        <f t="shared" si="207"/>
        <v>-2.6104621903334513E-3</v>
      </c>
      <c r="EY121">
        <v>288</v>
      </c>
      <c r="EZ121" s="13">
        <f t="shared" si="208"/>
        <v>3.2258064516129004E-2</v>
      </c>
      <c r="FA121" s="1">
        <v>277576.32241996977</v>
      </c>
      <c r="FB121" s="13">
        <f t="shared" si="209"/>
        <v>-6.1304433352024068E-3</v>
      </c>
      <c r="FC121" s="1">
        <v>261</v>
      </c>
      <c r="FD121" s="13">
        <f t="shared" si="210"/>
        <v>-9.375E-2</v>
      </c>
      <c r="FE121" s="1">
        <v>279742.63011385599</v>
      </c>
      <c r="FF121" s="13">
        <f t="shared" si="211"/>
        <v>7.8043677320884797E-3</v>
      </c>
      <c r="FG121" s="1">
        <v>280</v>
      </c>
      <c r="FH121" s="13">
        <f t="shared" si="212"/>
        <v>7.2796934865900331E-2</v>
      </c>
      <c r="FI121" s="1">
        <v>285710.16813144821</v>
      </c>
      <c r="FJ121" s="13">
        <f t="shared" si="213"/>
        <v>2.1332243909923276E-2</v>
      </c>
      <c r="FK121" s="1">
        <v>306</v>
      </c>
      <c r="FL121" s="13">
        <f t="shared" si="214"/>
        <v>9.2857142857142749E-2</v>
      </c>
      <c r="FM121" s="1">
        <v>286920.58763072023</v>
      </c>
      <c r="FN121" s="13">
        <f t="shared" si="215"/>
        <v>4.2365293023631789E-3</v>
      </c>
      <c r="FO121" s="1">
        <v>350</v>
      </c>
      <c r="FP121" s="13">
        <f t="shared" si="216"/>
        <v>0.14379084967320255</v>
      </c>
      <c r="FQ121" s="1">
        <v>284824.0382535379</v>
      </c>
      <c r="FR121" s="13">
        <f t="shared" si="217"/>
        <v>-7.3070719480077262E-3</v>
      </c>
      <c r="FS121">
        <v>346</v>
      </c>
      <c r="FT121" s="13">
        <f t="shared" si="218"/>
        <v>-1.1428571428571455E-2</v>
      </c>
      <c r="FU121" s="1">
        <v>283431.43790696329</v>
      </c>
      <c r="FV121" s="13">
        <f t="shared" si="219"/>
        <v>-4.8893357285209049E-3</v>
      </c>
      <c r="FW121" s="1">
        <v>327</v>
      </c>
      <c r="FX121" s="13">
        <f t="shared" si="220"/>
        <v>-5.4913294797687806E-2</v>
      </c>
      <c r="FY121" s="1">
        <v>281774.64783570147</v>
      </c>
      <c r="FZ121" s="13">
        <f t="shared" si="221"/>
        <v>-5.8454703666488417E-3</v>
      </c>
      <c r="GA121" s="1">
        <v>337</v>
      </c>
      <c r="GB121" s="13">
        <f t="shared" si="222"/>
        <v>3.0581039755351647E-2</v>
      </c>
      <c r="GC121" s="1">
        <v>280786.66210967262</v>
      </c>
      <c r="GD121" s="13">
        <f t="shared" si="223"/>
        <v>-3.5062974388133661E-3</v>
      </c>
      <c r="GE121" s="1">
        <v>324</v>
      </c>
      <c r="GF121" s="13">
        <f t="shared" si="224"/>
        <v>-3.857566765578635E-2</v>
      </c>
      <c r="GG121" s="1">
        <f>IFERROR(VLOOKUP(A121,[3]Москва_продажа_районы!$C$2:$F$149,3,0),"")</f>
        <v>279295.11178836762</v>
      </c>
      <c r="GH121" s="13">
        <v>-5.3120412134192163E-3</v>
      </c>
      <c r="GI121" s="1">
        <v>306</v>
      </c>
      <c r="GJ121" s="13">
        <f t="shared" si="225"/>
        <v>-5.555555555555558E-2</v>
      </c>
      <c r="GK121" s="1">
        <v>279810.24237329973</v>
      </c>
      <c r="GL121" s="13">
        <f t="shared" si="226"/>
        <v>1.8443952765003768E-3</v>
      </c>
      <c r="GM121" s="1">
        <v>310</v>
      </c>
      <c r="GN121" s="13">
        <f t="shared" si="227"/>
        <v>1.3071895424836555E-2</v>
      </c>
      <c r="GO121" s="1">
        <v>280435.41907243</v>
      </c>
      <c r="GP121" s="13">
        <f t="shared" si="228"/>
        <v>2.234288115501526E-3</v>
      </c>
      <c r="GQ121" s="1">
        <v>311.37</v>
      </c>
      <c r="GR121" s="13">
        <f t="shared" si="229"/>
        <v>4.4193548387096993E-3</v>
      </c>
      <c r="GS121" s="1">
        <v>280222.56495375058</v>
      </c>
      <c r="GT121" s="13">
        <f t="shared" si="305"/>
        <v>-7.5901296413793951E-4</v>
      </c>
      <c r="GU121">
        <v>314</v>
      </c>
      <c r="GV121" s="13">
        <f t="shared" si="306"/>
        <v>8.4465426983972858E-3</v>
      </c>
      <c r="GW121">
        <v>280009.23765708512</v>
      </c>
      <c r="GX121" s="13">
        <f t="shared" si="230"/>
        <v>-7.6127808158732435E-4</v>
      </c>
      <c r="GY121">
        <v>286</v>
      </c>
      <c r="GZ121" s="13">
        <f t="shared" si="231"/>
        <v>-8.9171974522292974E-2</v>
      </c>
      <c r="HA121">
        <v>288103.52276439662</v>
      </c>
      <c r="HB121" s="13">
        <v>2.8907207401579482E-2</v>
      </c>
      <c r="HC121">
        <v>273</v>
      </c>
      <c r="HD121" s="13">
        <v>-4.5454545454545414E-2</v>
      </c>
      <c r="HE121">
        <v>289733.11359748029</v>
      </c>
      <c r="HF121" s="13">
        <v>5.6562683352410215E-3</v>
      </c>
      <c r="HG121">
        <v>289</v>
      </c>
      <c r="HH121" s="13">
        <v>5.8608058608058622E-2</v>
      </c>
      <c r="HI121">
        <f>VLOOKUP(A121,[4]Москва_продажа_районы!$C$4:$F$151,3,0)</f>
        <v>293339.62953639048</v>
      </c>
      <c r="HJ121" s="13">
        <f t="shared" si="232"/>
        <v>1.244771746705009E-2</v>
      </c>
      <c r="HK121">
        <f>VLOOKUP(A121,[4]Москва_продажа_районы!$C$4:$F$151,2,0)</f>
        <v>292</v>
      </c>
      <c r="HL121" s="13">
        <f t="shared" si="233"/>
        <v>1.0380622837370179E-2</v>
      </c>
      <c r="HM121" s="1">
        <f>VLOOKUP(A121,Лист3!$C$4:$F$149,3,0)</f>
        <v>291120.03682246828</v>
      </c>
      <c r="HN121" s="13">
        <f t="shared" si="234"/>
        <v>-7.5666309302638846E-3</v>
      </c>
      <c r="HO121">
        <f>VLOOKUP(A121,Лист3!$C$4:$F$149,2,0)</f>
        <v>294</v>
      </c>
      <c r="HP121" s="13">
        <f t="shared" si="235"/>
        <v>6.8493150684931781E-3</v>
      </c>
      <c r="HQ121" s="1">
        <v>292768.90259174851</v>
      </c>
      <c r="HR121" s="13">
        <v>5.6638690599155606E-3</v>
      </c>
      <c r="HS121">
        <v>309</v>
      </c>
      <c r="HT121" s="13">
        <v>5.1020408163265252E-2</v>
      </c>
      <c r="HU121" s="34">
        <v>292185.07289820362</v>
      </c>
      <c r="HV121" s="13">
        <v>-1.9941656657401774E-3</v>
      </c>
      <c r="HW121">
        <v>287</v>
      </c>
      <c r="HX121" s="13">
        <v>-7.1197411003236288E-2</v>
      </c>
      <c r="HY121">
        <v>292595.35125896998</v>
      </c>
      <c r="HZ121" s="13">
        <v>1.4041728986933233E-3</v>
      </c>
      <c r="IA121">
        <v>292</v>
      </c>
      <c r="IB121" s="13">
        <v>1.7421602787456525E-2</v>
      </c>
      <c r="IC121" s="34">
        <v>296504.8625420006</v>
      </c>
      <c r="ID121" s="13">
        <v>1.3361494863841417E-2</v>
      </c>
      <c r="IE121">
        <v>291</v>
      </c>
      <c r="IF121" s="13">
        <v>-3.424657534246589E-3</v>
      </c>
    </row>
    <row r="122" spans="1:240" x14ac:dyDescent="0.3">
      <c r="A122" s="75" t="s">
        <v>126</v>
      </c>
      <c r="B122" s="61">
        <v>217530.11376420135</v>
      </c>
      <c r="C122">
        <v>338</v>
      </c>
      <c r="D122" s="61">
        <v>222635.62259436215</v>
      </c>
      <c r="E122">
        <v>337</v>
      </c>
      <c r="F122" s="61">
        <v>177071.95499898604</v>
      </c>
      <c r="G122">
        <v>217</v>
      </c>
      <c r="H122" s="61">
        <v>175899.51479746899</v>
      </c>
      <c r="I122">
        <v>222</v>
      </c>
      <c r="J122" s="61">
        <v>175813.74437463417</v>
      </c>
      <c r="K122">
        <v>281</v>
      </c>
      <c r="L122" s="61">
        <v>180688.86309669385</v>
      </c>
      <c r="M122">
        <v>282</v>
      </c>
      <c r="N122" s="61">
        <v>183005.7613327424</v>
      </c>
      <c r="O122" s="47">
        <v>247</v>
      </c>
      <c r="P122" s="35">
        <v>185701.63066973299</v>
      </c>
      <c r="Q122" s="47">
        <v>262</v>
      </c>
      <c r="R122" s="35">
        <v>189195.43622933907</v>
      </c>
      <c r="S122" s="47">
        <v>252</v>
      </c>
      <c r="T122" s="35">
        <v>197373.08887955724</v>
      </c>
      <c r="U122" s="47">
        <v>210</v>
      </c>
      <c r="V122" s="61">
        <v>201139.32372038491</v>
      </c>
      <c r="W122" s="47">
        <v>184</v>
      </c>
      <c r="X122" s="65">
        <v>205723.76024179609</v>
      </c>
      <c r="Y122" s="47">
        <v>198</v>
      </c>
      <c r="Z122" s="1">
        <v>209167.525625568</v>
      </c>
      <c r="AA122" s="81">
        <v>245</v>
      </c>
      <c r="AB122" s="1">
        <v>213519.28662077911</v>
      </c>
      <c r="AC122">
        <v>226</v>
      </c>
      <c r="AD122" s="1">
        <v>213753.51546375491</v>
      </c>
      <c r="AE122">
        <v>213</v>
      </c>
      <c r="AF122" s="13">
        <f t="shared" si="180"/>
        <v>3.903173465486498E-2</v>
      </c>
      <c r="AG122" s="85">
        <f t="shared" si="307"/>
        <v>5.1686483863140016E-2</v>
      </c>
      <c r="AH122">
        <f t="shared" si="308"/>
        <v>14</v>
      </c>
      <c r="AI122" s="90">
        <f t="shared" si="309"/>
        <v>227</v>
      </c>
      <c r="AL122" s="1">
        <v>216230.7985055093</v>
      </c>
      <c r="AM122">
        <v>215</v>
      </c>
      <c r="AN122" s="13">
        <f t="shared" si="310"/>
        <v>5.4554681552905354E-2</v>
      </c>
      <c r="AQ122">
        <f t="shared" si="311"/>
        <v>11</v>
      </c>
      <c r="AR122" s="90">
        <f t="shared" si="312"/>
        <v>226</v>
      </c>
      <c r="AS122">
        <v>220</v>
      </c>
      <c r="AT122" s="1">
        <v>216128.43764887299</v>
      </c>
      <c r="AU122" s="13">
        <f t="shared" si="313"/>
        <v>-4.733870352594538E-4</v>
      </c>
      <c r="AV122" s="35">
        <v>224</v>
      </c>
      <c r="AW122" s="1">
        <v>230108.98112360481</v>
      </c>
      <c r="AX122" s="35">
        <v>248.87510384934922</v>
      </c>
      <c r="AY122" s="121">
        <v>235104.96401549809</v>
      </c>
      <c r="AZ122" s="122">
        <v>255</v>
      </c>
      <c r="BA122" s="119">
        <v>240193.40406733131</v>
      </c>
      <c r="BB122">
        <v>248</v>
      </c>
      <c r="BC122" s="13">
        <f t="shared" si="314"/>
        <v>2.1643269307992208E-2</v>
      </c>
      <c r="BD122">
        <v>265</v>
      </c>
      <c r="BE122" s="1">
        <v>240984.05908519751</v>
      </c>
      <c r="BF122" s="13">
        <f t="shared" si="291"/>
        <v>3.2917432555499282E-3</v>
      </c>
      <c r="BG122">
        <v>263</v>
      </c>
      <c r="BH122" s="1">
        <v>246671.58742622321</v>
      </c>
      <c r="BI122" s="13">
        <f t="shared" si="267"/>
        <v>2.3601263762492053E-2</v>
      </c>
      <c r="BJ122">
        <v>263</v>
      </c>
      <c r="BK122" s="1">
        <v>249056.22079088821</v>
      </c>
      <c r="BL122" s="13">
        <f t="shared" si="292"/>
        <v>9.6672397074439864E-3</v>
      </c>
      <c r="BM122" s="1">
        <v>254253.25516327401</v>
      </c>
      <c r="BN122" s="109">
        <f t="shared" si="293"/>
        <v>2.086691252233086E-2</v>
      </c>
      <c r="BO122">
        <v>232</v>
      </c>
      <c r="BP122" s="13">
        <f t="shared" si="294"/>
        <v>-0.11787072243346008</v>
      </c>
      <c r="BQ122" s="1">
        <v>261218.98539876071</v>
      </c>
      <c r="BR122" s="13">
        <f t="shared" si="264"/>
        <v>2.7396818306273163E-2</v>
      </c>
      <c r="BS122">
        <v>260</v>
      </c>
      <c r="BT122" s="13">
        <f t="shared" si="265"/>
        <v>0.1206896551724137</v>
      </c>
      <c r="BU122" s="1">
        <v>265872.56731240661</v>
      </c>
      <c r="BV122" s="13">
        <f t="shared" si="295"/>
        <v>1.7814868649543403E-2</v>
      </c>
      <c r="BW122">
        <v>263</v>
      </c>
      <c r="BX122" s="13">
        <f t="shared" si="296"/>
        <v>1.1538461538461497E-2</v>
      </c>
      <c r="BY122" s="1">
        <v>266306.01550250192</v>
      </c>
      <c r="BZ122" s="13">
        <f t="shared" si="297"/>
        <v>1.6302854953289536E-3</v>
      </c>
      <c r="CA122">
        <v>210</v>
      </c>
      <c r="CB122" s="13">
        <f t="shared" si="298"/>
        <v>-0.20152091254752846</v>
      </c>
      <c r="CC122" s="1">
        <v>265763.53393701091</v>
      </c>
      <c r="CD122" s="13">
        <f t="shared" si="299"/>
        <v>-2.0370608770041709E-3</v>
      </c>
      <c r="CE122">
        <v>241</v>
      </c>
      <c r="CF122" s="13">
        <f t="shared" si="300"/>
        <v>0.14761904761904754</v>
      </c>
      <c r="CG122" s="1">
        <v>263063.82248509082</v>
      </c>
      <c r="CH122" s="13">
        <f t="shared" si="301"/>
        <v>-1.0158321617441901E-2</v>
      </c>
      <c r="CI122">
        <v>287</v>
      </c>
      <c r="CJ122" s="13">
        <f t="shared" si="302"/>
        <v>0.1908713692946058</v>
      </c>
      <c r="CK122" s="1">
        <v>260970.76851977891</v>
      </c>
      <c r="CL122" s="13">
        <f t="shared" si="303"/>
        <v>-7.9564492963699607E-3</v>
      </c>
      <c r="CM122">
        <v>300</v>
      </c>
      <c r="CN122" s="13">
        <f t="shared" si="304"/>
        <v>4.5296167247386832E-2</v>
      </c>
      <c r="CO122" s="1">
        <v>262043.43908432149</v>
      </c>
      <c r="CP122" s="13">
        <v>4.1103092527441376E-3</v>
      </c>
      <c r="CQ122">
        <v>304</v>
      </c>
      <c r="CR122" s="13">
        <v>1.3333333333333419E-2</v>
      </c>
      <c r="CS122" s="1">
        <v>262578.37266013282</v>
      </c>
      <c r="CT122" s="13">
        <f t="shared" si="181"/>
        <v>2.0413927464872916E-3</v>
      </c>
      <c r="CU122">
        <v>329</v>
      </c>
      <c r="CV122" s="13">
        <f t="shared" si="182"/>
        <v>8.2236842105263053E-2</v>
      </c>
      <c r="CW122" s="1">
        <v>257411.10087445081</v>
      </c>
      <c r="CX122" s="13">
        <f t="shared" si="183"/>
        <v>-1.9678969495215193E-2</v>
      </c>
      <c r="CY122">
        <v>348</v>
      </c>
      <c r="CZ122" s="13">
        <f t="shared" si="184"/>
        <v>5.7750759878419489E-2</v>
      </c>
      <c r="DA122" s="1">
        <v>252808.27973552429</v>
      </c>
      <c r="DB122" s="13">
        <f t="shared" si="185"/>
        <v>-1.7881206844966191E-2</v>
      </c>
      <c r="DC122">
        <v>335</v>
      </c>
      <c r="DD122" s="13">
        <f t="shared" si="186"/>
        <v>-3.7356321839080442E-2</v>
      </c>
      <c r="DE122" s="1">
        <v>249576.9441560639</v>
      </c>
      <c r="DF122" s="13">
        <f t="shared" si="187"/>
        <v>-1.2781763250953926E-2</v>
      </c>
      <c r="DG122" s="1">
        <v>339</v>
      </c>
      <c r="DH122" s="13">
        <f t="shared" si="188"/>
        <v>1.1940298507462588E-2</v>
      </c>
      <c r="DI122" s="1">
        <v>250206.57347257109</v>
      </c>
      <c r="DJ122" s="13">
        <f t="shared" si="189"/>
        <v>2.5227863841199571E-3</v>
      </c>
      <c r="DK122" s="1">
        <v>313</v>
      </c>
      <c r="DL122" s="13">
        <f t="shared" si="190"/>
        <v>-7.6696165191740384E-2</v>
      </c>
      <c r="DM122" s="1">
        <v>249605.69556876691</v>
      </c>
      <c r="DN122" s="13">
        <f t="shared" si="191"/>
        <v>-2.4015272479244176E-3</v>
      </c>
      <c r="DO122" s="1">
        <v>348</v>
      </c>
      <c r="DP122" s="13">
        <f t="shared" si="192"/>
        <v>0.11182108626198084</v>
      </c>
      <c r="DQ122" s="1">
        <v>252094.62405580489</v>
      </c>
      <c r="DR122" s="13">
        <f t="shared" si="193"/>
        <v>9.9714410817692833E-3</v>
      </c>
      <c r="DS122">
        <v>366</v>
      </c>
      <c r="DT122" s="13">
        <f t="shared" si="194"/>
        <v>5.1724137931034475E-2</v>
      </c>
      <c r="DU122" s="1">
        <v>249677.2879991704</v>
      </c>
      <c r="DV122" s="13">
        <f t="shared" si="195"/>
        <v>-9.5890028027705299E-3</v>
      </c>
      <c r="DW122">
        <v>340</v>
      </c>
      <c r="DX122" s="13">
        <f t="shared" si="196"/>
        <v>-7.1038251366120186E-2</v>
      </c>
      <c r="DY122" s="1">
        <v>251959.71095440819</v>
      </c>
      <c r="DZ122" s="13">
        <f t="shared" si="197"/>
        <v>9.1414920977730407E-3</v>
      </c>
      <c r="EA122" s="1">
        <v>341</v>
      </c>
      <c r="EB122" s="13">
        <f t="shared" si="198"/>
        <v>2.9411764705882248E-3</v>
      </c>
      <c r="EC122" s="1">
        <v>254113.42308490601</v>
      </c>
      <c r="ED122" s="13">
        <f t="shared" si="199"/>
        <v>8.5478433132808451E-3</v>
      </c>
      <c r="EE122" s="1">
        <f>IFERROR(VLOOKUP($A122,[1]Москва_продажа_районы!$C$2:$F$148,2,0),"")</f>
        <v>331</v>
      </c>
      <c r="EF122" s="13">
        <v>-2.9325513196480912E-2</v>
      </c>
      <c r="EG122" s="1">
        <v>252931.82522152091</v>
      </c>
      <c r="EH122" s="13">
        <f t="shared" si="200"/>
        <v>-4.6498836977624247E-3</v>
      </c>
      <c r="EI122" s="1">
        <f>IFERROR(VLOOKUP($A122,[2]Москва_продажа_районы!$C$2:$F$150,2,0),"")</f>
        <v>307</v>
      </c>
      <c r="EJ122" s="13">
        <v>-7.2507552870090586E-2</v>
      </c>
      <c r="EK122" s="1">
        <v>261983.63454700529</v>
      </c>
      <c r="EL122" s="13">
        <f t="shared" si="201"/>
        <v>3.5787545982229441E-2</v>
      </c>
      <c r="EM122">
        <v>307</v>
      </c>
      <c r="EN122" s="13">
        <f t="shared" si="202"/>
        <v>0</v>
      </c>
      <c r="EO122" s="1">
        <v>265520.19430557027</v>
      </c>
      <c r="EP122" s="13">
        <f t="shared" si="203"/>
        <v>1.3499162894965E-2</v>
      </c>
      <c r="EQ122">
        <v>262</v>
      </c>
      <c r="ER122" s="13">
        <f t="shared" si="204"/>
        <v>-0.14657980456026054</v>
      </c>
      <c r="ES122" s="183">
        <v>267961.38272671209</v>
      </c>
      <c r="ET122" s="13">
        <f t="shared" si="205"/>
        <v>9.1939840113721694E-3</v>
      </c>
      <c r="EU122">
        <v>272</v>
      </c>
      <c r="EV122" s="13">
        <f t="shared" si="206"/>
        <v>3.8167938931297662E-2</v>
      </c>
      <c r="EW122" s="183">
        <v>270678.29324630962</v>
      </c>
      <c r="EX122" s="13">
        <f t="shared" si="207"/>
        <v>1.0139186818454604E-2</v>
      </c>
      <c r="EY122">
        <v>277</v>
      </c>
      <c r="EZ122" s="13">
        <f t="shared" si="208"/>
        <v>1.8382352941176405E-2</v>
      </c>
      <c r="FA122" s="1">
        <v>266895.78195184952</v>
      </c>
      <c r="FB122" s="13">
        <f t="shared" si="209"/>
        <v>-1.3974195156528979E-2</v>
      </c>
      <c r="FC122" s="1">
        <v>258</v>
      </c>
      <c r="FD122" s="13">
        <f t="shared" si="210"/>
        <v>-6.8592057761732828E-2</v>
      </c>
      <c r="FE122" s="1">
        <v>267502.61675099982</v>
      </c>
      <c r="FF122" s="13">
        <f t="shared" si="211"/>
        <v>2.27367699374037E-3</v>
      </c>
      <c r="FG122" s="1">
        <v>253</v>
      </c>
      <c r="FH122" s="13">
        <f t="shared" si="212"/>
        <v>-1.9379844961240345E-2</v>
      </c>
      <c r="FI122" s="1">
        <v>273448.38315900922</v>
      </c>
      <c r="FJ122" s="13">
        <f t="shared" si="213"/>
        <v>2.2226946712614382E-2</v>
      </c>
      <c r="FK122" s="1">
        <v>273</v>
      </c>
      <c r="FL122" s="13">
        <f t="shared" si="214"/>
        <v>7.9051383399209474E-2</v>
      </c>
      <c r="FM122" s="1">
        <v>274038.87445000338</v>
      </c>
      <c r="FN122" s="13">
        <f t="shared" si="215"/>
        <v>2.159425059210518E-3</v>
      </c>
      <c r="FO122" s="1">
        <v>277</v>
      </c>
      <c r="FP122" s="13">
        <f t="shared" si="216"/>
        <v>1.46520146520146E-2</v>
      </c>
      <c r="FQ122" s="1">
        <v>275937.38993808458</v>
      </c>
      <c r="FR122" s="13">
        <f t="shared" si="217"/>
        <v>6.9279057283078149E-3</v>
      </c>
      <c r="FS122">
        <v>296</v>
      </c>
      <c r="FT122" s="13">
        <f t="shared" si="218"/>
        <v>6.8592057761732939E-2</v>
      </c>
      <c r="FU122" s="1">
        <v>277906.74224126688</v>
      </c>
      <c r="FV122" s="13">
        <f t="shared" si="219"/>
        <v>7.1369534357927922E-3</v>
      </c>
      <c r="FW122" s="1">
        <v>296</v>
      </c>
      <c r="FX122" s="13">
        <f t="shared" si="220"/>
        <v>0</v>
      </c>
      <c r="FY122" s="1">
        <v>277041.7553528159</v>
      </c>
      <c r="FZ122" s="13">
        <f t="shared" si="221"/>
        <v>-3.1125077480129715E-3</v>
      </c>
      <c r="GA122" s="1">
        <v>307</v>
      </c>
      <c r="GB122" s="13">
        <f t="shared" si="222"/>
        <v>3.716216216216206E-2</v>
      </c>
      <c r="GC122" s="1">
        <v>275598.49646633212</v>
      </c>
      <c r="GD122" s="13">
        <f t="shared" si="223"/>
        <v>-5.2095355974256519E-3</v>
      </c>
      <c r="GE122" s="1">
        <v>312</v>
      </c>
      <c r="GF122" s="13">
        <f t="shared" si="224"/>
        <v>1.6286644951140072E-2</v>
      </c>
      <c r="GG122" s="1">
        <f>IFERROR(VLOOKUP(A122,[3]Москва_продажа_районы!$C$2:$F$149,3,0),"")</f>
        <v>274446.83718519891</v>
      </c>
      <c r="GH122" s="13">
        <v>-4.1787574892444557E-3</v>
      </c>
      <c r="GI122" s="1">
        <v>301</v>
      </c>
      <c r="GJ122" s="13">
        <f t="shared" si="225"/>
        <v>-3.5256410256410242E-2</v>
      </c>
      <c r="GK122" s="1">
        <v>274150.26603708888</v>
      </c>
      <c r="GL122" s="13">
        <f t="shared" si="226"/>
        <v>-1.0806141952727222E-3</v>
      </c>
      <c r="GM122" s="1">
        <v>314</v>
      </c>
      <c r="GN122" s="13">
        <f t="shared" si="227"/>
        <v>4.3189368770764069E-2</v>
      </c>
      <c r="GO122" s="1">
        <v>277609.12435774878</v>
      </c>
      <c r="GP122" s="13">
        <f t="shared" si="228"/>
        <v>1.2616651337452822E-2</v>
      </c>
      <c r="GQ122" s="1">
        <v>337.05000000000007</v>
      </c>
      <c r="GR122" s="13">
        <f t="shared" si="229"/>
        <v>7.3407643312102033E-2</v>
      </c>
      <c r="GS122" s="1">
        <v>279125.73839527642</v>
      </c>
      <c r="GT122" s="13">
        <f t="shared" si="305"/>
        <v>5.4631274855836409E-3</v>
      </c>
      <c r="GU122">
        <v>335</v>
      </c>
      <c r="GV122" s="13">
        <f t="shared" si="306"/>
        <v>-6.0821836522773065E-3</v>
      </c>
      <c r="GW122">
        <v>279731.31023009127</v>
      </c>
      <c r="GX122" s="13">
        <f t="shared" si="230"/>
        <v>2.1695306147557769E-3</v>
      </c>
      <c r="GY122">
        <v>293</v>
      </c>
      <c r="GZ122" s="13">
        <f t="shared" si="231"/>
        <v>-0.12537313432835817</v>
      </c>
      <c r="HA122">
        <v>283150.4672864452</v>
      </c>
      <c r="HB122" s="13">
        <v>1.2223004473619792E-2</v>
      </c>
      <c r="HC122">
        <v>298</v>
      </c>
      <c r="HD122" s="13">
        <v>1.7064846416382284E-2</v>
      </c>
      <c r="HE122">
        <v>286306.86897744832</v>
      </c>
      <c r="HF122" s="13">
        <v>1.1147435924271365E-2</v>
      </c>
      <c r="HG122">
        <v>299</v>
      </c>
      <c r="HH122" s="13">
        <v>3.3557046979866278E-3</v>
      </c>
      <c r="HI122">
        <f>VLOOKUP(A122,[4]Москва_продажа_районы!$C$4:$F$151,3,0)</f>
        <v>284136.85971415468</v>
      </c>
      <c r="HJ122" s="13">
        <f t="shared" si="232"/>
        <v>-7.5793126132246424E-3</v>
      </c>
      <c r="HK122">
        <f>VLOOKUP(A122,[4]Москва_продажа_районы!$C$4:$F$151,2,0)</f>
        <v>296</v>
      </c>
      <c r="HL122" s="13">
        <f t="shared" si="233"/>
        <v>-1.0033444816053505E-2</v>
      </c>
      <c r="HM122" s="1">
        <f>VLOOKUP(A122,Лист3!$C$4:$F$149,3,0)</f>
        <v>282003.78028166923</v>
      </c>
      <c r="HN122" s="13">
        <f t="shared" si="234"/>
        <v>-7.5072253372242548E-3</v>
      </c>
      <c r="HO122">
        <f>VLOOKUP(A122,Лист3!$C$4:$F$149,2,0)</f>
        <v>302</v>
      </c>
      <c r="HP122" s="13">
        <f t="shared" si="235"/>
        <v>2.0270270270270174E-2</v>
      </c>
      <c r="HQ122" s="1">
        <v>282943.386516292</v>
      </c>
      <c r="HR122" s="13">
        <v>3.3318923373448772E-3</v>
      </c>
      <c r="HS122">
        <v>288</v>
      </c>
      <c r="HT122" s="13">
        <v>-4.635761589403975E-2</v>
      </c>
      <c r="HU122" s="34">
        <v>285077.59368527192</v>
      </c>
      <c r="HV122" s="13">
        <v>7.5428770230578923E-3</v>
      </c>
      <c r="HW122">
        <v>261</v>
      </c>
      <c r="HX122" s="13">
        <v>-9.375E-2</v>
      </c>
      <c r="HY122">
        <v>283937.85370190832</v>
      </c>
      <c r="HZ122" s="13">
        <v>-3.9979991714883534E-3</v>
      </c>
      <c r="IA122">
        <v>287</v>
      </c>
      <c r="IB122" s="13">
        <v>9.9616858237547845E-2</v>
      </c>
      <c r="IC122" s="34">
        <v>287963.10093582812</v>
      </c>
      <c r="ID122" s="13">
        <v>1.41765079274907E-2</v>
      </c>
      <c r="IE122">
        <v>274</v>
      </c>
      <c r="IF122" s="13">
        <v>-4.5296167247386721E-2</v>
      </c>
    </row>
    <row r="123" spans="1:240" x14ac:dyDescent="0.3">
      <c r="A123" s="75" t="s">
        <v>127</v>
      </c>
      <c r="B123" s="61"/>
      <c r="D123" s="61"/>
      <c r="F123" s="61">
        <v>222608.93992873142</v>
      </c>
      <c r="G123">
        <v>268</v>
      </c>
      <c r="H123" s="61">
        <v>223500.06413331523</v>
      </c>
      <c r="I123">
        <v>269</v>
      </c>
      <c r="J123" s="61">
        <v>224370.57838507302</v>
      </c>
      <c r="K123">
        <v>306</v>
      </c>
      <c r="L123" s="61">
        <v>223434.76204023085</v>
      </c>
      <c r="M123">
        <v>299</v>
      </c>
      <c r="N123" s="61">
        <v>222594.29768345607</v>
      </c>
      <c r="O123" s="47">
        <v>295</v>
      </c>
      <c r="P123" s="35">
        <v>223406.79191277036</v>
      </c>
      <c r="Q123" s="47">
        <v>281</v>
      </c>
      <c r="R123" s="35">
        <v>235942.00384290057</v>
      </c>
      <c r="S123" s="47">
        <v>273</v>
      </c>
      <c r="T123" s="35">
        <v>241519.3166272144</v>
      </c>
      <c r="U123" s="47">
        <v>263</v>
      </c>
      <c r="V123" s="61">
        <v>246849.728733139</v>
      </c>
      <c r="W123" s="47">
        <v>237</v>
      </c>
      <c r="X123" s="65">
        <v>253440.51419520471</v>
      </c>
      <c r="Y123" s="47">
        <v>211</v>
      </c>
      <c r="Z123" s="1">
        <v>255221.9867046462</v>
      </c>
      <c r="AA123" s="81">
        <v>275</v>
      </c>
      <c r="AB123" s="1">
        <v>260228.16002082601</v>
      </c>
      <c r="AC123">
        <v>256</v>
      </c>
      <c r="AD123" s="1">
        <v>265624.79843921028</v>
      </c>
      <c r="AE123">
        <v>249</v>
      </c>
      <c r="AF123" s="13">
        <f t="shared" si="180"/>
        <v>4.8075518954404428E-2</v>
      </c>
      <c r="AG123" s="85">
        <f t="shared" si="307"/>
        <v>6.042222761465664E-2</v>
      </c>
      <c r="AH123">
        <f t="shared" si="308"/>
        <v>16</v>
      </c>
      <c r="AI123" s="90">
        <f t="shared" si="309"/>
        <v>265</v>
      </c>
      <c r="AL123" s="1">
        <v>270787.04190772539</v>
      </c>
      <c r="AM123">
        <v>236</v>
      </c>
      <c r="AN123" s="13">
        <f t="shared" si="310"/>
        <v>5.988327835574727E-2</v>
      </c>
      <c r="AQ123">
        <f t="shared" si="311"/>
        <v>12</v>
      </c>
      <c r="AR123" s="90">
        <f t="shared" si="312"/>
        <v>248</v>
      </c>
      <c r="AS123">
        <v>264</v>
      </c>
      <c r="AT123" s="1">
        <v>272523.8203883979</v>
      </c>
      <c r="AU123" s="13">
        <f t="shared" si="313"/>
        <v>6.4138168076164348E-3</v>
      </c>
      <c r="AV123" s="35">
        <v>255</v>
      </c>
      <c r="AW123" s="1">
        <v>278830.44067821518</v>
      </c>
      <c r="AX123" s="35">
        <v>283.31764054278591</v>
      </c>
      <c r="AY123" s="121">
        <v>275850.18696837302</v>
      </c>
      <c r="AZ123" s="122">
        <v>256</v>
      </c>
      <c r="BA123" s="119">
        <v>272952.04376054299</v>
      </c>
      <c r="BB123">
        <v>252</v>
      </c>
      <c r="BC123" s="13">
        <f t="shared" si="314"/>
        <v>-1.0506221654880799E-2</v>
      </c>
      <c r="BD123">
        <v>255</v>
      </c>
      <c r="BE123" s="1">
        <v>299018.64778727671</v>
      </c>
      <c r="BF123" s="13">
        <f t="shared" si="291"/>
        <v>9.5498841729141137E-2</v>
      </c>
      <c r="BG123">
        <v>262</v>
      </c>
      <c r="BH123" s="1">
        <v>294617.52900589438</v>
      </c>
      <c r="BI123" s="13">
        <f t="shared" si="267"/>
        <v>-1.4718542853264793E-2</v>
      </c>
      <c r="BJ123">
        <v>248</v>
      </c>
      <c r="BK123" s="1">
        <v>291647.95323960402</v>
      </c>
      <c r="BL123" s="13">
        <f t="shared" si="292"/>
        <v>-1.0079426625803189E-2</v>
      </c>
      <c r="BM123" s="1">
        <v>296651.68513457559</v>
      </c>
      <c r="BN123" s="109">
        <f t="shared" si="293"/>
        <v>1.7156752994116564E-2</v>
      </c>
      <c r="BO123">
        <v>227</v>
      </c>
      <c r="BP123" s="13">
        <f t="shared" si="294"/>
        <v>-8.4677419354838745E-2</v>
      </c>
      <c r="BQ123" s="1">
        <v>306024.51248915761</v>
      </c>
      <c r="BR123" s="13">
        <f t="shared" si="264"/>
        <v>3.1595395624771427E-2</v>
      </c>
      <c r="BS123">
        <v>251</v>
      </c>
      <c r="BT123" s="13">
        <f t="shared" si="265"/>
        <v>0.10572687224669597</v>
      </c>
      <c r="BU123" s="1">
        <v>321205.04884655791</v>
      </c>
      <c r="BV123" s="13">
        <f t="shared" si="295"/>
        <v>4.9605622222625545E-2</v>
      </c>
      <c r="BW123">
        <v>266</v>
      </c>
      <c r="BX123" s="13">
        <f t="shared" si="296"/>
        <v>5.9760956175298752E-2</v>
      </c>
      <c r="BY123" s="1">
        <v>323245.404066246</v>
      </c>
      <c r="BZ123" s="13">
        <f t="shared" si="297"/>
        <v>6.3521891297007027E-3</v>
      </c>
      <c r="CA123">
        <v>241</v>
      </c>
      <c r="CB123" s="13">
        <f t="shared" si="298"/>
        <v>-9.398496240601506E-2</v>
      </c>
      <c r="CC123" s="1">
        <v>314271.52977128961</v>
      </c>
      <c r="CD123" s="13">
        <f t="shared" si="299"/>
        <v>-2.776180011245355E-2</v>
      </c>
      <c r="CE123">
        <v>265</v>
      </c>
      <c r="CF123" s="13">
        <f t="shared" si="300"/>
        <v>9.9585062240663991E-2</v>
      </c>
      <c r="CG123" s="1">
        <v>308255.04366223828</v>
      </c>
      <c r="CH123" s="13">
        <f t="shared" si="301"/>
        <v>-1.9144228920226491E-2</v>
      </c>
      <c r="CI123">
        <v>289</v>
      </c>
      <c r="CJ123" s="13">
        <f t="shared" si="302"/>
        <v>9.0566037735849036E-2</v>
      </c>
      <c r="CK123" s="1">
        <v>305448.76877329289</v>
      </c>
      <c r="CL123" s="13">
        <f t="shared" si="303"/>
        <v>-9.1037436260744675E-3</v>
      </c>
      <c r="CM123">
        <v>300</v>
      </c>
      <c r="CN123" s="13">
        <f t="shared" si="304"/>
        <v>3.8062283737024138E-2</v>
      </c>
      <c r="CO123" s="1">
        <v>309201.55651515309</v>
      </c>
      <c r="CP123" s="13">
        <v>1.228614460268318E-2</v>
      </c>
      <c r="CQ123">
        <v>299</v>
      </c>
      <c r="CR123" s="13">
        <v>-3.3333333333332993E-3</v>
      </c>
      <c r="CS123" s="1">
        <v>315652.90774055029</v>
      </c>
      <c r="CT123" s="13">
        <f t="shared" si="181"/>
        <v>2.0864549642333419E-2</v>
      </c>
      <c r="CU123">
        <v>362</v>
      </c>
      <c r="CV123" s="13">
        <f t="shared" si="182"/>
        <v>0.21070234113712383</v>
      </c>
      <c r="CW123" s="1">
        <v>311307.18958872912</v>
      </c>
      <c r="CX123" s="13">
        <f t="shared" si="183"/>
        <v>-1.3767394645365139E-2</v>
      </c>
      <c r="CY123">
        <v>378</v>
      </c>
      <c r="CZ123" s="13">
        <f t="shared" si="184"/>
        <v>4.4198895027624419E-2</v>
      </c>
      <c r="DA123" s="1">
        <v>307300.36187136918</v>
      </c>
      <c r="DB123" s="13">
        <f t="shared" si="185"/>
        <v>-1.2870977129225247E-2</v>
      </c>
      <c r="DC123">
        <v>356</v>
      </c>
      <c r="DD123" s="13">
        <f t="shared" si="186"/>
        <v>-5.8201058201058253E-2</v>
      </c>
      <c r="DE123" s="1">
        <v>306536.02468750929</v>
      </c>
      <c r="DF123" s="13">
        <f t="shared" si="187"/>
        <v>-2.4872641841529042E-3</v>
      </c>
      <c r="DG123" s="1">
        <v>353</v>
      </c>
      <c r="DH123" s="13">
        <f t="shared" si="188"/>
        <v>-8.4269662921347965E-3</v>
      </c>
      <c r="DI123" s="1">
        <v>299906.50035726838</v>
      </c>
      <c r="DJ123" s="13">
        <f t="shared" si="189"/>
        <v>-2.1627227458825504E-2</v>
      </c>
      <c r="DK123" s="1">
        <v>339</v>
      </c>
      <c r="DL123" s="13">
        <f t="shared" si="190"/>
        <v>-3.966005665722383E-2</v>
      </c>
      <c r="DM123" s="1">
        <v>299567.50763608777</v>
      </c>
      <c r="DN123" s="13">
        <f t="shared" si="191"/>
        <v>-1.1303280214892686E-3</v>
      </c>
      <c r="DO123" s="1">
        <v>332</v>
      </c>
      <c r="DP123" s="13">
        <f t="shared" si="192"/>
        <v>-2.0648967551622377E-2</v>
      </c>
      <c r="DQ123" s="1">
        <v>299327.63651374402</v>
      </c>
      <c r="DR123" s="13">
        <f t="shared" si="193"/>
        <v>-8.0072476563497474E-4</v>
      </c>
      <c r="DS123">
        <v>361</v>
      </c>
      <c r="DT123" s="13">
        <f t="shared" si="194"/>
        <v>8.7349397590361422E-2</v>
      </c>
      <c r="DU123" s="1">
        <v>301799.80058238958</v>
      </c>
      <c r="DV123" s="13">
        <f t="shared" si="195"/>
        <v>8.2590571904377352E-3</v>
      </c>
      <c r="DW123">
        <v>363</v>
      </c>
      <c r="DX123" s="13">
        <f t="shared" si="196"/>
        <v>5.5401662049860967E-3</v>
      </c>
      <c r="DY123" s="1">
        <v>303608.92418589973</v>
      </c>
      <c r="DZ123" s="13">
        <f t="shared" si="197"/>
        <v>5.994449300559701E-3</v>
      </c>
      <c r="EA123" s="1">
        <v>344</v>
      </c>
      <c r="EB123" s="13">
        <f t="shared" si="198"/>
        <v>-5.2341597796143224E-2</v>
      </c>
      <c r="EC123" s="1">
        <v>303429.60111806937</v>
      </c>
      <c r="ED123" s="13">
        <f t="shared" si="199"/>
        <v>-5.9063832959194151E-4</v>
      </c>
      <c r="EE123" s="1">
        <f>IFERROR(VLOOKUP($A123,[1]Москва_продажа_районы!$C$2:$F$148,2,0),"")</f>
        <v>351</v>
      </c>
      <c r="EF123" s="13">
        <v>2.0348837209302362E-2</v>
      </c>
      <c r="EG123" s="1">
        <v>308148.14183986711</v>
      </c>
      <c r="EH123" s="13">
        <f t="shared" si="200"/>
        <v>1.5550693486762635E-2</v>
      </c>
      <c r="EI123" s="1">
        <f>IFERROR(VLOOKUP($A123,[2]Москва_продажа_районы!$C$2:$F$150,2,0),"")</f>
        <v>352</v>
      </c>
      <c r="EJ123" s="13">
        <v>2.8490028490029129E-3</v>
      </c>
      <c r="EK123" s="1">
        <v>313799.35780424642</v>
      </c>
      <c r="EL123" s="13">
        <f t="shared" si="201"/>
        <v>1.8339282952145819E-2</v>
      </c>
      <c r="EM123">
        <v>368</v>
      </c>
      <c r="EN123" s="13">
        <f t="shared" si="202"/>
        <v>4.5454545454545414E-2</v>
      </c>
      <c r="EO123" s="1">
        <v>320207.4785672797</v>
      </c>
      <c r="EP123" s="13">
        <f t="shared" si="203"/>
        <v>2.042107672836857E-2</v>
      </c>
      <c r="EQ123">
        <v>337</v>
      </c>
      <c r="ER123" s="13">
        <f t="shared" si="204"/>
        <v>-8.4239130434782594E-2</v>
      </c>
      <c r="ES123" s="183">
        <v>328734.53694113978</v>
      </c>
      <c r="ET123" s="13">
        <f t="shared" si="205"/>
        <v>2.6629791446511897E-2</v>
      </c>
      <c r="EU123">
        <v>282</v>
      </c>
      <c r="EV123" s="13">
        <f t="shared" si="206"/>
        <v>-0.16320474777448069</v>
      </c>
      <c r="EW123" s="183">
        <v>336307.87997704919</v>
      </c>
      <c r="EX123" s="13">
        <f t="shared" si="207"/>
        <v>2.3037868507455928E-2</v>
      </c>
      <c r="EY123">
        <v>298</v>
      </c>
      <c r="EZ123" s="13">
        <f t="shared" si="208"/>
        <v>5.6737588652482351E-2</v>
      </c>
      <c r="FA123" s="1">
        <v>341644.53717934992</v>
      </c>
      <c r="FB123" s="13">
        <f t="shared" si="209"/>
        <v>1.5868368004534839E-2</v>
      </c>
      <c r="FC123" s="1">
        <v>259</v>
      </c>
      <c r="FD123" s="13">
        <f t="shared" si="210"/>
        <v>-0.13087248322147649</v>
      </c>
      <c r="FE123" s="1">
        <v>339647.30602248758</v>
      </c>
      <c r="FF123" s="13">
        <f t="shared" si="211"/>
        <v>-5.8459332420522925E-3</v>
      </c>
      <c r="FG123" s="1">
        <v>256</v>
      </c>
      <c r="FH123" s="13">
        <f t="shared" si="212"/>
        <v>-1.158301158301156E-2</v>
      </c>
      <c r="FI123" s="1">
        <v>345452.71605376469</v>
      </c>
      <c r="FJ123" s="13">
        <f t="shared" si="213"/>
        <v>1.7092466003227225E-2</v>
      </c>
      <c r="FK123" s="1">
        <v>305</v>
      </c>
      <c r="FL123" s="13">
        <f t="shared" si="214"/>
        <v>0.19140625</v>
      </c>
      <c r="FM123" s="1">
        <v>350736.13553296402</v>
      </c>
      <c r="FN123" s="13">
        <f t="shared" si="215"/>
        <v>1.5294190011165165E-2</v>
      </c>
      <c r="FO123" s="1">
        <v>331</v>
      </c>
      <c r="FP123" s="13">
        <f t="shared" si="216"/>
        <v>8.5245901639344313E-2</v>
      </c>
      <c r="FQ123" s="1">
        <v>354694.04108233273</v>
      </c>
      <c r="FR123" s="13">
        <f t="shared" si="217"/>
        <v>1.1284567366731224E-2</v>
      </c>
      <c r="FS123">
        <v>339</v>
      </c>
      <c r="FT123" s="13">
        <f t="shared" si="218"/>
        <v>2.4169184290030232E-2</v>
      </c>
      <c r="FU123" s="1">
        <v>353424.27456739848</v>
      </c>
      <c r="FV123" s="13">
        <f t="shared" si="219"/>
        <v>-3.5798924364773832E-3</v>
      </c>
      <c r="FW123" s="1">
        <v>355</v>
      </c>
      <c r="FX123" s="13">
        <f t="shared" si="220"/>
        <v>4.71976401179941E-2</v>
      </c>
      <c r="FY123" s="1">
        <v>353010.1709022079</v>
      </c>
      <c r="FZ123" s="13">
        <f t="shared" si="221"/>
        <v>-1.1716899347037346E-3</v>
      </c>
      <c r="GA123" s="1">
        <v>356</v>
      </c>
      <c r="GB123" s="13">
        <f t="shared" si="222"/>
        <v>2.8169014084507005E-3</v>
      </c>
      <c r="GC123" s="1">
        <v>349513.72733589029</v>
      </c>
      <c r="GD123" s="13">
        <f t="shared" si="223"/>
        <v>-9.9046539009953749E-3</v>
      </c>
      <c r="GE123" s="1">
        <v>373</v>
      </c>
      <c r="GF123" s="13">
        <f t="shared" si="224"/>
        <v>4.7752808988763995E-2</v>
      </c>
      <c r="GG123" s="1">
        <f>IFERROR(VLOOKUP(A123,[3]Москва_продажа_районы!$C$2:$F$149,3,0),"")</f>
        <v>348948.95085696859</v>
      </c>
      <c r="GH123" s="13">
        <v>-1.6158921231123058E-3</v>
      </c>
      <c r="GI123" s="1">
        <v>381</v>
      </c>
      <c r="GJ123" s="13">
        <f t="shared" si="225"/>
        <v>2.1447721179624679E-2</v>
      </c>
      <c r="GK123" s="1">
        <v>348441.46813583327</v>
      </c>
      <c r="GL123" s="13">
        <f t="shared" si="226"/>
        <v>-1.4543179450432486E-3</v>
      </c>
      <c r="GM123" s="1">
        <v>388</v>
      </c>
      <c r="GN123" s="13">
        <f t="shared" si="227"/>
        <v>1.8372703412073532E-2</v>
      </c>
      <c r="GO123" s="1">
        <v>342440.54553999018</v>
      </c>
      <c r="GP123" s="13">
        <f t="shared" si="228"/>
        <v>-1.722218261778119E-2</v>
      </c>
      <c r="GQ123" s="1">
        <v>341.33000000000004</v>
      </c>
      <c r="GR123" s="13">
        <f t="shared" si="229"/>
        <v>-0.12028350515463904</v>
      </c>
      <c r="GS123" s="1">
        <v>337230.68332120712</v>
      </c>
      <c r="GT123" s="13">
        <f t="shared" si="305"/>
        <v>-1.5213917530027543E-2</v>
      </c>
      <c r="GU123">
        <v>326</v>
      </c>
      <c r="GV123" s="13">
        <f t="shared" si="306"/>
        <v>-4.491254797410138E-2</v>
      </c>
      <c r="GW123">
        <v>339091.18924150913</v>
      </c>
      <c r="GX123" s="13">
        <f t="shared" si="230"/>
        <v>5.5170125742380893E-3</v>
      </c>
      <c r="GY123">
        <v>281</v>
      </c>
      <c r="GZ123" s="13">
        <f t="shared" si="231"/>
        <v>-0.1380368098159509</v>
      </c>
      <c r="HA123">
        <v>342446.42447213741</v>
      </c>
      <c r="HB123" s="13">
        <v>9.8947874114139189E-3</v>
      </c>
      <c r="HC123">
        <v>255</v>
      </c>
      <c r="HD123" s="13">
        <v>-9.252669039145911E-2</v>
      </c>
      <c r="HE123">
        <v>343687.97650757892</v>
      </c>
      <c r="HF123" s="13">
        <v>3.6255365707360543E-3</v>
      </c>
      <c r="HG123">
        <v>284</v>
      </c>
      <c r="HH123" s="13">
        <v>0.11372549019607847</v>
      </c>
      <c r="HI123">
        <f>VLOOKUP(A123,[4]Москва_продажа_районы!$C$4:$F$151,3,0)</f>
        <v>344848.51343856828</v>
      </c>
      <c r="HJ123" s="13">
        <f t="shared" si="232"/>
        <v>3.3767167032792145E-3</v>
      </c>
      <c r="HK123">
        <f>VLOOKUP(A123,[4]Москва_продажа_районы!$C$4:$F$151,2,0)</f>
        <v>276</v>
      </c>
      <c r="HL123" s="13">
        <f t="shared" si="233"/>
        <v>-2.8169014084507005E-2</v>
      </c>
      <c r="HM123" s="1">
        <f>VLOOKUP(A123,Лист3!$C$4:$F$149,3,0)</f>
        <v>348888.68307720817</v>
      </c>
      <c r="HN123" s="13">
        <f t="shared" si="234"/>
        <v>1.1715780933356568E-2</v>
      </c>
      <c r="HO123">
        <f>VLOOKUP(A123,Лист3!$C$4:$F$149,2,0)</f>
        <v>249</v>
      </c>
      <c r="HP123" s="13">
        <f t="shared" si="235"/>
        <v>-9.7826086956521729E-2</v>
      </c>
      <c r="HQ123" s="1">
        <v>350840.44965045218</v>
      </c>
      <c r="HR123" s="13">
        <v>5.5942387010934347E-3</v>
      </c>
      <c r="HS123">
        <v>252</v>
      </c>
      <c r="HT123" s="13">
        <v>1.2048192771084265E-2</v>
      </c>
      <c r="HU123" s="34">
        <v>357283.41389576608</v>
      </c>
      <c r="HV123" s="13">
        <v>1.8364371188479334E-2</v>
      </c>
      <c r="HW123">
        <v>230</v>
      </c>
      <c r="HX123" s="13">
        <v>-8.7301587301587324E-2</v>
      </c>
      <c r="HY123">
        <v>367098.32999224809</v>
      </c>
      <c r="HZ123" s="13">
        <v>2.7470953631632655E-2</v>
      </c>
      <c r="IA123">
        <v>247</v>
      </c>
      <c r="IB123" s="13">
        <v>7.3913043478260887E-2</v>
      </c>
      <c r="IC123" s="34">
        <v>375217.50956339028</v>
      </c>
      <c r="ID123" s="13">
        <v>2.2117179261789799E-2</v>
      </c>
      <c r="IE123">
        <v>274</v>
      </c>
      <c r="IF123" s="13">
        <v>0.10931174089068829</v>
      </c>
    </row>
    <row r="124" spans="1:240" ht="15" thickBot="1" x14ac:dyDescent="0.35">
      <c r="A124" s="76" t="s">
        <v>179</v>
      </c>
      <c r="B124" s="71"/>
      <c r="C124" s="70"/>
      <c r="D124" s="71"/>
      <c r="E124" s="70"/>
      <c r="F124" s="71"/>
      <c r="G124" s="70"/>
      <c r="H124" s="71"/>
      <c r="I124" s="70"/>
      <c r="J124" s="71"/>
      <c r="K124" s="70"/>
      <c r="L124" s="71"/>
      <c r="M124" s="70"/>
      <c r="N124" s="71"/>
      <c r="O124" s="49"/>
      <c r="P124" s="72"/>
      <c r="Q124" s="49"/>
      <c r="R124" s="72"/>
      <c r="S124" s="49"/>
      <c r="T124" s="72"/>
      <c r="U124" s="49"/>
      <c r="V124" s="71"/>
      <c r="W124" s="49"/>
      <c r="X124" s="74">
        <v>180615.21108622779</v>
      </c>
      <c r="Y124" s="49">
        <v>50</v>
      </c>
      <c r="Z124" s="34">
        <v>181293.16833533079</v>
      </c>
      <c r="AA124" s="81">
        <v>64</v>
      </c>
      <c r="AB124" s="1">
        <v>181566.72094643171</v>
      </c>
      <c r="AC124">
        <v>49</v>
      </c>
      <c r="AD124" s="1">
        <v>183297.4306001185</v>
      </c>
      <c r="AE124">
        <v>47</v>
      </c>
      <c r="AF124" s="13">
        <f t="shared" si="180"/>
        <v>1.4850463024458138E-2</v>
      </c>
      <c r="AG124" s="85">
        <f t="shared" si="307"/>
        <v>1.1404998786702257E-2</v>
      </c>
      <c r="AH124">
        <f t="shared" si="308"/>
        <v>3</v>
      </c>
      <c r="AI124" s="91">
        <f t="shared" si="309"/>
        <v>50</v>
      </c>
      <c r="AL124" s="1">
        <v>183944.86749142691</v>
      </c>
      <c r="AM124">
        <v>48</v>
      </c>
      <c r="AN124" s="13">
        <f t="shared" si="310"/>
        <v>1.2179649835067242E-2</v>
      </c>
      <c r="AQ124">
        <f t="shared" si="311"/>
        <v>2</v>
      </c>
      <c r="AR124" s="91">
        <f t="shared" si="312"/>
        <v>50</v>
      </c>
      <c r="AS124">
        <v>42</v>
      </c>
      <c r="AT124" s="1">
        <v>183815.23221310601</v>
      </c>
      <c r="AU124" s="13">
        <f t="shared" si="313"/>
        <v>-7.0475072280529183E-4</v>
      </c>
      <c r="AV124" s="35">
        <v>42</v>
      </c>
      <c r="AW124" s="1">
        <v>193984.5721401253</v>
      </c>
      <c r="AX124" s="35">
        <v>46.664081971752978</v>
      </c>
      <c r="AY124" s="123">
        <v>187062.87552672499</v>
      </c>
      <c r="AZ124" s="124">
        <v>32</v>
      </c>
      <c r="BA124" s="119">
        <v>187152.39509400801</v>
      </c>
      <c r="BB124">
        <v>48</v>
      </c>
      <c r="BC124" s="13">
        <f t="shared" si="314"/>
        <v>4.7855335822744038E-4</v>
      </c>
      <c r="BD124">
        <v>58</v>
      </c>
      <c r="BE124" s="1">
        <v>208602.7197047947</v>
      </c>
      <c r="BF124" s="13">
        <f t="shared" si="291"/>
        <v>0.11461421372679759</v>
      </c>
      <c r="BG124">
        <v>56</v>
      </c>
      <c r="BH124" s="1">
        <v>213390.46349788221</v>
      </c>
      <c r="BI124" s="13">
        <f t="shared" si="267"/>
        <v>2.2951492674030849E-2</v>
      </c>
      <c r="BJ124">
        <v>44</v>
      </c>
      <c r="BK124" s="1">
        <v>211309.2091692322</v>
      </c>
      <c r="BL124" s="13">
        <f t="shared" si="292"/>
        <v>-9.7532677633959119E-3</v>
      </c>
      <c r="BM124" s="1">
        <v>208631.41194184401</v>
      </c>
      <c r="BN124" s="109">
        <f t="shared" si="293"/>
        <v>-1.2672411381955517E-2</v>
      </c>
      <c r="BO124">
        <v>46</v>
      </c>
      <c r="BP124" s="13">
        <f t="shared" si="294"/>
        <v>4.5454545454545414E-2</v>
      </c>
      <c r="BQ124" s="1">
        <v>215343.72346036701</v>
      </c>
      <c r="BR124" s="13">
        <f t="shared" si="264"/>
        <v>3.2173062800313401E-2</v>
      </c>
      <c r="BS124">
        <v>58</v>
      </c>
      <c r="BT124" s="13">
        <f t="shared" si="265"/>
        <v>0.26086956521739135</v>
      </c>
      <c r="BU124" s="1">
        <v>222636.1607711371</v>
      </c>
      <c r="BV124" s="13">
        <f t="shared" si="295"/>
        <v>3.3864173952171006E-2</v>
      </c>
      <c r="BW124">
        <v>56</v>
      </c>
      <c r="BX124" s="13">
        <f t="shared" si="296"/>
        <v>-3.4482758620689613E-2</v>
      </c>
      <c r="BY124" s="1">
        <v>223509.55601335849</v>
      </c>
      <c r="BZ124" s="13">
        <f t="shared" si="297"/>
        <v>3.9229711795076838E-3</v>
      </c>
      <c r="CA124">
        <v>43</v>
      </c>
      <c r="CB124" s="13">
        <f t="shared" si="298"/>
        <v>-0.2321428571428571</v>
      </c>
      <c r="CC124" s="1">
        <v>218491.48319852521</v>
      </c>
      <c r="CD124" s="13">
        <f t="shared" si="299"/>
        <v>-2.2451267428285626E-2</v>
      </c>
      <c r="CE124">
        <v>53</v>
      </c>
      <c r="CF124" s="13">
        <f t="shared" si="300"/>
        <v>0.23255813953488369</v>
      </c>
      <c r="CG124" s="1">
        <v>235014.83937153529</v>
      </c>
      <c r="CH124" s="13">
        <f t="shared" si="301"/>
        <v>7.562471511988722E-2</v>
      </c>
      <c r="CI124">
        <v>39</v>
      </c>
      <c r="CJ124" s="13">
        <f t="shared" si="302"/>
        <v>-0.26415094339622647</v>
      </c>
      <c r="CK124" s="1">
        <v>233335.79703346989</v>
      </c>
      <c r="CL124" s="13">
        <f t="shared" si="303"/>
        <v>-7.144409870267765E-3</v>
      </c>
      <c r="CM124">
        <v>57</v>
      </c>
      <c r="CN124" s="13">
        <f t="shared" si="304"/>
        <v>0.46153846153846145</v>
      </c>
      <c r="CO124" s="1">
        <v>213700.08994695361</v>
      </c>
      <c r="CP124" s="13">
        <v>-8.4152141832312677E-2</v>
      </c>
      <c r="CQ124">
        <v>58</v>
      </c>
      <c r="CR124" s="13">
        <v>1.7543859649122862E-2</v>
      </c>
      <c r="CS124" s="1">
        <v>212978.42884142441</v>
      </c>
      <c r="CT124" s="13">
        <f t="shared" si="181"/>
        <v>-3.3769808225553311E-3</v>
      </c>
      <c r="CU124">
        <v>69</v>
      </c>
      <c r="CV124" s="13">
        <f t="shared" si="182"/>
        <v>0.18965517241379315</v>
      </c>
      <c r="CW124" s="1">
        <v>207722.97151699421</v>
      </c>
      <c r="CX124" s="13">
        <f t="shared" si="183"/>
        <v>-2.4676007579825021E-2</v>
      </c>
      <c r="CY124">
        <v>29</v>
      </c>
      <c r="CZ124" s="13">
        <f t="shared" si="184"/>
        <v>-0.57971014492753625</v>
      </c>
      <c r="DA124" s="1">
        <v>224066.15517710551</v>
      </c>
      <c r="DB124" s="13">
        <f t="shared" si="185"/>
        <v>7.8677786769357105E-2</v>
      </c>
      <c r="DC124">
        <v>74</v>
      </c>
      <c r="DD124" s="13">
        <f t="shared" si="186"/>
        <v>1.5517241379310347</v>
      </c>
      <c r="DE124" s="1">
        <v>228136.05329916489</v>
      </c>
      <c r="DF124" s="13">
        <f t="shared" si="187"/>
        <v>1.8163823620941155E-2</v>
      </c>
      <c r="DG124" s="1">
        <v>77</v>
      </c>
      <c r="DH124" s="13">
        <f t="shared" si="188"/>
        <v>4.0540540540540571E-2</v>
      </c>
      <c r="DI124" s="1">
        <v>243273.11256271511</v>
      </c>
      <c r="DJ124" s="13">
        <f t="shared" si="189"/>
        <v>6.6351017494373554E-2</v>
      </c>
      <c r="DK124" s="1">
        <v>99</v>
      </c>
      <c r="DL124" s="13">
        <f t="shared" si="190"/>
        <v>0.28571428571428581</v>
      </c>
      <c r="DM124" s="1">
        <v>245892.83926327559</v>
      </c>
      <c r="DN124" s="13">
        <f t="shared" si="191"/>
        <v>1.0768665196755345E-2</v>
      </c>
      <c r="DO124" s="1">
        <v>58</v>
      </c>
      <c r="DP124" s="13">
        <f t="shared" si="192"/>
        <v>-0.41414141414141414</v>
      </c>
      <c r="DQ124" s="1">
        <v>207884.75661402129</v>
      </c>
      <c r="DR124" s="13">
        <f t="shared" si="193"/>
        <v>-0.15457173443167793</v>
      </c>
      <c r="DS124">
        <v>64</v>
      </c>
      <c r="DT124" s="13">
        <f t="shared" si="194"/>
        <v>0.10344827586206895</v>
      </c>
      <c r="DU124" s="1">
        <v>206439.1242924562</v>
      </c>
      <c r="DV124" s="13">
        <f t="shared" si="195"/>
        <v>-6.9540082933987613E-3</v>
      </c>
      <c r="DW124">
        <v>63</v>
      </c>
      <c r="DX124" s="13">
        <f t="shared" si="196"/>
        <v>-1.5625E-2</v>
      </c>
      <c r="DY124" s="1">
        <v>207827.04021136081</v>
      </c>
      <c r="DZ124" s="13">
        <f t="shared" si="197"/>
        <v>6.7231244254766231E-3</v>
      </c>
      <c r="EA124" s="1">
        <v>61</v>
      </c>
      <c r="EB124" s="13">
        <f t="shared" si="198"/>
        <v>-3.1746031746031744E-2</v>
      </c>
      <c r="EC124" s="1">
        <v>228485.68099299099</v>
      </c>
      <c r="ED124" s="13">
        <f t="shared" si="199"/>
        <v>9.9403045727929573E-2</v>
      </c>
      <c r="EE124" s="1">
        <f>IFERROR(VLOOKUP($A124,[1]Москва_продажа_районы!$C$2:$F$148,2,0),"")</f>
        <v>73</v>
      </c>
      <c r="EF124" s="13">
        <v>0.19672131147540983</v>
      </c>
      <c r="EG124" s="1">
        <v>228973.68455449611</v>
      </c>
      <c r="EH124" s="13">
        <f t="shared" si="200"/>
        <v>2.1358168239877795E-3</v>
      </c>
      <c r="EI124" s="1">
        <f>IFERROR(VLOOKUP($A124,[2]Москва_продажа_районы!$C$2:$F$150,2,0),"")</f>
        <v>68</v>
      </c>
      <c r="EJ124" s="13">
        <v>-6.8493150684931559E-2</v>
      </c>
      <c r="EK124" s="1">
        <v>223880.14809452801</v>
      </c>
      <c r="EL124" s="13">
        <f t="shared" si="201"/>
        <v>-2.2245073576373509E-2</v>
      </c>
      <c r="EM124">
        <v>69</v>
      </c>
      <c r="EN124" s="13">
        <f t="shared" si="202"/>
        <v>1.4705882352941124E-2</v>
      </c>
      <c r="EO124" s="1">
        <v>264163.19699794299</v>
      </c>
      <c r="EP124" s="13">
        <f t="shared" si="203"/>
        <v>0.17993131256285588</v>
      </c>
      <c r="EQ124">
        <v>65</v>
      </c>
      <c r="ER124" s="13">
        <f t="shared" si="204"/>
        <v>-5.7971014492753659E-2</v>
      </c>
      <c r="ES124" s="183">
        <v>237667.25909061049</v>
      </c>
      <c r="ET124" s="13">
        <f t="shared" si="205"/>
        <v>-0.10030139780424752</v>
      </c>
      <c r="EU124">
        <v>12</v>
      </c>
      <c r="EV124" s="13">
        <f t="shared" si="206"/>
        <v>-0.81538461538461537</v>
      </c>
      <c r="EW124" s="183">
        <v>250894.98593325971</v>
      </c>
      <c r="EX124" s="13">
        <f t="shared" si="207"/>
        <v>5.565649594842248E-2</v>
      </c>
      <c r="EY124">
        <v>34</v>
      </c>
      <c r="EZ124" s="13">
        <f t="shared" si="208"/>
        <v>1.8333333333333335</v>
      </c>
      <c r="FA124" s="1">
        <v>289738.08312430629</v>
      </c>
      <c r="FB124" s="13">
        <f t="shared" si="209"/>
        <v>0.15481814850368991</v>
      </c>
      <c r="FC124" s="1">
        <v>38</v>
      </c>
      <c r="FD124" s="13">
        <f t="shared" si="210"/>
        <v>0.11764705882352944</v>
      </c>
      <c r="FE124" s="1">
        <v>274156.77233872708</v>
      </c>
      <c r="FF124" s="13">
        <f t="shared" si="211"/>
        <v>-5.3777227410227502E-2</v>
      </c>
      <c r="FG124" s="1">
        <v>33</v>
      </c>
      <c r="FH124" s="13">
        <f t="shared" si="212"/>
        <v>-0.13157894736842102</v>
      </c>
      <c r="FI124" s="1">
        <v>264237.61935126869</v>
      </c>
      <c r="FJ124" s="13">
        <f t="shared" si="213"/>
        <v>-3.6180587124811425E-2</v>
      </c>
      <c r="FK124" s="1">
        <v>39</v>
      </c>
      <c r="FL124" s="13">
        <f t="shared" si="214"/>
        <v>0.18181818181818188</v>
      </c>
      <c r="FM124" s="1">
        <v>258790.49834529441</v>
      </c>
      <c r="FN124" s="13">
        <f t="shared" si="215"/>
        <v>-2.0614479570878363E-2</v>
      </c>
      <c r="FO124" s="1">
        <v>45</v>
      </c>
      <c r="FP124" s="13">
        <f t="shared" si="216"/>
        <v>0.15384615384615374</v>
      </c>
      <c r="FQ124" s="1">
        <v>229079.8444575204</v>
      </c>
      <c r="FR124" s="13">
        <f t="shared" si="217"/>
        <v>-0.11480581426962666</v>
      </c>
      <c r="FS124">
        <v>38</v>
      </c>
      <c r="FT124" s="13">
        <f t="shared" si="218"/>
        <v>-0.15555555555555556</v>
      </c>
      <c r="FU124" s="1">
        <v>234627.68022366919</v>
      </c>
      <c r="FV124" s="13">
        <f t="shared" si="219"/>
        <v>2.4217913100502253E-2</v>
      </c>
      <c r="FW124" s="1">
        <v>43</v>
      </c>
      <c r="FX124" s="13">
        <f t="shared" si="220"/>
        <v>0.13157894736842102</v>
      </c>
      <c r="FY124" s="1">
        <v>258271.86023720159</v>
      </c>
      <c r="FZ124" s="13">
        <f t="shared" si="221"/>
        <v>0.1007731909167433</v>
      </c>
      <c r="GA124" s="1">
        <v>37</v>
      </c>
      <c r="GB124" s="13">
        <f t="shared" si="222"/>
        <v>-0.13953488372093026</v>
      </c>
      <c r="GC124" s="1">
        <v>237565.22955082241</v>
      </c>
      <c r="GD124" s="13">
        <f t="shared" si="223"/>
        <v>-8.0173777613100516E-2</v>
      </c>
      <c r="GE124" s="1">
        <v>124</v>
      </c>
      <c r="GF124" s="13">
        <f t="shared" si="224"/>
        <v>2.3513513513513513</v>
      </c>
      <c r="GG124" s="1">
        <f>IFERROR(VLOOKUP(A124,[3]Москва_продажа_районы!$C$2:$F$149,3,0),"")</f>
        <v>233501.58080723311</v>
      </c>
      <c r="GH124" s="13">
        <v>-1.7105401961695521E-2</v>
      </c>
      <c r="GI124" s="1">
        <v>31</v>
      </c>
      <c r="GJ124" s="13">
        <f t="shared" si="225"/>
        <v>-0.75</v>
      </c>
      <c r="GK124" s="1">
        <v>239881.61019444419</v>
      </c>
      <c r="GL124" s="13">
        <f t="shared" si="226"/>
        <v>2.7323281346339545E-2</v>
      </c>
      <c r="GM124" s="1">
        <v>35</v>
      </c>
      <c r="GN124" s="13">
        <f t="shared" si="227"/>
        <v>0.12903225806451624</v>
      </c>
      <c r="GO124" s="1">
        <v>235127.26429423259</v>
      </c>
      <c r="GP124" s="13">
        <f t="shared" si="228"/>
        <v>-1.981955138769409E-2</v>
      </c>
      <c r="GQ124" s="1">
        <v>40.660000000000004</v>
      </c>
      <c r="GR124" s="13">
        <f t="shared" si="229"/>
        <v>0.16171428571428592</v>
      </c>
      <c r="GS124" s="1">
        <v>213135.53000257351</v>
      </c>
      <c r="GT124" s="13">
        <f t="shared" si="305"/>
        <v>-9.3531196212699341E-2</v>
      </c>
      <c r="GU124">
        <v>36</v>
      </c>
      <c r="GV124" s="13">
        <f t="shared" si="306"/>
        <v>-0.11460895228726031</v>
      </c>
      <c r="GW124">
        <v>211206.33439319159</v>
      </c>
      <c r="GX124" s="13">
        <f t="shared" si="230"/>
        <v>-9.0514969951683844E-3</v>
      </c>
      <c r="GY124">
        <v>35</v>
      </c>
      <c r="GZ124" s="13">
        <f t="shared" si="231"/>
        <v>-2.777777777777779E-2</v>
      </c>
      <c r="HA124">
        <v>211511.3975985095</v>
      </c>
      <c r="HB124" s="13">
        <v>1.4443847349294714E-3</v>
      </c>
      <c r="HC124">
        <v>33</v>
      </c>
      <c r="HD124" s="13">
        <v>-5.7142857142857162E-2</v>
      </c>
      <c r="HE124">
        <v>208273.8536623519</v>
      </c>
      <c r="HF124" s="13">
        <v>-1.5306711472367507E-2</v>
      </c>
      <c r="HG124">
        <v>34</v>
      </c>
      <c r="HH124" s="13">
        <v>3.0303030303030276E-2</v>
      </c>
      <c r="HI124">
        <f>VLOOKUP(A124,[4]Москва_продажа_районы!$C$4:$F$151,3,0)</f>
        <v>230921.8633752155</v>
      </c>
      <c r="HJ124" s="13">
        <f t="shared" si="232"/>
        <v>0.10874149258110899</v>
      </c>
      <c r="HK124">
        <f>VLOOKUP(A124,[4]Москва_продажа_районы!$C$4:$F$151,2,0)</f>
        <v>118</v>
      </c>
      <c r="HL124" s="13">
        <f t="shared" si="233"/>
        <v>2.4705882352941178</v>
      </c>
      <c r="HM124" s="1">
        <f>VLOOKUP(A124,Лист3!$C$4:$F$149,3,0)</f>
        <v>212665.76306683291</v>
      </c>
      <c r="HN124" s="13">
        <f t="shared" si="234"/>
        <v>-7.9057478757301514E-2</v>
      </c>
      <c r="HO124">
        <f>VLOOKUP(A124,Лист3!$C$4:$F$149,2,0)</f>
        <v>32</v>
      </c>
      <c r="HP124" s="13">
        <f t="shared" si="235"/>
        <v>-0.72881355932203395</v>
      </c>
      <c r="HQ124" s="1">
        <v>215703.36137790151</v>
      </c>
      <c r="HR124" s="13">
        <v>1.4283438327183928E-2</v>
      </c>
      <c r="HS124">
        <v>26</v>
      </c>
      <c r="HT124" s="13">
        <v>-0.1875</v>
      </c>
      <c r="HU124" s="34">
        <v>219404.0376345797</v>
      </c>
      <c r="HV124" s="13">
        <v>1.7156321686590648E-2</v>
      </c>
      <c r="HW124">
        <v>25</v>
      </c>
      <c r="HX124" s="13">
        <v>-3.8461538461538436E-2</v>
      </c>
      <c r="HY124">
        <v>236370.74332800781</v>
      </c>
      <c r="HZ124" s="13">
        <v>7.7330872650969162E-2</v>
      </c>
      <c r="IA124">
        <v>20</v>
      </c>
      <c r="IB124" s="13">
        <v>-0.19999999999999996</v>
      </c>
      <c r="IC124" s="34">
        <v>230652.21542443559</v>
      </c>
      <c r="ID124" s="13">
        <v>-2.4193044465053437E-2</v>
      </c>
      <c r="IE124">
        <v>25</v>
      </c>
      <c r="IF124" s="13">
        <v>0.25</v>
      </c>
    </row>
    <row r="125" spans="1:240" ht="15.6" thickTop="1" thickBot="1" x14ac:dyDescent="0.35">
      <c r="A125" s="228" t="s">
        <v>167</v>
      </c>
      <c r="B125" s="228"/>
      <c r="C125" s="228"/>
      <c r="D125" s="228"/>
      <c r="E125" s="228"/>
      <c r="F125" s="228"/>
      <c r="G125" s="228"/>
      <c r="H125" s="228"/>
      <c r="I125" s="228"/>
      <c r="J125" s="228"/>
      <c r="K125" s="228"/>
      <c r="L125" s="228"/>
      <c r="M125" s="228"/>
      <c r="N125" s="228"/>
      <c r="O125" s="228"/>
      <c r="P125" s="228"/>
      <c r="Q125" s="228"/>
      <c r="U125" s="13"/>
      <c r="V125" s="1"/>
      <c r="AA125" s="81"/>
      <c r="AF125" s="13" t="e">
        <f t="shared" si="180"/>
        <v>#DIV/0!</v>
      </c>
      <c r="AK125" s="35">
        <f>AK126-AJ126</f>
        <v>289</v>
      </c>
      <c r="AL125" s="35"/>
      <c r="BA125" s="119"/>
      <c r="BF125" s="13"/>
      <c r="BI125" s="13"/>
      <c r="BL125" s="13"/>
      <c r="BM125" s="34"/>
      <c r="BN125" s="109"/>
      <c r="BP125" s="13"/>
      <c r="BR125" s="13" t="str">
        <f t="shared" si="264"/>
        <v/>
      </c>
      <c r="BT125" s="13" t="str">
        <f t="shared" si="265"/>
        <v/>
      </c>
      <c r="BV125" s="13"/>
      <c r="BX125" s="13"/>
      <c r="BZ125" s="13"/>
      <c r="CB125" s="13"/>
      <c r="CC125" s="1"/>
      <c r="CD125" s="13"/>
      <c r="CF125" s="13"/>
      <c r="CG125" s="1"/>
      <c r="CH125" s="13"/>
      <c r="CJ125" s="13"/>
      <c r="CK125" s="1"/>
      <c r="CL125" s="13"/>
      <c r="CN125" s="13"/>
      <c r="CO125" s="1" t="s">
        <v>184</v>
      </c>
      <c r="CP125" s="13" t="s">
        <v>184</v>
      </c>
      <c r="CQ125" t="s">
        <v>184</v>
      </c>
      <c r="CR125" s="13" t="s">
        <v>184</v>
      </c>
      <c r="CS125" s="1" t="s">
        <v>184</v>
      </c>
      <c r="CT125" s="13" t="str">
        <f t="shared" si="181"/>
        <v/>
      </c>
      <c r="CU125" t="s">
        <v>184</v>
      </c>
      <c r="CV125" s="13" t="str">
        <f t="shared" si="182"/>
        <v/>
      </c>
      <c r="CW125" s="1" t="s">
        <v>184</v>
      </c>
      <c r="CX125" s="13" t="str">
        <f t="shared" si="183"/>
        <v/>
      </c>
      <c r="CY125" t="s">
        <v>184</v>
      </c>
      <c r="CZ125" s="13" t="str">
        <f t="shared" si="184"/>
        <v/>
      </c>
      <c r="DA125" s="1" t="s">
        <v>184</v>
      </c>
      <c r="DB125" s="13" t="str">
        <f t="shared" si="185"/>
        <v/>
      </c>
      <c r="DC125" t="s">
        <v>184</v>
      </c>
      <c r="DD125" s="13" t="str">
        <f t="shared" si="186"/>
        <v/>
      </c>
      <c r="DE125" s="1" t="s">
        <v>184</v>
      </c>
      <c r="DF125" s="13" t="str">
        <f t="shared" si="187"/>
        <v/>
      </c>
      <c r="DG125" s="1" t="s">
        <v>184</v>
      </c>
      <c r="DH125" s="13" t="str">
        <f t="shared" si="188"/>
        <v/>
      </c>
      <c r="DI125" s="1" t="s">
        <v>184</v>
      </c>
      <c r="DJ125" s="13" t="str">
        <f t="shared" si="189"/>
        <v/>
      </c>
      <c r="DK125" s="1" t="s">
        <v>184</v>
      </c>
      <c r="DL125" s="13" t="str">
        <f t="shared" si="190"/>
        <v/>
      </c>
      <c r="DM125" s="1" t="s">
        <v>184</v>
      </c>
      <c r="DN125" s="13" t="str">
        <f t="shared" si="191"/>
        <v/>
      </c>
      <c r="DO125" s="1" t="s">
        <v>184</v>
      </c>
      <c r="DP125" s="13" t="str">
        <f t="shared" si="192"/>
        <v/>
      </c>
      <c r="DQ125" s="1" t="s">
        <v>184</v>
      </c>
      <c r="DR125" s="13" t="str">
        <f t="shared" si="193"/>
        <v/>
      </c>
      <c r="DS125" t="s">
        <v>184</v>
      </c>
      <c r="DT125" s="13" t="str">
        <f t="shared" si="194"/>
        <v/>
      </c>
      <c r="DU125" s="1" t="s">
        <v>184</v>
      </c>
      <c r="DV125" s="13" t="str">
        <f t="shared" si="195"/>
        <v/>
      </c>
      <c r="DW125" t="s">
        <v>184</v>
      </c>
      <c r="DX125" s="13" t="str">
        <f t="shared" si="196"/>
        <v/>
      </c>
      <c r="DY125" s="1" t="s">
        <v>184</v>
      </c>
      <c r="DZ125" s="13" t="str">
        <f t="shared" si="197"/>
        <v/>
      </c>
      <c r="EA125" s="1" t="s">
        <v>184</v>
      </c>
      <c r="EB125" s="13" t="str">
        <f t="shared" si="198"/>
        <v/>
      </c>
      <c r="EC125" s="1" t="s">
        <v>184</v>
      </c>
      <c r="ED125" s="13" t="str">
        <f t="shared" si="199"/>
        <v/>
      </c>
      <c r="EE125" s="1" t="str">
        <f>IFERROR(VLOOKUP($A125,[1]Москва_продажа_районы!$C$2:$F$148,2,0),"")</f>
        <v/>
      </c>
      <c r="EF125" s="13" t="s">
        <v>184</v>
      </c>
      <c r="EG125" s="1" t="s">
        <v>184</v>
      </c>
      <c r="EH125" s="13" t="str">
        <f t="shared" si="200"/>
        <v/>
      </c>
      <c r="EI125" s="1" t="str">
        <f>IFERROR(VLOOKUP($A125,[2]Москва_продажа_районы!$C$2:$F$150,2,0),"")</f>
        <v/>
      </c>
      <c r="EJ125" s="13" t="s">
        <v>184</v>
      </c>
      <c r="EK125" s="1" t="s">
        <v>184</v>
      </c>
      <c r="EL125" s="13" t="str">
        <f t="shared" si="201"/>
        <v/>
      </c>
      <c r="EM125" t="s">
        <v>184</v>
      </c>
      <c r="EN125" s="13" t="str">
        <f t="shared" si="202"/>
        <v/>
      </c>
      <c r="EO125" s="1" t="s">
        <v>184</v>
      </c>
      <c r="EP125" s="13" t="str">
        <f t="shared" si="203"/>
        <v/>
      </c>
      <c r="EQ125" t="s">
        <v>184</v>
      </c>
      <c r="ER125" s="13" t="str">
        <f t="shared" si="204"/>
        <v/>
      </c>
      <c r="ES125" s="183" t="s">
        <v>184</v>
      </c>
      <c r="ET125" s="13" t="str">
        <f t="shared" si="205"/>
        <v/>
      </c>
      <c r="EU125" t="s">
        <v>184</v>
      </c>
      <c r="EV125" s="13" t="str">
        <f t="shared" si="206"/>
        <v/>
      </c>
      <c r="EW125" s="183" t="s">
        <v>184</v>
      </c>
      <c r="EX125" s="13" t="str">
        <f t="shared" si="207"/>
        <v/>
      </c>
      <c r="EY125" t="s">
        <v>184</v>
      </c>
      <c r="EZ125" s="13" t="str">
        <f t="shared" si="208"/>
        <v/>
      </c>
      <c r="FA125" s="1" t="s">
        <v>184</v>
      </c>
      <c r="FB125" s="13" t="str">
        <f t="shared" si="209"/>
        <v/>
      </c>
      <c r="FC125" s="1" t="s">
        <v>184</v>
      </c>
      <c r="FD125" s="13" t="str">
        <f t="shared" si="210"/>
        <v/>
      </c>
      <c r="FE125" s="1" t="s">
        <v>184</v>
      </c>
      <c r="FF125" s="13" t="str">
        <f t="shared" si="211"/>
        <v/>
      </c>
      <c r="FG125" s="1" t="s">
        <v>184</v>
      </c>
      <c r="FH125" s="13" t="str">
        <f t="shared" si="212"/>
        <v/>
      </c>
      <c r="FI125" s="1" t="s">
        <v>184</v>
      </c>
      <c r="FJ125" s="13" t="str">
        <f t="shared" si="213"/>
        <v/>
      </c>
      <c r="FK125" s="1" t="s">
        <v>184</v>
      </c>
      <c r="FL125" s="13" t="str">
        <f t="shared" si="214"/>
        <v/>
      </c>
      <c r="FM125" s="1" t="s">
        <v>184</v>
      </c>
      <c r="FN125" s="13" t="str">
        <f t="shared" si="215"/>
        <v/>
      </c>
      <c r="FO125" s="1" t="s">
        <v>184</v>
      </c>
      <c r="FP125" s="13" t="str">
        <f t="shared" si="216"/>
        <v/>
      </c>
      <c r="FQ125" s="1" t="s">
        <v>184</v>
      </c>
      <c r="FR125" s="13" t="str">
        <f t="shared" si="217"/>
        <v/>
      </c>
      <c r="FS125" t="s">
        <v>184</v>
      </c>
      <c r="FT125" s="13" t="str">
        <f t="shared" si="218"/>
        <v/>
      </c>
      <c r="FU125" s="1" t="s">
        <v>184</v>
      </c>
      <c r="FV125" s="13" t="str">
        <f t="shared" si="219"/>
        <v/>
      </c>
      <c r="FW125" s="1" t="s">
        <v>184</v>
      </c>
      <c r="FX125" s="13" t="str">
        <f t="shared" si="220"/>
        <v/>
      </c>
      <c r="FY125" s="1" t="s">
        <v>184</v>
      </c>
      <c r="FZ125" s="13" t="str">
        <f t="shared" si="221"/>
        <v/>
      </c>
      <c r="GA125" s="1" t="s">
        <v>184</v>
      </c>
      <c r="GB125" s="13" t="str">
        <f t="shared" si="222"/>
        <v/>
      </c>
      <c r="GC125" s="1" t="s">
        <v>184</v>
      </c>
      <c r="GD125" s="13" t="str">
        <f t="shared" si="223"/>
        <v/>
      </c>
      <c r="GE125" s="1" t="s">
        <v>184</v>
      </c>
      <c r="GF125" s="13" t="str">
        <f t="shared" si="224"/>
        <v/>
      </c>
      <c r="GG125" s="1" t="str">
        <f>IFERROR(VLOOKUP(A125,[3]Москва_продажа_районы!$C$2:$F$149,3,0),"")</f>
        <v/>
      </c>
      <c r="GH125" s="13" t="s">
        <v>184</v>
      </c>
      <c r="GI125" s="1" t="s">
        <v>184</v>
      </c>
      <c r="GJ125" s="13" t="str">
        <f t="shared" si="225"/>
        <v/>
      </c>
      <c r="GK125" s="1" t="s">
        <v>184</v>
      </c>
      <c r="GL125" s="13" t="str">
        <f t="shared" si="226"/>
        <v/>
      </c>
      <c r="GM125" s="1" t="s">
        <v>184</v>
      </c>
      <c r="GN125" s="13" t="str">
        <f t="shared" si="227"/>
        <v/>
      </c>
      <c r="GO125" s="1" t="s">
        <v>184</v>
      </c>
      <c r="GP125" s="13" t="str">
        <f t="shared" si="228"/>
        <v/>
      </c>
      <c r="GQ125" s="1" t="s">
        <v>184</v>
      </c>
      <c r="GR125" s="13" t="str">
        <f t="shared" si="229"/>
        <v/>
      </c>
      <c r="GT125" s="13"/>
      <c r="GV125" s="13"/>
      <c r="GX125" s="13"/>
      <c r="GZ125" s="13"/>
      <c r="HB125" s="13"/>
      <c r="HD125" s="13"/>
      <c r="HE125" t="e">
        <v>#N/A</v>
      </c>
      <c r="HF125" s="13" t="e">
        <v>#N/A</v>
      </c>
      <c r="HG125" t="e">
        <v>#N/A</v>
      </c>
      <c r="HH125" s="13" t="e">
        <v>#N/A</v>
      </c>
      <c r="HI125" t="e">
        <f>VLOOKUP(A125,[4]Москва_продажа_районы!$C$4:$F$151,3,0)</f>
        <v>#N/A</v>
      </c>
      <c r="HJ125" s="13" t="e">
        <f t="shared" si="232"/>
        <v>#N/A</v>
      </c>
      <c r="HK125" t="e">
        <f>VLOOKUP(A125,[4]Москва_продажа_районы!$C$4:$F$151,2,0)</f>
        <v>#N/A</v>
      </c>
      <c r="HL125" s="13" t="e">
        <f t="shared" si="233"/>
        <v>#N/A</v>
      </c>
      <c r="HM125" s="1" t="e">
        <f>VLOOKUP(A125,Лист3!$C$4:$F$149,3,0)</f>
        <v>#N/A</v>
      </c>
      <c r="HN125" s="13" t="e">
        <f t="shared" si="234"/>
        <v>#N/A</v>
      </c>
      <c r="HO125" t="e">
        <f>VLOOKUP(A125,Лист3!$C$4:$F$149,2,0)</f>
        <v>#N/A</v>
      </c>
      <c r="HP125" s="13" t="e">
        <f t="shared" si="235"/>
        <v>#N/A</v>
      </c>
      <c r="HQ125" s="1" t="e">
        <v>#N/A</v>
      </c>
      <c r="HR125" s="13" t="e">
        <v>#N/A</v>
      </c>
      <c r="HS125" t="e">
        <v>#N/A</v>
      </c>
      <c r="HT125" s="13" t="e">
        <v>#N/A</v>
      </c>
      <c r="HU125" s="34" t="e">
        <v>#N/A</v>
      </c>
      <c r="HV125" s="13" t="e">
        <v>#N/A</v>
      </c>
      <c r="HW125" t="e">
        <v>#N/A</v>
      </c>
      <c r="HX125" s="13" t="e">
        <v>#N/A</v>
      </c>
      <c r="HY125" t="e">
        <v>#N/A</v>
      </c>
      <c r="HZ125" s="13" t="e">
        <v>#N/A</v>
      </c>
      <c r="IA125" t="e">
        <v>#N/A</v>
      </c>
      <c r="IB125" s="13" t="e">
        <v>#N/A</v>
      </c>
      <c r="IC125" s="34" t="e">
        <v>#N/A</v>
      </c>
      <c r="ID125" s="13" t="e">
        <v>#N/A</v>
      </c>
      <c r="IE125" t="e">
        <v>#N/A</v>
      </c>
      <c r="IF125" s="13" t="e">
        <v>#N/A</v>
      </c>
    </row>
    <row r="126" spans="1:240" ht="15" thickTop="1" x14ac:dyDescent="0.3">
      <c r="A126" s="24" t="s">
        <v>128</v>
      </c>
      <c r="B126" s="25">
        <v>251167.20158224666</v>
      </c>
      <c r="C126" s="26">
        <v>543</v>
      </c>
      <c r="D126" s="25">
        <v>251457.18968037728</v>
      </c>
      <c r="E126" s="26">
        <v>530</v>
      </c>
      <c r="F126" s="25">
        <v>255747.17489519989</v>
      </c>
      <c r="G126" s="26">
        <v>375</v>
      </c>
      <c r="H126" s="25">
        <v>251928.01208239375</v>
      </c>
      <c r="I126" s="26">
        <v>383</v>
      </c>
      <c r="J126" s="25">
        <v>254949.95759999871</v>
      </c>
      <c r="K126" s="26">
        <v>496</v>
      </c>
      <c r="L126" s="25">
        <v>259135.01520702563</v>
      </c>
      <c r="M126" s="26">
        <v>517</v>
      </c>
      <c r="N126" s="25">
        <v>257873.05681772745</v>
      </c>
      <c r="O126" s="27">
        <v>503</v>
      </c>
      <c r="P126" s="38">
        <v>258469.82896581211</v>
      </c>
      <c r="Q126" s="27">
        <v>465</v>
      </c>
      <c r="R126" s="38">
        <v>267103.33163619245</v>
      </c>
      <c r="S126" s="26">
        <v>414</v>
      </c>
      <c r="T126" s="50">
        <v>276254.19322602265</v>
      </c>
      <c r="U126" s="45">
        <v>408</v>
      </c>
      <c r="V126" s="55">
        <v>278290.12649442267</v>
      </c>
      <c r="W126" s="45">
        <v>381</v>
      </c>
      <c r="X126" s="55">
        <v>283125.93236099242</v>
      </c>
      <c r="Y126" s="45">
        <v>382</v>
      </c>
      <c r="Z126" s="34">
        <v>279299.0737080978</v>
      </c>
      <c r="AA126" s="81">
        <v>448</v>
      </c>
      <c r="AB126" s="1">
        <v>285632.93591935502</v>
      </c>
      <c r="AC126">
        <v>464</v>
      </c>
      <c r="AD126" s="1">
        <v>301231.64889562578</v>
      </c>
      <c r="AE126">
        <v>424</v>
      </c>
      <c r="AF126" s="13">
        <f t="shared" si="180"/>
        <v>6.3949340082165795E-2</v>
      </c>
      <c r="AG126" s="85">
        <f>AE126/$AJ$126</f>
        <v>0.10461386627189737</v>
      </c>
      <c r="AH126" s="35">
        <f>AG126*$AK$125</f>
        <v>30.23340735257834</v>
      </c>
      <c r="AI126" s="86">
        <f>AH126+AE126</f>
        <v>454.23340735257835</v>
      </c>
      <c r="AJ126">
        <f>SUM($AE$126:$AE$137)</f>
        <v>4053</v>
      </c>
      <c r="AK126" s="1">
        <v>4342</v>
      </c>
      <c r="AL126" s="1">
        <v>306417.16677732242</v>
      </c>
      <c r="AM126">
        <v>420</v>
      </c>
      <c r="AN126" s="13">
        <f>AM126/SUM($AM$126:$AM$137)</f>
        <v>0.10214007782101167</v>
      </c>
      <c r="AO126">
        <f>SUM(AM126:AM137)</f>
        <v>4112</v>
      </c>
      <c r="AP126">
        <f>4379-AO126</f>
        <v>267</v>
      </c>
      <c r="AQ126">
        <f>ROUND($AP$126*AN126,0)</f>
        <v>27</v>
      </c>
      <c r="AR126" s="89">
        <f>AQ126+AM126</f>
        <v>447</v>
      </c>
      <c r="AS126">
        <v>369</v>
      </c>
      <c r="AT126" s="1">
        <v>313352.89916246501</v>
      </c>
      <c r="AU126" s="13">
        <f>AT126/AL126-1</f>
        <v>2.2634934126203543E-2</v>
      </c>
      <c r="AV126" s="35">
        <v>345</v>
      </c>
      <c r="AW126" s="1">
        <v>315398.78497440257</v>
      </c>
      <c r="AX126" s="35">
        <v>374.98054474708169</v>
      </c>
      <c r="AY126" s="119">
        <v>317676.30990294128</v>
      </c>
      <c r="AZ126" s="120">
        <v>358</v>
      </c>
      <c r="BA126" s="119">
        <v>323925.17319778638</v>
      </c>
      <c r="BB126">
        <v>372</v>
      </c>
      <c r="BC126" s="13">
        <f>BA126/AY126-1</f>
        <v>1.9670536014329443E-2</v>
      </c>
      <c r="BD126">
        <v>373</v>
      </c>
      <c r="BE126" s="1">
        <v>323917.89027186041</v>
      </c>
      <c r="BF126" s="13">
        <f t="shared" ref="BF126:BF137" si="315">BE126/BA126-1</f>
        <v>-2.2483358900649009E-5</v>
      </c>
      <c r="BG126">
        <v>365</v>
      </c>
      <c r="BH126" s="1">
        <v>326055.97852547339</v>
      </c>
      <c r="BI126" s="13">
        <f t="shared" si="267"/>
        <v>6.6007106054515319E-3</v>
      </c>
      <c r="BJ126">
        <v>349</v>
      </c>
      <c r="BK126" s="1">
        <v>333510.03361192509</v>
      </c>
      <c r="BL126" s="13">
        <f t="shared" ref="BL126:BL137" si="316">BK126/BH126-1</f>
        <v>2.2861274067604187E-2</v>
      </c>
      <c r="BM126" s="1">
        <v>334426.68333644251</v>
      </c>
      <c r="BN126" s="109">
        <f t="shared" ref="BN126:BN137" si="317">BM126/BK126-1</f>
        <v>2.7484921955422958E-3</v>
      </c>
      <c r="BO126">
        <v>334</v>
      </c>
      <c r="BP126" s="13">
        <f t="shared" ref="BP126:BP137" si="318">BO126/BJ126-1</f>
        <v>-4.2979942693409767E-2</v>
      </c>
      <c r="BQ126" s="1">
        <v>347568.67564955138</v>
      </c>
      <c r="BR126" s="13">
        <f t="shared" si="264"/>
        <v>3.9297080549902441E-2</v>
      </c>
      <c r="BS126">
        <v>350</v>
      </c>
      <c r="BT126" s="13">
        <f t="shared" si="265"/>
        <v>4.7904191616766401E-2</v>
      </c>
      <c r="BU126" s="1">
        <v>360420.22487887478</v>
      </c>
      <c r="BV126" s="13">
        <f t="shared" ref="BV126:BV137" si="319">BU126/BQ126-1</f>
        <v>3.6975568081058618E-2</v>
      </c>
      <c r="BW126">
        <v>334</v>
      </c>
      <c r="BX126" s="13">
        <f t="shared" ref="BX126:BX137" si="320">BW126/BS126-1</f>
        <v>-4.5714285714285707E-2</v>
      </c>
      <c r="BY126" s="1">
        <v>359655.67958866223</v>
      </c>
      <c r="BZ126" s="13">
        <f t="shared" ref="BZ126:BZ137" si="321">BY126/BU126-1</f>
        <v>-2.1212607879302903E-3</v>
      </c>
      <c r="CA126">
        <v>309</v>
      </c>
      <c r="CB126" s="13">
        <f t="shared" ref="CB126:CB137" si="322">CA126/BW126-1</f>
        <v>-7.4850299401197584E-2</v>
      </c>
      <c r="CC126" s="1">
        <v>346847.51414774382</v>
      </c>
      <c r="CD126" s="13">
        <f t="shared" ref="CD126:CD137" si="323">CC126/BY126-1</f>
        <v>-3.561229856168846E-2</v>
      </c>
      <c r="CE126">
        <v>328</v>
      </c>
      <c r="CF126" s="13">
        <f t="shared" ref="CF126:CF137" si="324">CE126/CA126-1</f>
        <v>6.1488673139158623E-2</v>
      </c>
      <c r="CG126" s="1">
        <v>347764.02699720452</v>
      </c>
      <c r="CH126" s="13">
        <f t="shared" ref="CH126:CH137" si="325">CG126/CC126-1</f>
        <v>2.6424085861267432E-3</v>
      </c>
      <c r="CI126">
        <v>396</v>
      </c>
      <c r="CJ126" s="13">
        <f t="shared" ref="CJ126:CJ137" si="326">CI126/CE126-1</f>
        <v>0.20731707317073167</v>
      </c>
      <c r="CK126" s="1">
        <v>344926.88406653551</v>
      </c>
      <c r="CL126" s="13">
        <f t="shared" ref="CL126:CL137" si="327">CK126/CG126-1</f>
        <v>-8.1582415385701434E-3</v>
      </c>
      <c r="CM126">
        <v>405</v>
      </c>
      <c r="CN126" s="13">
        <f t="shared" ref="CN126:CN137" si="328">CM126/CI126-1</f>
        <v>2.2727272727272707E-2</v>
      </c>
      <c r="CO126" s="1">
        <v>345727.16608562658</v>
      </c>
      <c r="CP126" s="13">
        <v>2.3201497362459467E-3</v>
      </c>
      <c r="CQ126">
        <v>417</v>
      </c>
      <c r="CR126" s="13">
        <v>2.9629629629629672E-2</v>
      </c>
      <c r="CS126" s="1">
        <v>345486.7539364454</v>
      </c>
      <c r="CT126" s="13">
        <f t="shared" si="181"/>
        <v>-6.9538113508160748E-4</v>
      </c>
      <c r="CU126">
        <v>432</v>
      </c>
      <c r="CV126" s="13">
        <f t="shared" si="182"/>
        <v>3.5971223021582732E-2</v>
      </c>
      <c r="CW126" s="1">
        <v>340959.11058714212</v>
      </c>
      <c r="CX126" s="13">
        <f t="shared" si="183"/>
        <v>-1.3105114154785102E-2</v>
      </c>
      <c r="CY126">
        <v>439</v>
      </c>
      <c r="CZ126" s="13">
        <f t="shared" si="184"/>
        <v>1.620370370370372E-2</v>
      </c>
      <c r="DA126" s="1">
        <v>334838.02111231192</v>
      </c>
      <c r="DB126" s="13">
        <f t="shared" si="185"/>
        <v>-1.7952561714187687E-2</v>
      </c>
      <c r="DC126">
        <v>463</v>
      </c>
      <c r="DD126" s="13">
        <f t="shared" si="186"/>
        <v>5.4669703872437303E-2</v>
      </c>
      <c r="DE126" s="1">
        <v>334341.86663225258</v>
      </c>
      <c r="DF126" s="13">
        <f t="shared" si="187"/>
        <v>-1.4817746157116396E-3</v>
      </c>
      <c r="DG126" s="1">
        <v>450</v>
      </c>
      <c r="DH126" s="13">
        <f t="shared" si="188"/>
        <v>-2.8077753779697678E-2</v>
      </c>
      <c r="DI126" s="1">
        <v>330631.96796277701</v>
      </c>
      <c r="DJ126" s="13">
        <f t="shared" si="189"/>
        <v>-1.1096123578074435E-2</v>
      </c>
      <c r="DK126" s="1">
        <v>406</v>
      </c>
      <c r="DL126" s="13">
        <f t="shared" si="190"/>
        <v>-9.7777777777777741E-2</v>
      </c>
      <c r="DM126" s="1">
        <v>329845.82448602217</v>
      </c>
      <c r="DN126" s="13">
        <f t="shared" si="191"/>
        <v>-2.3776995358275599E-3</v>
      </c>
      <c r="DO126" s="1">
        <v>440</v>
      </c>
      <c r="DP126" s="13">
        <f t="shared" si="192"/>
        <v>8.3743842364532028E-2</v>
      </c>
      <c r="DQ126" s="1">
        <v>332040.58717633912</v>
      </c>
      <c r="DR126" s="13">
        <f t="shared" si="193"/>
        <v>6.6539047257514472E-3</v>
      </c>
      <c r="DS126">
        <v>511</v>
      </c>
      <c r="DT126" s="13">
        <f t="shared" si="194"/>
        <v>0.16136363636363638</v>
      </c>
      <c r="DU126" s="1">
        <v>330805.54378072481</v>
      </c>
      <c r="DV126" s="13">
        <f t="shared" si="195"/>
        <v>-3.7195555101172673E-3</v>
      </c>
      <c r="DW126">
        <v>511</v>
      </c>
      <c r="DX126" s="13">
        <f t="shared" si="196"/>
        <v>0</v>
      </c>
      <c r="DY126" s="1">
        <v>330090.465927176</v>
      </c>
      <c r="DZ126" s="13">
        <f t="shared" si="197"/>
        <v>-2.161625967256442E-3</v>
      </c>
      <c r="EA126" s="1">
        <v>496</v>
      </c>
      <c r="EB126" s="13">
        <f t="shared" si="198"/>
        <v>-2.9354207436399271E-2</v>
      </c>
      <c r="EC126" s="1">
        <v>330359.37774856167</v>
      </c>
      <c r="ED126" s="13">
        <f t="shared" si="199"/>
        <v>8.1466097674276483E-4</v>
      </c>
      <c r="EE126" s="1">
        <f>IFERROR(VLOOKUP($A126,[1]Москва_продажа_районы!$C$2:$F$148,2,0),"")</f>
        <v>460</v>
      </c>
      <c r="EF126" s="13">
        <v>-7.2580645161290369E-2</v>
      </c>
      <c r="EG126" s="1">
        <v>337011.21307912742</v>
      </c>
      <c r="EH126" s="13">
        <f t="shared" si="200"/>
        <v>2.013514910912706E-2</v>
      </c>
      <c r="EI126" s="1">
        <f>IFERROR(VLOOKUP($A126,[2]Москва_продажа_районы!$C$2:$F$150,2,0),"")</f>
        <v>413</v>
      </c>
      <c r="EJ126" s="13">
        <v>-0.10217391304347823</v>
      </c>
      <c r="EK126" s="1">
        <v>343065.09324026341</v>
      </c>
      <c r="EL126" s="13">
        <f t="shared" si="201"/>
        <v>1.7963438384807073E-2</v>
      </c>
      <c r="EM126">
        <v>399</v>
      </c>
      <c r="EN126" s="13">
        <f t="shared" si="202"/>
        <v>-3.3898305084745783E-2</v>
      </c>
      <c r="EO126" s="1">
        <v>347219.61264088121</v>
      </c>
      <c r="EP126" s="13">
        <f t="shared" si="203"/>
        <v>1.2110003268995362E-2</v>
      </c>
      <c r="EQ126">
        <v>369</v>
      </c>
      <c r="ER126" s="13">
        <f t="shared" si="204"/>
        <v>-7.5187969924812026E-2</v>
      </c>
      <c r="ES126" s="183">
        <v>350493.57227941358</v>
      </c>
      <c r="ET126" s="13">
        <f t="shared" si="205"/>
        <v>9.4290746240723866E-3</v>
      </c>
      <c r="EU126">
        <v>338</v>
      </c>
      <c r="EV126" s="13">
        <f t="shared" si="206"/>
        <v>-8.4010840108401097E-2</v>
      </c>
      <c r="EW126" s="183">
        <v>355266.73188566661</v>
      </c>
      <c r="EX126" s="13">
        <f t="shared" si="207"/>
        <v>1.3618394126919675E-2</v>
      </c>
      <c r="EY126">
        <v>346</v>
      </c>
      <c r="EZ126" s="13">
        <f t="shared" si="208"/>
        <v>2.3668639053254337E-2</v>
      </c>
      <c r="FA126" s="1">
        <v>357761.37086312089</v>
      </c>
      <c r="FB126" s="13">
        <f t="shared" si="209"/>
        <v>7.0218761104181571E-3</v>
      </c>
      <c r="FC126" s="1">
        <v>335</v>
      </c>
      <c r="FD126" s="13">
        <f t="shared" si="210"/>
        <v>-3.1791907514450823E-2</v>
      </c>
      <c r="FE126" s="1">
        <v>361414.46420706162</v>
      </c>
      <c r="FF126" s="13">
        <f t="shared" si="211"/>
        <v>1.0210977599754312E-2</v>
      </c>
      <c r="FG126" s="1">
        <v>356</v>
      </c>
      <c r="FH126" s="13">
        <f t="shared" si="212"/>
        <v>6.2686567164179197E-2</v>
      </c>
      <c r="FI126" s="1">
        <v>360639.87106772879</v>
      </c>
      <c r="FJ126" s="13">
        <f t="shared" si="213"/>
        <v>-2.1432267273316929E-3</v>
      </c>
      <c r="FK126" s="1">
        <v>410</v>
      </c>
      <c r="FL126" s="13">
        <f t="shared" si="214"/>
        <v>0.151685393258427</v>
      </c>
      <c r="FM126" s="1">
        <v>357747.62599362398</v>
      </c>
      <c r="FN126" s="13">
        <f t="shared" si="215"/>
        <v>-8.0197596165445528E-3</v>
      </c>
      <c r="FO126" s="1">
        <v>396</v>
      </c>
      <c r="FP126" s="13">
        <f t="shared" si="216"/>
        <v>-3.4146341463414664E-2</v>
      </c>
      <c r="FQ126" s="1">
        <v>357078.88676203182</v>
      </c>
      <c r="FR126" s="13">
        <f t="shared" si="217"/>
        <v>-1.8693044565558647E-3</v>
      </c>
      <c r="FS126">
        <v>396</v>
      </c>
      <c r="FT126" s="13">
        <f t="shared" si="218"/>
        <v>0</v>
      </c>
      <c r="FU126" s="1">
        <v>359158.17049403233</v>
      </c>
      <c r="FV126" s="13">
        <f t="shared" si="219"/>
        <v>5.8230374549874675E-3</v>
      </c>
      <c r="FW126" s="1">
        <v>373</v>
      </c>
      <c r="FX126" s="13">
        <f t="shared" si="220"/>
        <v>-5.8080808080808066E-2</v>
      </c>
      <c r="FY126" s="1">
        <v>366472.32413454109</v>
      </c>
      <c r="FZ126" s="13">
        <f t="shared" si="221"/>
        <v>2.0364714605957346E-2</v>
      </c>
      <c r="GA126" s="1">
        <v>380</v>
      </c>
      <c r="GB126" s="13">
        <f t="shared" si="222"/>
        <v>1.8766756032171594E-2</v>
      </c>
      <c r="GC126" s="1">
        <v>368232.68248714058</v>
      </c>
      <c r="GD126" s="13">
        <f t="shared" si="223"/>
        <v>4.8035233131362709E-3</v>
      </c>
      <c r="GE126" s="1">
        <v>379</v>
      </c>
      <c r="GF126" s="13">
        <f t="shared" si="224"/>
        <v>-2.6315789473684292E-3</v>
      </c>
      <c r="GG126" s="1">
        <f>IFERROR(VLOOKUP(A126,[3]Москва_продажа_районы!$C$2:$F$149,3,0),"")</f>
        <v>368795.25846799259</v>
      </c>
      <c r="GH126" s="13">
        <v>1.5277730837257586E-3</v>
      </c>
      <c r="GI126" s="1">
        <v>384</v>
      </c>
      <c r="GJ126" s="13">
        <f t="shared" si="225"/>
        <v>1.3192612137203241E-2</v>
      </c>
      <c r="GK126" s="1">
        <v>368260.00421375281</v>
      </c>
      <c r="GL126" s="13">
        <f t="shared" si="226"/>
        <v>-1.4513588283734391E-3</v>
      </c>
      <c r="GM126" s="1">
        <v>407</v>
      </c>
      <c r="GN126" s="13">
        <f t="shared" si="227"/>
        <v>5.9895833333333259E-2</v>
      </c>
      <c r="GO126" s="1">
        <v>366537.4867946186</v>
      </c>
      <c r="GP126" s="13">
        <f t="shared" si="228"/>
        <v>-4.6774490833231264E-3</v>
      </c>
      <c r="GQ126" s="1">
        <v>401.25000000000006</v>
      </c>
      <c r="GR126" s="13">
        <f t="shared" si="229"/>
        <v>-1.4127764127763953E-2</v>
      </c>
      <c r="GS126" s="1">
        <v>367528.91461076419</v>
      </c>
      <c r="GT126" s="13">
        <f t="shared" ref="GT126:GT137" si="329">GS126/GO126-1</f>
        <v>2.7048469852719581E-3</v>
      </c>
      <c r="GU126">
        <v>382</v>
      </c>
      <c r="GV126" s="13">
        <f t="shared" ref="GV126:GV137" si="330">GU126/GQ126-1</f>
        <v>-4.7975077881620032E-2</v>
      </c>
      <c r="GW126">
        <v>369852.34603456053</v>
      </c>
      <c r="GX126" s="13">
        <f t="shared" si="230"/>
        <v>6.3217649861835312E-3</v>
      </c>
      <c r="GY126">
        <v>356</v>
      </c>
      <c r="GZ126" s="13">
        <f t="shared" si="231"/>
        <v>-6.8062827225130906E-2</v>
      </c>
      <c r="HA126">
        <v>372884.53596234857</v>
      </c>
      <c r="HB126" s="13">
        <v>8.1983795974209794E-3</v>
      </c>
      <c r="HC126">
        <v>338</v>
      </c>
      <c r="HD126" s="13">
        <v>-5.0561797752809001E-2</v>
      </c>
      <c r="HE126">
        <v>381509.26449391188</v>
      </c>
      <c r="HF126" s="13">
        <v>2.3129756532553447E-2</v>
      </c>
      <c r="HG126">
        <v>360</v>
      </c>
      <c r="HH126" s="13">
        <v>6.5088757396449815E-2</v>
      </c>
      <c r="HI126">
        <f>VLOOKUP(A126,[4]Москва_продажа_районы!$C$4:$F$151,3,0)</f>
        <v>378335.06414573628</v>
      </c>
      <c r="HJ126" s="13">
        <f t="shared" si="232"/>
        <v>-8.3201134116266395E-3</v>
      </c>
      <c r="HK126">
        <f>VLOOKUP(A126,[4]Москва_продажа_районы!$C$4:$F$151,2,0)</f>
        <v>383</v>
      </c>
      <c r="HL126" s="13">
        <f t="shared" si="233"/>
        <v>6.3888888888888884E-2</v>
      </c>
      <c r="HM126" s="1">
        <f>VLOOKUP(A126,Лист3!$C$4:$F$149,3,0)</f>
        <v>384778.27616465063</v>
      </c>
      <c r="HN126" s="13">
        <f t="shared" si="234"/>
        <v>1.7030438438115247E-2</v>
      </c>
      <c r="HO126">
        <f>VLOOKUP(A126,Лист3!$C$4:$F$149,2,0)</f>
        <v>394</v>
      </c>
      <c r="HP126" s="13">
        <f t="shared" si="235"/>
        <v>2.8720626631853818E-2</v>
      </c>
      <c r="HQ126" s="1">
        <v>388204.64061408368</v>
      </c>
      <c r="HR126" s="13">
        <v>8.9047762352540971E-3</v>
      </c>
      <c r="HS126">
        <v>394</v>
      </c>
      <c r="HT126" s="13">
        <v>0</v>
      </c>
      <c r="HU126" s="34">
        <v>387848.44612411468</v>
      </c>
      <c r="HV126" s="13">
        <v>-9.1754310150837792E-4</v>
      </c>
      <c r="HW126">
        <v>347</v>
      </c>
      <c r="HX126" s="13">
        <v>-0.11928934010152281</v>
      </c>
      <c r="HY126">
        <v>390824.12542130012</v>
      </c>
      <c r="HZ126" s="13">
        <v>7.6722733503828966E-3</v>
      </c>
      <c r="IA126">
        <v>340</v>
      </c>
      <c r="IB126" s="13">
        <v>-2.0172910662824228E-2</v>
      </c>
      <c r="IC126" s="34">
        <v>391207.5331012964</v>
      </c>
      <c r="ID126" s="13">
        <v>9.8102357315577038E-4</v>
      </c>
      <c r="IE126">
        <v>346</v>
      </c>
      <c r="IF126" s="13">
        <v>1.7647058823529349E-2</v>
      </c>
    </row>
    <row r="127" spans="1:240" x14ac:dyDescent="0.3">
      <c r="A127" s="23" t="s">
        <v>129</v>
      </c>
      <c r="B127" s="22">
        <v>307276.77163528232</v>
      </c>
      <c r="C127">
        <v>496</v>
      </c>
      <c r="D127" s="22">
        <v>308968.82280967734</v>
      </c>
      <c r="E127">
        <v>465</v>
      </c>
      <c r="F127" s="22">
        <v>310546.42300695641</v>
      </c>
      <c r="G127">
        <v>345</v>
      </c>
      <c r="H127" s="22">
        <v>312087.06588768191</v>
      </c>
      <c r="I127">
        <v>352</v>
      </c>
      <c r="J127" s="22">
        <v>307415.32560265675</v>
      </c>
      <c r="K127">
        <v>433</v>
      </c>
      <c r="L127" s="22">
        <v>304927.15865024278</v>
      </c>
      <c r="M127">
        <v>434</v>
      </c>
      <c r="N127" s="22">
        <v>308943.67038328241</v>
      </c>
      <c r="O127" s="28">
        <v>394</v>
      </c>
      <c r="P127" s="39">
        <v>323979.44018464215</v>
      </c>
      <c r="Q127" s="28">
        <v>385</v>
      </c>
      <c r="R127" s="39">
        <v>329933.93727957743</v>
      </c>
      <c r="S127">
        <v>400</v>
      </c>
      <c r="T127" s="46">
        <v>330602.35767260176</v>
      </c>
      <c r="U127" s="47">
        <v>382</v>
      </c>
      <c r="V127" s="56">
        <v>333066.82596471999</v>
      </c>
      <c r="W127" s="47">
        <v>334</v>
      </c>
      <c r="X127" s="56">
        <v>333661.42620035441</v>
      </c>
      <c r="Y127" s="47">
        <v>306</v>
      </c>
      <c r="Z127" s="34">
        <v>334463.28537075385</v>
      </c>
      <c r="AA127" s="81">
        <v>338</v>
      </c>
      <c r="AB127" s="1">
        <v>339717.60545237077</v>
      </c>
      <c r="AC127">
        <v>325</v>
      </c>
      <c r="AD127" s="1">
        <v>353146.96484922752</v>
      </c>
      <c r="AE127">
        <v>273</v>
      </c>
      <c r="AF127" s="13">
        <f t="shared" si="180"/>
        <v>5.8399134927789254E-2</v>
      </c>
      <c r="AG127" s="85">
        <f t="shared" ref="AG127:AG137" si="331">AE127/$AJ$126</f>
        <v>6.7357512953367879E-2</v>
      </c>
      <c r="AH127" s="35">
        <f t="shared" ref="AH127:AH137" si="332">AG127*$AK$125</f>
        <v>19.466321243523318</v>
      </c>
      <c r="AI127" s="87">
        <f t="shared" ref="AI127:AI137" si="333">AH127+AE127</f>
        <v>292.46632124352334</v>
      </c>
      <c r="AL127" s="1">
        <v>356002.45561449131</v>
      </c>
      <c r="AM127">
        <v>270</v>
      </c>
      <c r="AN127" s="13">
        <f t="shared" ref="AN127:AN137" si="334">AM127/SUM($AM$126:$AM$137)</f>
        <v>6.5661478599221793E-2</v>
      </c>
      <c r="AQ127">
        <f t="shared" ref="AQ127:AQ137" si="335">ROUND($AP$126*AN127,0)</f>
        <v>18</v>
      </c>
      <c r="AR127" s="90">
        <f t="shared" ref="AR127:AR137" si="336">AQ127+AM127</f>
        <v>288</v>
      </c>
      <c r="AS127">
        <v>274</v>
      </c>
      <c r="AT127" s="1">
        <v>363221.49254182022</v>
      </c>
      <c r="AU127" s="13">
        <f t="shared" ref="AU127:AU137" si="337">AT127/AL127-1</f>
        <v>2.0278053742264879E-2</v>
      </c>
      <c r="AV127" s="35">
        <v>258</v>
      </c>
      <c r="AW127" s="1">
        <v>377392.02542413888</v>
      </c>
      <c r="AX127" s="35">
        <v>280.420233463035</v>
      </c>
      <c r="AY127" s="121">
        <v>384344.72053598159</v>
      </c>
      <c r="AZ127" s="122">
        <v>261</v>
      </c>
      <c r="BA127" s="119">
        <v>388333.62993499212</v>
      </c>
      <c r="BB127">
        <v>298</v>
      </c>
      <c r="BC127" s="13">
        <f t="shared" ref="BC127:BC137" si="338">BA127/AY127-1</f>
        <v>1.0378468041522426E-2</v>
      </c>
      <c r="BD127">
        <v>296</v>
      </c>
      <c r="BE127" s="1">
        <v>392470.46171779209</v>
      </c>
      <c r="BF127" s="13">
        <f t="shared" si="315"/>
        <v>1.0652777570390848E-2</v>
      </c>
      <c r="BG127">
        <v>289</v>
      </c>
      <c r="BH127" s="1">
        <v>401878.61178575747</v>
      </c>
      <c r="BI127" s="13">
        <f t="shared" si="267"/>
        <v>2.3971613116531509E-2</v>
      </c>
      <c r="BJ127">
        <v>293</v>
      </c>
      <c r="BK127" s="1">
        <v>405158.22518587008</v>
      </c>
      <c r="BL127" s="13">
        <f t="shared" si="316"/>
        <v>8.1607065017457181E-3</v>
      </c>
      <c r="BM127" s="1">
        <v>413676.49797992269</v>
      </c>
      <c r="BN127" s="109">
        <f t="shared" si="317"/>
        <v>2.102455846760809E-2</v>
      </c>
      <c r="BO127">
        <v>280</v>
      </c>
      <c r="BP127" s="13">
        <f t="shared" si="318"/>
        <v>-4.4368600682593851E-2</v>
      </c>
      <c r="BQ127" s="1">
        <v>415346.93020961882</v>
      </c>
      <c r="BR127" s="13">
        <f t="shared" si="264"/>
        <v>4.0380157873440847E-3</v>
      </c>
      <c r="BS127">
        <v>288</v>
      </c>
      <c r="BT127" s="13">
        <f t="shared" si="265"/>
        <v>2.857142857142847E-2</v>
      </c>
      <c r="BU127" s="1">
        <v>426739.48917101382</v>
      </c>
      <c r="BV127" s="13">
        <f t="shared" si="319"/>
        <v>2.7429019291524304E-2</v>
      </c>
      <c r="BW127">
        <v>262</v>
      </c>
      <c r="BX127" s="13">
        <f t="shared" si="320"/>
        <v>-9.027777777777779E-2</v>
      </c>
      <c r="BY127" s="1">
        <v>425210.3955065959</v>
      </c>
      <c r="BZ127" s="13">
        <f t="shared" si="321"/>
        <v>-3.5832017031944829E-3</v>
      </c>
      <c r="CA127">
        <v>247</v>
      </c>
      <c r="CB127" s="13">
        <f t="shared" si="322"/>
        <v>-5.7251908396946605E-2</v>
      </c>
      <c r="CC127" s="1">
        <v>416839.03645848407</v>
      </c>
      <c r="CD127" s="13">
        <f t="shared" si="323"/>
        <v>-1.9687569110670933E-2</v>
      </c>
      <c r="CE127">
        <v>289</v>
      </c>
      <c r="CF127" s="13">
        <f t="shared" si="324"/>
        <v>0.17004048582995956</v>
      </c>
      <c r="CG127" s="1">
        <v>409059.3621647071</v>
      </c>
      <c r="CH127" s="13">
        <f t="shared" si="325"/>
        <v>-1.8663497449456834E-2</v>
      </c>
      <c r="CI127">
        <v>307</v>
      </c>
      <c r="CJ127" s="13">
        <f t="shared" si="326"/>
        <v>6.2283737024221519E-2</v>
      </c>
      <c r="CK127" s="1">
        <v>411459.96774450998</v>
      </c>
      <c r="CL127" s="13">
        <f t="shared" si="327"/>
        <v>5.8685995281932968E-3</v>
      </c>
      <c r="CM127">
        <v>322</v>
      </c>
      <c r="CN127" s="13">
        <f t="shared" si="328"/>
        <v>4.8859934853420217E-2</v>
      </c>
      <c r="CO127" s="1">
        <v>406998.66886645742</v>
      </c>
      <c r="CP127" s="13">
        <v>-1.0842607368361845E-2</v>
      </c>
      <c r="CQ127">
        <v>328</v>
      </c>
      <c r="CR127" s="13">
        <v>1.8633540372670732E-2</v>
      </c>
      <c r="CS127" s="1">
        <v>402478.91749277757</v>
      </c>
      <c r="CT127" s="13">
        <f t="shared" si="181"/>
        <v>-1.1105076550417037E-2</v>
      </c>
      <c r="CU127">
        <v>370</v>
      </c>
      <c r="CV127" s="13">
        <f t="shared" si="182"/>
        <v>0.12804878048780477</v>
      </c>
      <c r="CW127" s="1">
        <v>393099.09864939988</v>
      </c>
      <c r="CX127" s="13">
        <f t="shared" si="183"/>
        <v>-2.3305118443989081E-2</v>
      </c>
      <c r="CY127">
        <v>391</v>
      </c>
      <c r="CZ127" s="13">
        <f t="shared" si="184"/>
        <v>5.6756756756756843E-2</v>
      </c>
      <c r="DA127" s="1">
        <v>386588.34836226562</v>
      </c>
      <c r="DB127" s="13">
        <f t="shared" si="185"/>
        <v>-1.6562618203663448E-2</v>
      </c>
      <c r="DC127">
        <v>398</v>
      </c>
      <c r="DD127" s="13">
        <f t="shared" si="186"/>
        <v>1.7902813299232712E-2</v>
      </c>
      <c r="DE127" s="1">
        <v>387600.52228487958</v>
      </c>
      <c r="DF127" s="13">
        <f t="shared" si="187"/>
        <v>2.6182214929701964E-3</v>
      </c>
      <c r="DG127" s="1">
        <v>370</v>
      </c>
      <c r="DH127" s="13">
        <f t="shared" si="188"/>
        <v>-7.0351758793969821E-2</v>
      </c>
      <c r="DI127" s="1">
        <v>383927.87441092462</v>
      </c>
      <c r="DJ127" s="13">
        <f t="shared" si="189"/>
        <v>-9.4753429440831427E-3</v>
      </c>
      <c r="DK127" s="1">
        <v>341</v>
      </c>
      <c r="DL127" s="13">
        <f t="shared" si="190"/>
        <v>-7.8378378378378355E-2</v>
      </c>
      <c r="DM127" s="1">
        <v>386513.6352668028</v>
      </c>
      <c r="DN127" s="13">
        <f t="shared" si="191"/>
        <v>6.7350172473035208E-3</v>
      </c>
      <c r="DO127" s="1">
        <v>375</v>
      </c>
      <c r="DP127" s="13">
        <f t="shared" si="192"/>
        <v>9.9706744868035102E-2</v>
      </c>
      <c r="DQ127" s="1">
        <v>389317.69530105189</v>
      </c>
      <c r="DR127" s="13">
        <f t="shared" si="193"/>
        <v>7.2547506178235466E-3</v>
      </c>
      <c r="DS127">
        <v>380</v>
      </c>
      <c r="DT127" s="13">
        <f t="shared" si="194"/>
        <v>1.3333333333333419E-2</v>
      </c>
      <c r="DU127" s="1">
        <v>389640.23911571561</v>
      </c>
      <c r="DV127" s="13">
        <f t="shared" si="195"/>
        <v>8.2848485583042475E-4</v>
      </c>
      <c r="DW127">
        <v>360</v>
      </c>
      <c r="DX127" s="13">
        <f t="shared" si="196"/>
        <v>-5.2631578947368474E-2</v>
      </c>
      <c r="DY127" s="1">
        <v>388703.47855770012</v>
      </c>
      <c r="DZ127" s="13">
        <f t="shared" si="197"/>
        <v>-2.4041679066347799E-3</v>
      </c>
      <c r="EA127" s="1">
        <v>319</v>
      </c>
      <c r="EB127" s="13">
        <f t="shared" si="198"/>
        <v>-0.11388888888888893</v>
      </c>
      <c r="EC127" s="1">
        <v>433255.85819434113</v>
      </c>
      <c r="ED127" s="13">
        <f t="shared" si="199"/>
        <v>0.11461790823677309</v>
      </c>
      <c r="EE127" s="1">
        <f>IFERROR(VLOOKUP($A127,[1]Москва_продажа_районы!$C$2:$F$148,2,0),"")</f>
        <v>385</v>
      </c>
      <c r="EF127" s="13">
        <v>0.2068965517241379</v>
      </c>
      <c r="EG127" s="1">
        <v>405233.23687189817</v>
      </c>
      <c r="EH127" s="13">
        <f t="shared" si="200"/>
        <v>-6.4679151573925453E-2</v>
      </c>
      <c r="EI127" s="1">
        <f>IFERROR(VLOOKUP($A127,[2]Москва_продажа_районы!$C$2:$F$150,2,0),"")</f>
        <v>299</v>
      </c>
      <c r="EJ127" s="13">
        <v>-0.22337662337662334</v>
      </c>
      <c r="EK127" s="1">
        <v>408508.2979815813</v>
      </c>
      <c r="EL127" s="13">
        <f t="shared" si="201"/>
        <v>8.0819163180301246E-3</v>
      </c>
      <c r="EM127">
        <v>299</v>
      </c>
      <c r="EN127" s="13">
        <f t="shared" si="202"/>
        <v>0</v>
      </c>
      <c r="EO127" s="1">
        <v>414628.89066845068</v>
      </c>
      <c r="EP127" s="13">
        <f t="shared" si="203"/>
        <v>1.4982786682941063E-2</v>
      </c>
      <c r="EQ127">
        <v>276</v>
      </c>
      <c r="ER127" s="13">
        <f t="shared" si="204"/>
        <v>-7.6923076923076872E-2</v>
      </c>
      <c r="ES127" s="183">
        <v>420848.35998740047</v>
      </c>
      <c r="ET127" s="13">
        <f t="shared" si="205"/>
        <v>1.5000086725560635E-2</v>
      </c>
      <c r="EU127">
        <v>281</v>
      </c>
      <c r="EV127" s="13">
        <f t="shared" si="206"/>
        <v>1.8115942028985588E-2</v>
      </c>
      <c r="EW127" s="183">
        <v>431321.31103215861</v>
      </c>
      <c r="EX127" s="13">
        <f t="shared" si="207"/>
        <v>2.4885331726305582E-2</v>
      </c>
      <c r="EY127">
        <v>286</v>
      </c>
      <c r="EZ127" s="13">
        <f t="shared" si="208"/>
        <v>1.7793594306049876E-2</v>
      </c>
      <c r="FA127" s="1">
        <v>435471.32827529608</v>
      </c>
      <c r="FB127" s="13">
        <f t="shared" si="209"/>
        <v>9.6216373663671195E-3</v>
      </c>
      <c r="FC127" s="1">
        <v>249</v>
      </c>
      <c r="FD127" s="13">
        <f t="shared" si="210"/>
        <v>-0.12937062937062938</v>
      </c>
      <c r="FE127" s="1">
        <v>431798.53975449211</v>
      </c>
      <c r="FF127" s="13">
        <f t="shared" si="211"/>
        <v>-8.4340535928053573E-3</v>
      </c>
      <c r="FG127" s="1">
        <v>253</v>
      </c>
      <c r="FH127" s="13">
        <f t="shared" si="212"/>
        <v>1.6064257028112428E-2</v>
      </c>
      <c r="FI127" s="1">
        <v>436356.38569386472</v>
      </c>
      <c r="FJ127" s="13">
        <f t="shared" si="213"/>
        <v>1.0555491785507298E-2</v>
      </c>
      <c r="FK127" s="1">
        <v>277</v>
      </c>
      <c r="FL127" s="13">
        <f t="shared" si="214"/>
        <v>9.486166007905128E-2</v>
      </c>
      <c r="FM127" s="1">
        <v>440749.45168390108</v>
      </c>
      <c r="FN127" s="13">
        <f t="shared" si="215"/>
        <v>1.0067610178434272E-2</v>
      </c>
      <c r="FO127" s="1">
        <v>302</v>
      </c>
      <c r="FP127" s="13">
        <f t="shared" si="216"/>
        <v>9.0252707581227387E-2</v>
      </c>
      <c r="FQ127" s="1">
        <v>441951.14302160282</v>
      </c>
      <c r="FR127" s="13">
        <f t="shared" si="217"/>
        <v>2.7264726776417003E-3</v>
      </c>
      <c r="FS127">
        <v>315</v>
      </c>
      <c r="FT127" s="13">
        <f t="shared" si="218"/>
        <v>4.3046357615894149E-2</v>
      </c>
      <c r="FU127" s="1">
        <v>445203.14643303532</v>
      </c>
      <c r="FV127" s="13">
        <f t="shared" si="219"/>
        <v>7.3582871382540382E-3</v>
      </c>
      <c r="FW127" s="1">
        <v>287</v>
      </c>
      <c r="FX127" s="13">
        <f t="shared" si="220"/>
        <v>-8.8888888888888906E-2</v>
      </c>
      <c r="FY127" s="1">
        <v>448397.22278993431</v>
      </c>
      <c r="FZ127" s="13">
        <f t="shared" si="221"/>
        <v>7.1744244902354204E-3</v>
      </c>
      <c r="GA127" s="1">
        <v>298</v>
      </c>
      <c r="GB127" s="13">
        <f t="shared" si="222"/>
        <v>3.8327526132404088E-2</v>
      </c>
      <c r="GC127" s="1">
        <v>449374.30859963299</v>
      </c>
      <c r="GD127" s="13">
        <f t="shared" si="223"/>
        <v>2.1790630272400247E-3</v>
      </c>
      <c r="GE127" s="1">
        <v>307</v>
      </c>
      <c r="GF127" s="13">
        <f t="shared" si="224"/>
        <v>3.0201342281879207E-2</v>
      </c>
      <c r="GG127" s="1">
        <f>IFERROR(VLOOKUP(A127,[3]Москва_продажа_районы!$C$2:$F$149,3,0),"")</f>
        <v>449227.30321410211</v>
      </c>
      <c r="GH127" s="13">
        <v>-3.2713348920410112E-4</v>
      </c>
      <c r="GI127" s="1">
        <v>299</v>
      </c>
      <c r="GJ127" s="13">
        <f t="shared" si="225"/>
        <v>-2.6058631921824116E-2</v>
      </c>
      <c r="GK127" s="1">
        <v>453882.1222155604</v>
      </c>
      <c r="GL127" s="13">
        <f t="shared" si="226"/>
        <v>1.0361834572730322E-2</v>
      </c>
      <c r="GM127" s="1">
        <v>318</v>
      </c>
      <c r="GN127" s="13">
        <f t="shared" si="227"/>
        <v>6.3545150501672198E-2</v>
      </c>
      <c r="GO127" s="1">
        <v>449975.87861443061</v>
      </c>
      <c r="GP127" s="13">
        <f t="shared" si="228"/>
        <v>-8.6062953571778289E-3</v>
      </c>
      <c r="GQ127" s="1">
        <v>323.14000000000004</v>
      </c>
      <c r="GR127" s="13">
        <f t="shared" si="229"/>
        <v>1.6163522012578646E-2</v>
      </c>
      <c r="GS127" s="1">
        <v>452338.93206486822</v>
      </c>
      <c r="GT127" s="13">
        <f t="shared" si="329"/>
        <v>5.2515113870412744E-3</v>
      </c>
      <c r="GU127">
        <v>326</v>
      </c>
      <c r="GV127" s="13">
        <f t="shared" si="330"/>
        <v>8.8506529677536694E-3</v>
      </c>
      <c r="GW127">
        <v>457085.99927230319</v>
      </c>
      <c r="GX127" s="13">
        <f t="shared" si="230"/>
        <v>1.0494491786867011E-2</v>
      </c>
      <c r="GY127">
        <v>283</v>
      </c>
      <c r="GZ127" s="13">
        <f t="shared" si="231"/>
        <v>-0.13190184049079756</v>
      </c>
      <c r="HA127">
        <v>460717.21928543091</v>
      </c>
      <c r="HB127" s="13">
        <v>7.9442818614194888E-3</v>
      </c>
      <c r="HC127">
        <v>247</v>
      </c>
      <c r="HD127" s="13">
        <v>-0.12720848056537104</v>
      </c>
      <c r="HE127">
        <v>467877.52503968711</v>
      </c>
      <c r="HF127" s="13">
        <v>1.5541649963423998E-2</v>
      </c>
      <c r="HG127">
        <v>249</v>
      </c>
      <c r="HH127" s="13">
        <v>8.0971659919029104E-3</v>
      </c>
      <c r="HI127">
        <f>VLOOKUP(A127,[4]Москва_продажа_районы!$C$4:$F$151,3,0)</f>
        <v>472613.24372392142</v>
      </c>
      <c r="HJ127" s="13">
        <f t="shared" si="232"/>
        <v>1.0121705854181817E-2</v>
      </c>
      <c r="HK127">
        <f>VLOOKUP(A127,[4]Москва_продажа_районы!$C$4:$F$151,2,0)</f>
        <v>242</v>
      </c>
      <c r="HL127" s="13">
        <f t="shared" si="233"/>
        <v>-2.8112449799196804E-2</v>
      </c>
      <c r="HM127" s="1">
        <f>VLOOKUP(A127,Лист3!$C$4:$F$149,3,0)</f>
        <v>482330.49900617352</v>
      </c>
      <c r="HN127" s="13">
        <f t="shared" si="234"/>
        <v>2.0560691879232262E-2</v>
      </c>
      <c r="HO127">
        <f>VLOOKUP(A127,Лист3!$C$4:$F$149,2,0)</f>
        <v>228</v>
      </c>
      <c r="HP127" s="13">
        <f t="shared" si="235"/>
        <v>-5.7851239669421517E-2</v>
      </c>
      <c r="HQ127" s="1">
        <v>488704.69441596698</v>
      </c>
      <c r="HR127" s="13">
        <v>1.3215410227898294E-2</v>
      </c>
      <c r="HS127">
        <v>248</v>
      </c>
      <c r="HT127" s="13">
        <v>8.7719298245614086E-2</v>
      </c>
      <c r="HU127" s="34">
        <v>478778.87093269342</v>
      </c>
      <c r="HV127" s="13">
        <v>-2.0310472963914417E-2</v>
      </c>
      <c r="HW127">
        <v>243</v>
      </c>
      <c r="HX127" s="13">
        <v>-2.0161290322580627E-2</v>
      </c>
      <c r="HY127">
        <v>480111.21850593382</v>
      </c>
      <c r="HZ127" s="13">
        <v>2.7828036158841218E-3</v>
      </c>
      <c r="IA127">
        <v>245</v>
      </c>
      <c r="IB127" s="13">
        <v>8.2304526748970819E-3</v>
      </c>
      <c r="IC127" s="34">
        <v>482254.61099637329</v>
      </c>
      <c r="ID127" s="13">
        <v>4.4643666046995101E-3</v>
      </c>
      <c r="IE127">
        <v>259</v>
      </c>
      <c r="IF127" s="13">
        <v>5.7142857142857162E-2</v>
      </c>
    </row>
    <row r="128" spans="1:240" x14ac:dyDescent="0.3">
      <c r="A128" s="23" t="s">
        <v>130</v>
      </c>
      <c r="B128" s="22">
        <v>209091.17621999991</v>
      </c>
      <c r="C128">
        <v>370</v>
      </c>
      <c r="D128" s="22">
        <v>210247.48690911618</v>
      </c>
      <c r="E128">
        <v>362</v>
      </c>
      <c r="F128" s="22">
        <v>213488.07990976743</v>
      </c>
      <c r="G128">
        <v>215</v>
      </c>
      <c r="H128" s="22">
        <v>216171.32095610024</v>
      </c>
      <c r="I128">
        <v>253</v>
      </c>
      <c r="J128" s="22">
        <v>216593.70856665372</v>
      </c>
      <c r="K128">
        <v>326</v>
      </c>
      <c r="L128" s="22">
        <v>216252.60640789443</v>
      </c>
      <c r="M128">
        <v>348</v>
      </c>
      <c r="N128" s="22">
        <v>219262.40893179248</v>
      </c>
      <c r="O128" s="28">
        <v>347</v>
      </c>
      <c r="P128" s="39">
        <v>222912.82520049255</v>
      </c>
      <c r="Q128" s="28">
        <v>346</v>
      </c>
      <c r="R128" s="39">
        <v>228550.34742130543</v>
      </c>
      <c r="S128">
        <v>335</v>
      </c>
      <c r="T128" s="46">
        <v>235057.55409162448</v>
      </c>
      <c r="U128" s="47">
        <v>304</v>
      </c>
      <c r="V128" s="56">
        <v>239500.70250926071</v>
      </c>
      <c r="W128" s="47">
        <v>280</v>
      </c>
      <c r="X128" s="56">
        <v>240656.1190830534</v>
      </c>
      <c r="Y128" s="47">
        <v>263</v>
      </c>
      <c r="Z128" s="34">
        <v>242889.56280156013</v>
      </c>
      <c r="AA128" s="81">
        <v>297</v>
      </c>
      <c r="AB128" s="1">
        <v>254843.52026331949</v>
      </c>
      <c r="AC128">
        <v>335</v>
      </c>
      <c r="AD128" s="1">
        <v>256657.55386169499</v>
      </c>
      <c r="AE128">
        <v>308</v>
      </c>
      <c r="AF128" s="13">
        <f t="shared" si="180"/>
        <v>6.6490870207706276E-2</v>
      </c>
      <c r="AG128" s="85">
        <f t="shared" si="331"/>
        <v>7.599309153713299E-2</v>
      </c>
      <c r="AH128" s="35">
        <f t="shared" si="332"/>
        <v>21.962003454231436</v>
      </c>
      <c r="AI128" s="87">
        <f t="shared" si="333"/>
        <v>329.96200345423142</v>
      </c>
      <c r="AL128" s="1">
        <v>260027.3061821681</v>
      </c>
      <c r="AM128">
        <v>334</v>
      </c>
      <c r="AN128" s="13">
        <f t="shared" si="334"/>
        <v>8.1225680933852143E-2</v>
      </c>
      <c r="AQ128">
        <f t="shared" si="335"/>
        <v>22</v>
      </c>
      <c r="AR128" s="90">
        <f t="shared" si="336"/>
        <v>356</v>
      </c>
      <c r="AS128">
        <v>340</v>
      </c>
      <c r="AT128" s="1">
        <v>261953.35639254309</v>
      </c>
      <c r="AU128" s="13">
        <f t="shared" si="337"/>
        <v>7.4071075021084898E-3</v>
      </c>
      <c r="AV128" s="35">
        <v>268</v>
      </c>
      <c r="AW128" s="1">
        <v>262163.75928700512</v>
      </c>
      <c r="AX128" s="35">
        <v>291.2892347600519</v>
      </c>
      <c r="AY128" s="121">
        <v>267574.85598353337</v>
      </c>
      <c r="AZ128" s="122">
        <v>256</v>
      </c>
      <c r="BA128" s="119">
        <v>275095.95966565207</v>
      </c>
      <c r="BB128">
        <v>279</v>
      </c>
      <c r="BC128" s="13">
        <f t="shared" si="338"/>
        <v>2.8108409717621408E-2</v>
      </c>
      <c r="BD128">
        <v>308</v>
      </c>
      <c r="BE128" s="1">
        <v>280146.80831276509</v>
      </c>
      <c r="BF128" s="13">
        <f t="shared" si="315"/>
        <v>1.8360315626778867E-2</v>
      </c>
      <c r="BG128">
        <v>307</v>
      </c>
      <c r="BH128" s="1">
        <v>287017.52742020652</v>
      </c>
      <c r="BI128" s="13">
        <f t="shared" si="267"/>
        <v>2.4525423469293095E-2</v>
      </c>
      <c r="BJ128">
        <v>302</v>
      </c>
      <c r="BK128" s="1">
        <v>290860.96992675762</v>
      </c>
      <c r="BL128" s="13">
        <f t="shared" si="316"/>
        <v>1.3390967935293041E-2</v>
      </c>
      <c r="BM128" s="1">
        <v>296447.99473738013</v>
      </c>
      <c r="BN128" s="109">
        <f t="shared" si="317"/>
        <v>1.9208575189821442E-2</v>
      </c>
      <c r="BO128">
        <v>279</v>
      </c>
      <c r="BP128" s="13">
        <f t="shared" si="318"/>
        <v>-7.6158940397350938E-2</v>
      </c>
      <c r="BQ128" s="1">
        <v>299437.83686997212</v>
      </c>
      <c r="BR128" s="13">
        <f t="shared" si="264"/>
        <v>1.00855535732014E-2</v>
      </c>
      <c r="BS128">
        <v>285</v>
      </c>
      <c r="BT128" s="13">
        <f t="shared" si="265"/>
        <v>2.1505376344086002E-2</v>
      </c>
      <c r="BU128" s="1">
        <v>314489.86089799489</v>
      </c>
      <c r="BV128" s="13">
        <f t="shared" si="319"/>
        <v>5.0267608747651238E-2</v>
      </c>
      <c r="BW128">
        <v>253</v>
      </c>
      <c r="BX128" s="13">
        <f t="shared" si="320"/>
        <v>-0.11228070175438598</v>
      </c>
      <c r="BY128" s="1">
        <v>316804.77188398503</v>
      </c>
      <c r="BZ128" s="13">
        <f t="shared" si="321"/>
        <v>7.3608445734312244E-3</v>
      </c>
      <c r="CA128">
        <v>244</v>
      </c>
      <c r="CB128" s="13">
        <f t="shared" si="322"/>
        <v>-3.5573122529644285E-2</v>
      </c>
      <c r="CC128" s="1">
        <v>314274.84855658689</v>
      </c>
      <c r="CD128" s="13">
        <f t="shared" si="323"/>
        <v>-7.9857488015508959E-3</v>
      </c>
      <c r="CE128">
        <v>292</v>
      </c>
      <c r="CF128" s="13">
        <f t="shared" si="324"/>
        <v>0.19672131147540983</v>
      </c>
      <c r="CG128" s="1">
        <v>306534.59908256249</v>
      </c>
      <c r="CH128" s="13">
        <f t="shared" si="325"/>
        <v>-2.4628917998287481E-2</v>
      </c>
      <c r="CI128">
        <v>340</v>
      </c>
      <c r="CJ128" s="13">
        <f t="shared" si="326"/>
        <v>0.16438356164383561</v>
      </c>
      <c r="CK128" s="1">
        <v>304207.94491514482</v>
      </c>
      <c r="CL128" s="13">
        <f t="shared" si="327"/>
        <v>-7.5901845154876524E-3</v>
      </c>
      <c r="CM128">
        <v>369</v>
      </c>
      <c r="CN128" s="13">
        <f t="shared" si="328"/>
        <v>8.5294117647058743E-2</v>
      </c>
      <c r="CO128" s="1">
        <v>304637.48071467358</v>
      </c>
      <c r="CP128" s="13">
        <v>1.411980872651375E-3</v>
      </c>
      <c r="CQ128">
        <v>391</v>
      </c>
      <c r="CR128" s="13">
        <v>5.9620596205962162E-2</v>
      </c>
      <c r="CS128" s="1">
        <v>305321.97804963088</v>
      </c>
      <c r="CT128" s="13">
        <f t="shared" si="181"/>
        <v>2.2469242240037435E-3</v>
      </c>
      <c r="CU128">
        <v>439</v>
      </c>
      <c r="CV128" s="13">
        <f t="shared" si="182"/>
        <v>0.1227621483375958</v>
      </c>
      <c r="CW128" s="1">
        <v>298492.52372111159</v>
      </c>
      <c r="CX128" s="13">
        <f t="shared" si="183"/>
        <v>-2.2368040362325758E-2</v>
      </c>
      <c r="CY128">
        <v>451</v>
      </c>
      <c r="CZ128" s="13">
        <f t="shared" si="184"/>
        <v>2.7334851936218652E-2</v>
      </c>
      <c r="DA128" s="1">
        <v>292909.95806958951</v>
      </c>
      <c r="DB128" s="13">
        <f t="shared" si="185"/>
        <v>-1.8702530910750692E-2</v>
      </c>
      <c r="DC128">
        <v>445</v>
      </c>
      <c r="DD128" s="13">
        <f t="shared" si="186"/>
        <v>-1.3303769401330379E-2</v>
      </c>
      <c r="DE128" s="1">
        <v>288249.46671090671</v>
      </c>
      <c r="DF128" s="13">
        <f t="shared" si="187"/>
        <v>-1.5911003468088158E-2</v>
      </c>
      <c r="DG128" s="1">
        <v>447</v>
      </c>
      <c r="DH128" s="13">
        <f t="shared" si="188"/>
        <v>4.4943820224718767E-3</v>
      </c>
      <c r="DI128" s="1">
        <v>289429.71609913872</v>
      </c>
      <c r="DJ128" s="13">
        <f t="shared" si="189"/>
        <v>4.0945414459889751E-3</v>
      </c>
      <c r="DK128" s="1">
        <v>426</v>
      </c>
      <c r="DL128" s="13">
        <f t="shared" si="190"/>
        <v>-4.6979865771812124E-2</v>
      </c>
      <c r="DM128" s="1">
        <v>289854.56074227602</v>
      </c>
      <c r="DN128" s="13">
        <f t="shared" si="191"/>
        <v>1.4678680850854775E-3</v>
      </c>
      <c r="DO128" s="1">
        <v>430</v>
      </c>
      <c r="DP128" s="13">
        <f t="shared" si="192"/>
        <v>9.3896713615022609E-3</v>
      </c>
      <c r="DQ128" s="1">
        <v>290024.83103046648</v>
      </c>
      <c r="DR128" s="13">
        <f t="shared" si="193"/>
        <v>5.8743353133516862E-4</v>
      </c>
      <c r="DS128">
        <v>448</v>
      </c>
      <c r="DT128" s="13">
        <f t="shared" si="194"/>
        <v>4.1860465116279055E-2</v>
      </c>
      <c r="DU128" s="1">
        <v>292417.14849237929</v>
      </c>
      <c r="DV128" s="13">
        <f t="shared" si="195"/>
        <v>8.2486642726860016E-3</v>
      </c>
      <c r="DW128">
        <v>422</v>
      </c>
      <c r="DX128" s="13">
        <f t="shared" si="196"/>
        <v>-5.8035714285714302E-2</v>
      </c>
      <c r="DY128" s="1">
        <v>296385.47936659813</v>
      </c>
      <c r="DZ128" s="13">
        <f t="shared" si="197"/>
        <v>1.3570787126125916E-2</v>
      </c>
      <c r="EA128" s="1">
        <v>391</v>
      </c>
      <c r="EB128" s="13">
        <f t="shared" si="198"/>
        <v>-7.3459715639810463E-2</v>
      </c>
      <c r="EC128" s="1">
        <v>297275.02210147609</v>
      </c>
      <c r="ED128" s="13">
        <f t="shared" si="199"/>
        <v>3.0013033593243588E-3</v>
      </c>
      <c r="EE128" s="1">
        <f>IFERROR(VLOOKUP($A128,[1]Москва_продажа_районы!$C$2:$F$148,2,0),"")</f>
        <v>361</v>
      </c>
      <c r="EF128" s="13">
        <v>-7.6726342710997431E-2</v>
      </c>
      <c r="EG128" s="1">
        <v>303752.32963597722</v>
      </c>
      <c r="EH128" s="13">
        <f t="shared" si="200"/>
        <v>2.1788939712163558E-2</v>
      </c>
      <c r="EI128" s="1">
        <f>IFERROR(VLOOKUP($A128,[2]Москва_продажа_районы!$C$2:$F$150,2,0),"")</f>
        <v>323</v>
      </c>
      <c r="EJ128" s="13">
        <v>-0.10526315789473684</v>
      </c>
      <c r="EK128" s="1">
        <v>313241.52511090622</v>
      </c>
      <c r="EL128" s="13">
        <f t="shared" si="201"/>
        <v>3.1239910114602365E-2</v>
      </c>
      <c r="EM128">
        <v>280</v>
      </c>
      <c r="EN128" s="13">
        <f t="shared" si="202"/>
        <v>-0.13312693498452011</v>
      </c>
      <c r="EO128" s="1">
        <v>314754.44884532929</v>
      </c>
      <c r="EP128" s="13">
        <f t="shared" si="203"/>
        <v>4.8298951867489226E-3</v>
      </c>
      <c r="EQ128">
        <v>277</v>
      </c>
      <c r="ER128" s="13">
        <f t="shared" si="204"/>
        <v>-1.0714285714285676E-2</v>
      </c>
      <c r="ES128" s="183">
        <v>320558.5863506156</v>
      </c>
      <c r="ET128" s="13">
        <f t="shared" si="205"/>
        <v>1.8440207998897895E-2</v>
      </c>
      <c r="EU128">
        <v>275</v>
      </c>
      <c r="EV128" s="13">
        <f t="shared" si="206"/>
        <v>-7.2202166064981865E-3</v>
      </c>
      <c r="EW128" s="183">
        <v>318862.75237304787</v>
      </c>
      <c r="EX128" s="13">
        <f t="shared" si="207"/>
        <v>-5.2902466187971786E-3</v>
      </c>
      <c r="EY128">
        <v>309</v>
      </c>
      <c r="EZ128" s="13">
        <f t="shared" si="208"/>
        <v>0.12363636363636354</v>
      </c>
      <c r="FA128" s="1">
        <v>322431.69954887312</v>
      </c>
      <c r="FB128" s="13">
        <f t="shared" si="209"/>
        <v>1.1192737782209861E-2</v>
      </c>
      <c r="FC128" s="1">
        <v>294</v>
      </c>
      <c r="FD128" s="13">
        <f t="shared" si="210"/>
        <v>-4.8543689320388328E-2</v>
      </c>
      <c r="FE128" s="1">
        <v>328185.64699329052</v>
      </c>
      <c r="FF128" s="13">
        <f t="shared" si="211"/>
        <v>1.7845476894697399E-2</v>
      </c>
      <c r="FG128" s="1">
        <v>297</v>
      </c>
      <c r="FH128" s="13">
        <f t="shared" si="212"/>
        <v>1.0204081632652962E-2</v>
      </c>
      <c r="FI128" s="1">
        <v>328062.08410278079</v>
      </c>
      <c r="FJ128" s="13">
        <f t="shared" si="213"/>
        <v>-3.7650303004344021E-4</v>
      </c>
      <c r="FK128" s="1">
        <v>325</v>
      </c>
      <c r="FL128" s="13">
        <f t="shared" si="214"/>
        <v>9.4276094276094291E-2</v>
      </c>
      <c r="FM128" s="1">
        <v>327507.76697507151</v>
      </c>
      <c r="FN128" s="13">
        <f t="shared" si="215"/>
        <v>-1.6896714206559027E-3</v>
      </c>
      <c r="FO128" s="1">
        <v>350</v>
      </c>
      <c r="FP128" s="13">
        <f t="shared" si="216"/>
        <v>7.6923076923076872E-2</v>
      </c>
      <c r="FQ128" s="1">
        <v>328454.4352737242</v>
      </c>
      <c r="FR128" s="13">
        <f t="shared" si="217"/>
        <v>2.8905216734134154E-3</v>
      </c>
      <c r="FS128">
        <v>346</v>
      </c>
      <c r="FT128" s="13">
        <f t="shared" si="218"/>
        <v>-1.1428571428571455E-2</v>
      </c>
      <c r="FU128" s="1">
        <v>332193.53646137437</v>
      </c>
      <c r="FV128" s="13">
        <f t="shared" si="219"/>
        <v>1.1383926615373907E-2</v>
      </c>
      <c r="FW128" s="1">
        <v>352</v>
      </c>
      <c r="FX128" s="13">
        <f t="shared" si="220"/>
        <v>1.7341040462427681E-2</v>
      </c>
      <c r="FY128" s="1">
        <v>330448.55033981428</v>
      </c>
      <c r="FZ128" s="13">
        <f t="shared" si="221"/>
        <v>-5.252920150549012E-3</v>
      </c>
      <c r="GA128" s="1">
        <v>372</v>
      </c>
      <c r="GB128" s="13">
        <f t="shared" si="222"/>
        <v>5.6818181818181879E-2</v>
      </c>
      <c r="GC128" s="1">
        <v>329592.61654787662</v>
      </c>
      <c r="GD128" s="13">
        <f t="shared" si="223"/>
        <v>-2.5902180265504615E-3</v>
      </c>
      <c r="GE128" s="1">
        <v>373</v>
      </c>
      <c r="GF128" s="13">
        <f t="shared" si="224"/>
        <v>2.6881720430107503E-3</v>
      </c>
      <c r="GG128" s="1">
        <f>IFERROR(VLOOKUP(A128,[3]Москва_продажа_районы!$C$2:$F$149,3,0),"")</f>
        <v>329217.02828077832</v>
      </c>
      <c r="GH128" s="13">
        <v>-1.1395530368130125E-3</v>
      </c>
      <c r="GI128" s="1">
        <v>367</v>
      </c>
      <c r="GJ128" s="13">
        <f t="shared" si="225"/>
        <v>-1.6085790884718509E-2</v>
      </c>
      <c r="GK128" s="1">
        <v>327566.11269816698</v>
      </c>
      <c r="GL128" s="13">
        <f t="shared" si="226"/>
        <v>-5.0146725132435011E-3</v>
      </c>
      <c r="GM128" s="1">
        <v>368</v>
      </c>
      <c r="GN128" s="13">
        <f t="shared" si="227"/>
        <v>2.7247956403269047E-3</v>
      </c>
      <c r="GO128" s="1">
        <v>329108.99881820712</v>
      </c>
      <c r="GP128" s="13">
        <f t="shared" si="228"/>
        <v>4.7101518143355392E-3</v>
      </c>
      <c r="GQ128" s="1">
        <v>372.36</v>
      </c>
      <c r="GR128" s="13">
        <f t="shared" si="229"/>
        <v>1.1847826086956559E-2</v>
      </c>
      <c r="GS128" s="1">
        <v>330999.42061653809</v>
      </c>
      <c r="GT128" s="13">
        <f t="shared" si="329"/>
        <v>5.7440598862967818E-3</v>
      </c>
      <c r="GU128">
        <v>359</v>
      </c>
      <c r="GV128" s="13">
        <f t="shared" si="330"/>
        <v>-3.5879256633365553E-2</v>
      </c>
      <c r="GW128">
        <v>329312.28533097758</v>
      </c>
      <c r="GX128" s="13">
        <f t="shared" si="230"/>
        <v>-5.09709437683592E-3</v>
      </c>
      <c r="GY128">
        <v>317</v>
      </c>
      <c r="GZ128" s="13">
        <f t="shared" si="231"/>
        <v>-0.11699164345403901</v>
      </c>
      <c r="HA128">
        <v>331262.34001153999</v>
      </c>
      <c r="HB128" s="13">
        <v>5.9215971205037743E-3</v>
      </c>
      <c r="HC128">
        <v>286</v>
      </c>
      <c r="HD128" s="13">
        <v>-9.7791798107255468E-2</v>
      </c>
      <c r="HE128">
        <v>335082.27992988192</v>
      </c>
      <c r="HF128" s="13">
        <v>1.1531464513016676E-2</v>
      </c>
      <c r="HG128">
        <v>294</v>
      </c>
      <c r="HH128" s="13">
        <v>2.7972027972027913E-2</v>
      </c>
      <c r="HI128">
        <f>VLOOKUP(A128,[4]Москва_продажа_районы!$C$4:$F$151,3,0)</f>
        <v>338725.74970672588</v>
      </c>
      <c r="HJ128" s="13">
        <f t="shared" si="232"/>
        <v>1.0873358560191226E-2</v>
      </c>
      <c r="HK128">
        <f>VLOOKUP(A128,[4]Москва_продажа_районы!$C$4:$F$151,2,0)</f>
        <v>287</v>
      </c>
      <c r="HL128" s="13">
        <f t="shared" si="233"/>
        <v>-2.3809523809523836E-2</v>
      </c>
      <c r="HM128" s="1">
        <f>VLOOKUP(A128,Лист3!$C$4:$F$149,3,0)</f>
        <v>341592.68515358318</v>
      </c>
      <c r="HN128" s="13">
        <f t="shared" si="234"/>
        <v>8.46388398088882E-3</v>
      </c>
      <c r="HO128">
        <f>VLOOKUP(A128,Лист3!$C$4:$F$149,2,0)</f>
        <v>271</v>
      </c>
      <c r="HP128" s="13">
        <f t="shared" si="235"/>
        <v>-5.5749128919860613E-2</v>
      </c>
      <c r="HQ128" s="1">
        <v>344751.30953848409</v>
      </c>
      <c r="HR128" s="13">
        <v>9.2467565090885717E-3</v>
      </c>
      <c r="HS128">
        <v>278</v>
      </c>
      <c r="HT128" s="13">
        <v>2.583025830258312E-2</v>
      </c>
      <c r="HU128" s="34">
        <v>345561.77487606351</v>
      </c>
      <c r="HV128" s="13">
        <v>2.3508694968104038E-3</v>
      </c>
      <c r="HW128">
        <v>252</v>
      </c>
      <c r="HX128" s="13">
        <v>-9.3525179856115082E-2</v>
      </c>
      <c r="HY128">
        <v>346861.25550299609</v>
      </c>
      <c r="HZ128" s="13">
        <v>3.760487187561834E-3</v>
      </c>
      <c r="IA128">
        <v>268</v>
      </c>
      <c r="IB128" s="13">
        <v>6.3492063492063489E-2</v>
      </c>
      <c r="IC128" s="34">
        <v>348627.85453649593</v>
      </c>
      <c r="ID128" s="13">
        <v>5.0930999224403362E-3</v>
      </c>
      <c r="IE128">
        <v>249</v>
      </c>
      <c r="IF128" s="13">
        <v>-7.089552238805974E-2</v>
      </c>
    </row>
    <row r="129" spans="1:240" x14ac:dyDescent="0.3">
      <c r="A129" s="23" t="s">
        <v>131</v>
      </c>
      <c r="B129" s="22">
        <v>209686.88657964588</v>
      </c>
      <c r="C129">
        <v>452</v>
      </c>
      <c r="D129" s="22">
        <v>213941.72736550978</v>
      </c>
      <c r="E129">
        <v>461</v>
      </c>
      <c r="F129" s="22">
        <v>218595.09376258057</v>
      </c>
      <c r="G129">
        <v>310</v>
      </c>
      <c r="H129" s="22">
        <v>220677.6422203308</v>
      </c>
      <c r="I129">
        <v>325</v>
      </c>
      <c r="J129" s="22">
        <v>219141.65235714003</v>
      </c>
      <c r="K129">
        <v>421</v>
      </c>
      <c r="L129" s="22">
        <v>221045.00329863292</v>
      </c>
      <c r="M129">
        <v>435</v>
      </c>
      <c r="N129" s="22">
        <v>223158.12306241799</v>
      </c>
      <c r="O129" s="28">
        <v>469</v>
      </c>
      <c r="P129" s="39">
        <v>226424.48614724699</v>
      </c>
      <c r="Q129" s="28">
        <v>431</v>
      </c>
      <c r="R129" s="39">
        <v>229410.9894682942</v>
      </c>
      <c r="S129">
        <v>389</v>
      </c>
      <c r="T129" s="46">
        <v>237920.84333860016</v>
      </c>
      <c r="U129" s="47">
        <v>349</v>
      </c>
      <c r="V129" s="56">
        <v>239073.5061306752</v>
      </c>
      <c r="W129" s="47">
        <v>322</v>
      </c>
      <c r="X129" s="56">
        <v>243998.6096308819</v>
      </c>
      <c r="Y129" s="47">
        <v>275</v>
      </c>
      <c r="Z129" s="34">
        <v>244701</v>
      </c>
      <c r="AA129" s="81">
        <v>338</v>
      </c>
      <c r="AB129" s="1">
        <v>249623.12519588869</v>
      </c>
      <c r="AC129">
        <v>402</v>
      </c>
      <c r="AD129" s="1">
        <v>257792.37265116829</v>
      </c>
      <c r="AE129">
        <v>380</v>
      </c>
      <c r="AF129" s="13">
        <f t="shared" si="180"/>
        <v>5.6532137790266335E-2</v>
      </c>
      <c r="AG129" s="85">
        <f t="shared" si="331"/>
        <v>9.3757710338021216E-2</v>
      </c>
      <c r="AH129" s="35">
        <f t="shared" si="332"/>
        <v>27.09597828768813</v>
      </c>
      <c r="AI129" s="87">
        <f t="shared" si="333"/>
        <v>407.09597828768813</v>
      </c>
      <c r="AL129" s="1">
        <v>258065.68030091969</v>
      </c>
      <c r="AM129">
        <v>385</v>
      </c>
      <c r="AN129" s="13">
        <f t="shared" si="334"/>
        <v>9.3628404669260701E-2</v>
      </c>
      <c r="AQ129">
        <f t="shared" si="335"/>
        <v>25</v>
      </c>
      <c r="AR129" s="90">
        <f t="shared" si="336"/>
        <v>410</v>
      </c>
      <c r="AS129">
        <v>346</v>
      </c>
      <c r="AT129" s="1">
        <v>259581.4599550993</v>
      </c>
      <c r="AU129" s="13">
        <f t="shared" si="337"/>
        <v>5.8736196630722048E-3</v>
      </c>
      <c r="AV129" s="35">
        <v>334</v>
      </c>
      <c r="AW129" s="1">
        <v>264407.72907989583</v>
      </c>
      <c r="AX129" s="35">
        <v>363.02464332036317</v>
      </c>
      <c r="AY129" s="121">
        <v>270756.12430202239</v>
      </c>
      <c r="AZ129" s="122">
        <v>334</v>
      </c>
      <c r="BA129" s="119">
        <v>279592.47947475943</v>
      </c>
      <c r="BB129">
        <v>416</v>
      </c>
      <c r="BC129" s="13">
        <f t="shared" si="338"/>
        <v>3.2635845986923151E-2</v>
      </c>
      <c r="BD129">
        <v>458</v>
      </c>
      <c r="BE129" s="1">
        <v>283897.94172675587</v>
      </c>
      <c r="BF129" s="13">
        <f t="shared" si="315"/>
        <v>1.539906316537798E-2</v>
      </c>
      <c r="BG129">
        <v>414</v>
      </c>
      <c r="BH129" s="1">
        <v>286125.85395733692</v>
      </c>
      <c r="BI129" s="13">
        <f t="shared" si="267"/>
        <v>7.8475814830858415E-3</v>
      </c>
      <c r="BJ129">
        <v>363</v>
      </c>
      <c r="BK129" s="1">
        <v>289887.90737974248</v>
      </c>
      <c r="BL129" s="13">
        <f t="shared" si="316"/>
        <v>1.3148247075101871E-2</v>
      </c>
      <c r="BM129" s="1">
        <v>293176.38554842159</v>
      </c>
      <c r="BN129" s="109">
        <f t="shared" si="317"/>
        <v>1.1343964632409831E-2</v>
      </c>
      <c r="BO129">
        <v>328</v>
      </c>
      <c r="BP129" s="13">
        <f t="shared" si="318"/>
        <v>-9.6418732782369121E-2</v>
      </c>
      <c r="BQ129" s="1">
        <v>300375.85985248617</v>
      </c>
      <c r="BR129" s="13">
        <f t="shared" si="264"/>
        <v>2.4556801498855751E-2</v>
      </c>
      <c r="BS129">
        <v>348</v>
      </c>
      <c r="BT129" s="13">
        <f t="shared" si="265"/>
        <v>6.0975609756097615E-2</v>
      </c>
      <c r="BU129" s="1">
        <v>316972.66342619242</v>
      </c>
      <c r="BV129" s="13">
        <f t="shared" si="319"/>
        <v>5.5253453396211238E-2</v>
      </c>
      <c r="BW129">
        <v>341</v>
      </c>
      <c r="BX129" s="13">
        <f t="shared" si="320"/>
        <v>-2.011494252873558E-2</v>
      </c>
      <c r="BY129" s="1">
        <v>317853.58405592362</v>
      </c>
      <c r="BZ129" s="13">
        <f t="shared" si="321"/>
        <v>2.7791690936664892E-3</v>
      </c>
      <c r="CA129">
        <v>298</v>
      </c>
      <c r="CB129" s="13">
        <f t="shared" si="322"/>
        <v>-0.12609970674486803</v>
      </c>
      <c r="CC129" s="1">
        <v>310275.62087029353</v>
      </c>
      <c r="CD129" s="13">
        <f t="shared" si="323"/>
        <v>-2.3841049985759533E-2</v>
      </c>
      <c r="CE129">
        <v>336</v>
      </c>
      <c r="CF129" s="13">
        <f t="shared" si="324"/>
        <v>0.12751677852348986</v>
      </c>
      <c r="CG129" s="1">
        <v>303785.82380735333</v>
      </c>
      <c r="CH129" s="13">
        <f t="shared" si="325"/>
        <v>-2.0916232621618569E-2</v>
      </c>
      <c r="CI129">
        <v>408</v>
      </c>
      <c r="CJ129" s="13">
        <f t="shared" si="326"/>
        <v>0.21428571428571419</v>
      </c>
      <c r="CK129" s="1">
        <v>305051.18201848661</v>
      </c>
      <c r="CL129" s="13">
        <f t="shared" si="327"/>
        <v>4.1652971006826967E-3</v>
      </c>
      <c r="CM129">
        <v>463</v>
      </c>
      <c r="CN129" s="13">
        <f t="shared" si="328"/>
        <v>0.13480392156862742</v>
      </c>
      <c r="CO129" s="1">
        <v>303016.02570156782</v>
      </c>
      <c r="CP129" s="13">
        <v>-6.6715241142565329E-3</v>
      </c>
      <c r="CQ129">
        <v>472</v>
      </c>
      <c r="CR129" s="13">
        <v>1.9438444924406051E-2</v>
      </c>
      <c r="CS129" s="1">
        <v>298718.16897971177</v>
      </c>
      <c r="CT129" s="13">
        <f t="shared" si="181"/>
        <v>-1.418359544484582E-2</v>
      </c>
      <c r="CU129">
        <v>534</v>
      </c>
      <c r="CV129" s="13">
        <f t="shared" si="182"/>
        <v>0.13135593220338992</v>
      </c>
      <c r="CW129" s="1">
        <v>294933.73861412139</v>
      </c>
      <c r="CX129" s="13">
        <f t="shared" si="183"/>
        <v>-1.2668899178501003E-2</v>
      </c>
      <c r="CY129">
        <v>555</v>
      </c>
      <c r="CZ129" s="13">
        <f t="shared" si="184"/>
        <v>3.9325842696629199E-2</v>
      </c>
      <c r="DA129" s="1">
        <v>291337.05136627168</v>
      </c>
      <c r="DB129" s="13">
        <f t="shared" si="185"/>
        <v>-1.2194899317895525E-2</v>
      </c>
      <c r="DC129">
        <v>556</v>
      </c>
      <c r="DD129" s="13">
        <f t="shared" si="186"/>
        <v>1.8018018018017834E-3</v>
      </c>
      <c r="DE129" s="1">
        <v>289086.29105919332</v>
      </c>
      <c r="DF129" s="13">
        <f t="shared" si="187"/>
        <v>-7.725623282459515E-3</v>
      </c>
      <c r="DG129" s="1">
        <v>519</v>
      </c>
      <c r="DH129" s="13">
        <f t="shared" si="188"/>
        <v>-6.6546762589928088E-2</v>
      </c>
      <c r="DI129" s="1">
        <v>290513.51403964468</v>
      </c>
      <c r="DJ129" s="13">
        <f t="shared" si="189"/>
        <v>4.9370137034936423E-3</v>
      </c>
      <c r="DK129" s="1">
        <v>496</v>
      </c>
      <c r="DL129" s="13">
        <f t="shared" si="190"/>
        <v>-4.4315992292870865E-2</v>
      </c>
      <c r="DM129" s="1">
        <v>290294.97446790809</v>
      </c>
      <c r="DN129" s="13">
        <f t="shared" si="191"/>
        <v>-7.5225268765555242E-4</v>
      </c>
      <c r="DO129" s="1">
        <v>522</v>
      </c>
      <c r="DP129" s="13">
        <f t="shared" si="192"/>
        <v>5.2419354838709742E-2</v>
      </c>
      <c r="DQ129" s="1">
        <v>288684.45309125661</v>
      </c>
      <c r="DR129" s="13">
        <f t="shared" si="193"/>
        <v>-5.5478789448679677E-3</v>
      </c>
      <c r="DS129">
        <v>568</v>
      </c>
      <c r="DT129" s="13">
        <f t="shared" si="194"/>
        <v>8.8122605363984752E-2</v>
      </c>
      <c r="DU129" s="1">
        <v>289291.54275725002</v>
      </c>
      <c r="DV129" s="13">
        <f t="shared" si="195"/>
        <v>2.1029524087377016E-3</v>
      </c>
      <c r="DW129">
        <v>537</v>
      </c>
      <c r="DX129" s="13">
        <f t="shared" si="196"/>
        <v>-5.4577464788732377E-2</v>
      </c>
      <c r="DY129" s="1">
        <v>292628.60969822481</v>
      </c>
      <c r="DZ129" s="13">
        <f t="shared" si="197"/>
        <v>1.1535307631771907E-2</v>
      </c>
      <c r="EA129" s="1">
        <v>525</v>
      </c>
      <c r="EB129" s="13">
        <f t="shared" si="198"/>
        <v>-2.2346368715083775E-2</v>
      </c>
      <c r="EC129" s="1">
        <v>291918.62614221871</v>
      </c>
      <c r="ED129" s="13">
        <f t="shared" si="199"/>
        <v>-2.4262274175388399E-3</v>
      </c>
      <c r="EE129" s="1">
        <f>IFERROR(VLOOKUP($A129,[1]Москва_продажа_районы!$C$2:$F$148,2,0),"")</f>
        <v>498</v>
      </c>
      <c r="EF129" s="13">
        <v>-5.1428571428571379E-2</v>
      </c>
      <c r="EG129" s="1">
        <v>294277.18925145699</v>
      </c>
      <c r="EH129" s="13">
        <f t="shared" si="200"/>
        <v>8.079522503950276E-3</v>
      </c>
      <c r="EI129" s="1">
        <f>IFERROR(VLOOKUP($A129,[2]Москва_продажа_районы!$C$2:$F$150,2,0),"")</f>
        <v>430</v>
      </c>
      <c r="EJ129" s="13">
        <v>-0.13654618473895586</v>
      </c>
      <c r="EK129" s="1">
        <v>300466.20892490819</v>
      </c>
      <c r="EL129" s="13">
        <f t="shared" si="201"/>
        <v>2.1031258621145632E-2</v>
      </c>
      <c r="EM129">
        <v>406</v>
      </c>
      <c r="EN129" s="13">
        <f t="shared" si="202"/>
        <v>-5.5813953488372148E-2</v>
      </c>
      <c r="EO129" s="1">
        <v>304039.92798303353</v>
      </c>
      <c r="EP129" s="13">
        <f t="shared" si="203"/>
        <v>1.1893913365208064E-2</v>
      </c>
      <c r="EQ129">
        <v>381</v>
      </c>
      <c r="ER129" s="13">
        <f t="shared" si="204"/>
        <v>-6.1576354679802936E-2</v>
      </c>
      <c r="ES129" s="183">
        <v>308590.09403246659</v>
      </c>
      <c r="ET129" s="13">
        <f t="shared" si="205"/>
        <v>1.4965685854546606E-2</v>
      </c>
      <c r="EU129">
        <v>405</v>
      </c>
      <c r="EV129" s="13">
        <f t="shared" si="206"/>
        <v>6.2992125984252079E-2</v>
      </c>
      <c r="EW129" s="183">
        <v>315015.44938500231</v>
      </c>
      <c r="EX129" s="13">
        <f t="shared" si="207"/>
        <v>2.0821651364673066E-2</v>
      </c>
      <c r="EY129">
        <v>412</v>
      </c>
      <c r="EZ129" s="13">
        <f t="shared" si="208"/>
        <v>1.7283950617283939E-2</v>
      </c>
      <c r="FA129" s="1">
        <v>315620.50804662239</v>
      </c>
      <c r="FB129" s="13">
        <f t="shared" si="209"/>
        <v>1.9207269446668285E-3</v>
      </c>
      <c r="FC129" s="1">
        <v>351</v>
      </c>
      <c r="FD129" s="13">
        <f t="shared" si="210"/>
        <v>-0.14805825242718451</v>
      </c>
      <c r="FE129" s="1">
        <v>317909.21034291678</v>
      </c>
      <c r="FF129" s="13">
        <f t="shared" si="211"/>
        <v>7.2514372100189739E-3</v>
      </c>
      <c r="FG129" s="1">
        <v>355</v>
      </c>
      <c r="FH129" s="13">
        <f t="shared" si="212"/>
        <v>1.139601139601143E-2</v>
      </c>
      <c r="FI129" s="1">
        <v>318202.02295189141</v>
      </c>
      <c r="FJ129" s="13">
        <f t="shared" si="213"/>
        <v>9.2105733161607084E-4</v>
      </c>
      <c r="FK129" s="1">
        <v>446</v>
      </c>
      <c r="FL129" s="13">
        <f t="shared" si="214"/>
        <v>0.25633802816901419</v>
      </c>
      <c r="FM129" s="1">
        <v>320238.85754407331</v>
      </c>
      <c r="FN129" s="13">
        <f t="shared" si="215"/>
        <v>6.401073674160207E-3</v>
      </c>
      <c r="FO129" s="1">
        <v>476</v>
      </c>
      <c r="FP129" s="13">
        <f t="shared" si="216"/>
        <v>6.7264573991031362E-2</v>
      </c>
      <c r="FQ129" s="1">
        <v>319345.1405091018</v>
      </c>
      <c r="FR129" s="13">
        <f t="shared" si="217"/>
        <v>-2.7907826109094813E-3</v>
      </c>
      <c r="FS129">
        <v>500</v>
      </c>
      <c r="FT129" s="13">
        <f t="shared" si="218"/>
        <v>5.0420168067226934E-2</v>
      </c>
      <c r="FU129" s="1">
        <v>318036.2506939965</v>
      </c>
      <c r="FV129" s="13">
        <f t="shared" si="219"/>
        <v>-4.0986683342626451E-3</v>
      </c>
      <c r="FW129" s="1">
        <v>494</v>
      </c>
      <c r="FX129" s="13">
        <f t="shared" si="220"/>
        <v>-1.2000000000000011E-2</v>
      </c>
      <c r="FY129" s="1">
        <v>317717.57746471418</v>
      </c>
      <c r="FZ129" s="13">
        <f t="shared" si="221"/>
        <v>-1.0020028490052013E-3</v>
      </c>
      <c r="GA129" s="1">
        <v>516</v>
      </c>
      <c r="GB129" s="13">
        <f t="shared" si="222"/>
        <v>4.4534412955465674E-2</v>
      </c>
      <c r="GC129" s="1">
        <v>316611.19996378402</v>
      </c>
      <c r="GD129" s="13">
        <f t="shared" si="223"/>
        <v>-3.4822672064879212E-3</v>
      </c>
      <c r="GE129" s="1">
        <v>508</v>
      </c>
      <c r="GF129" s="13">
        <f t="shared" si="224"/>
        <v>-1.5503875968992276E-2</v>
      </c>
      <c r="GG129" s="1">
        <f>IFERROR(VLOOKUP(A129,[3]Москва_продажа_районы!$C$2:$F$149,3,0),"")</f>
        <v>316139.51463996532</v>
      </c>
      <c r="GH129" s="13">
        <v>-1.4897935508050297E-3</v>
      </c>
      <c r="GI129" s="1">
        <v>522</v>
      </c>
      <c r="GJ129" s="13">
        <f t="shared" si="225"/>
        <v>2.7559055118110187E-2</v>
      </c>
      <c r="GK129" s="1">
        <v>319173.06299659499</v>
      </c>
      <c r="GL129" s="13">
        <f t="shared" si="226"/>
        <v>9.5956000947379216E-3</v>
      </c>
      <c r="GM129" s="1">
        <v>540</v>
      </c>
      <c r="GN129" s="13">
        <f t="shared" si="227"/>
        <v>3.4482758620689724E-2</v>
      </c>
      <c r="GO129" s="1">
        <v>320664.3115502288</v>
      </c>
      <c r="GP129" s="13">
        <f t="shared" si="228"/>
        <v>4.6722255933286938E-3</v>
      </c>
      <c r="GQ129" s="1">
        <v>544.63000000000011</v>
      </c>
      <c r="GR129" s="13">
        <f t="shared" si="229"/>
        <v>8.5740740740742893E-3</v>
      </c>
      <c r="GS129" s="1">
        <v>319286.53845203808</v>
      </c>
      <c r="GT129" s="13">
        <f t="shared" si="329"/>
        <v>-4.2966212595657582E-3</v>
      </c>
      <c r="GU129">
        <v>506</v>
      </c>
      <c r="GV129" s="13">
        <f t="shared" si="330"/>
        <v>-7.0928887501606752E-2</v>
      </c>
      <c r="GW129">
        <v>321187.60679643572</v>
      </c>
      <c r="GX129" s="13">
        <f t="shared" si="230"/>
        <v>5.9541136736123157E-3</v>
      </c>
      <c r="GY129">
        <v>448</v>
      </c>
      <c r="GZ129" s="13">
        <f t="shared" si="231"/>
        <v>-0.11462450592885376</v>
      </c>
      <c r="HA129">
        <v>325946.5157672466</v>
      </c>
      <c r="HB129" s="13">
        <v>1.4816602104535725E-2</v>
      </c>
      <c r="HC129">
        <v>384</v>
      </c>
      <c r="HD129" s="13">
        <v>-0.1428571428571429</v>
      </c>
      <c r="HE129">
        <v>328351.58435459371</v>
      </c>
      <c r="HF129" s="13">
        <v>7.3787215724205879E-3</v>
      </c>
      <c r="HG129">
        <v>395</v>
      </c>
      <c r="HH129" s="13">
        <v>2.8645833333333259E-2</v>
      </c>
      <c r="HI129">
        <f>VLOOKUP(A129,[4]Москва_продажа_районы!$C$4:$F$151,3,0)</f>
        <v>327300.06281112542</v>
      </c>
      <c r="HJ129" s="13">
        <f t="shared" si="232"/>
        <v>-3.2024256728809819E-3</v>
      </c>
      <c r="HK129">
        <f>VLOOKUP(A129,[4]Москва_продажа_районы!$C$4:$F$151,2,0)</f>
        <v>377</v>
      </c>
      <c r="HL129" s="13">
        <f t="shared" si="233"/>
        <v>-4.5569620253164578E-2</v>
      </c>
      <c r="HM129" s="1">
        <f>VLOOKUP(A129,Лист3!$C$4:$F$149,3,0)</f>
        <v>329067.49557793041</v>
      </c>
      <c r="HN129" s="13">
        <f t="shared" si="234"/>
        <v>5.4000379701268919E-3</v>
      </c>
      <c r="HO129">
        <f>VLOOKUP(A129,Лист3!$C$4:$F$149,2,0)</f>
        <v>390</v>
      </c>
      <c r="HP129" s="13">
        <f t="shared" si="235"/>
        <v>3.4482758620689724E-2</v>
      </c>
      <c r="HQ129" s="1">
        <v>330476.68625878071</v>
      </c>
      <c r="HR129" s="13">
        <v>4.2823758037098258E-3</v>
      </c>
      <c r="HS129">
        <v>415</v>
      </c>
      <c r="HT129" s="13">
        <v>6.4102564102564097E-2</v>
      </c>
      <c r="HU129" s="34">
        <v>338601.95868034661</v>
      </c>
      <c r="HV129" s="13">
        <v>2.4586522315838577E-2</v>
      </c>
      <c r="HW129">
        <v>373</v>
      </c>
      <c r="HX129" s="13">
        <v>-0.10120481927710845</v>
      </c>
      <c r="HY129">
        <v>343311.9961250542</v>
      </c>
      <c r="HZ129" s="13">
        <v>1.3910248667976743E-2</v>
      </c>
      <c r="IA129">
        <v>398</v>
      </c>
      <c r="IB129" s="13">
        <v>6.7024128686327122E-2</v>
      </c>
      <c r="IC129" s="34">
        <v>341664.09359103697</v>
      </c>
      <c r="ID129" s="13">
        <v>-4.8000144259945365E-3</v>
      </c>
      <c r="IE129">
        <v>388</v>
      </c>
      <c r="IF129" s="13">
        <v>-2.5125628140703515E-2</v>
      </c>
    </row>
    <row r="130" spans="1:240" x14ac:dyDescent="0.3">
      <c r="A130" s="23" t="s">
        <v>132</v>
      </c>
      <c r="B130" s="22">
        <v>210862.42238371048</v>
      </c>
      <c r="C130">
        <v>221</v>
      </c>
      <c r="D130" s="22">
        <v>215376.95590170941</v>
      </c>
      <c r="E130">
        <v>234</v>
      </c>
      <c r="F130" s="22">
        <v>219021.78003037986</v>
      </c>
      <c r="G130">
        <v>158</v>
      </c>
      <c r="H130" s="22">
        <v>221372.54882640709</v>
      </c>
      <c r="I130">
        <v>186</v>
      </c>
      <c r="J130" s="22">
        <v>218757.78946704266</v>
      </c>
      <c r="K130">
        <v>217</v>
      </c>
      <c r="L130" s="22">
        <v>219422.88632285621</v>
      </c>
      <c r="M130">
        <v>219</v>
      </c>
      <c r="N130" s="22">
        <v>221515.43603800729</v>
      </c>
      <c r="O130" s="28">
        <v>221</v>
      </c>
      <c r="P130" s="39">
        <v>227683.89169829531</v>
      </c>
      <c r="Q130" s="28">
        <v>217</v>
      </c>
      <c r="R130" s="39">
        <v>229519.56870943113</v>
      </c>
      <c r="S130">
        <v>192</v>
      </c>
      <c r="T130" s="46">
        <v>238375.07827418682</v>
      </c>
      <c r="U130" s="47">
        <v>177</v>
      </c>
      <c r="V130" s="56">
        <v>243550.21250961599</v>
      </c>
      <c r="W130" s="47">
        <v>146</v>
      </c>
      <c r="X130" s="56">
        <v>244789.36492149651</v>
      </c>
      <c r="Y130" s="47">
        <v>165</v>
      </c>
      <c r="Z130" s="34">
        <v>238318.82152170854</v>
      </c>
      <c r="AA130" s="81">
        <v>203</v>
      </c>
      <c r="AB130" s="1">
        <v>246998.36270547999</v>
      </c>
      <c r="AC130">
        <v>236</v>
      </c>
      <c r="AD130" s="1">
        <v>265028.73294182989</v>
      </c>
      <c r="AE130">
        <v>216</v>
      </c>
      <c r="AF130" s="13">
        <f t="shared" si="180"/>
        <v>8.2680748923974257E-2</v>
      </c>
      <c r="AG130" s="85">
        <f t="shared" si="331"/>
        <v>5.3293856402664694E-2</v>
      </c>
      <c r="AH130" s="35">
        <f t="shared" si="332"/>
        <v>15.401924500370097</v>
      </c>
      <c r="AI130" s="87">
        <f t="shared" si="333"/>
        <v>231.40192450037009</v>
      </c>
      <c r="AL130" s="1">
        <v>268375.8913125706</v>
      </c>
      <c r="AM130">
        <v>212</v>
      </c>
      <c r="AN130" s="13">
        <f t="shared" si="334"/>
        <v>5.1556420233463032E-2</v>
      </c>
      <c r="AQ130">
        <f t="shared" si="335"/>
        <v>14</v>
      </c>
      <c r="AR130" s="90">
        <f t="shared" si="336"/>
        <v>226</v>
      </c>
      <c r="AS130">
        <v>194</v>
      </c>
      <c r="AT130" s="1">
        <v>271566.3324974635</v>
      </c>
      <c r="AU130" s="13">
        <f t="shared" si="337"/>
        <v>1.1887957481162337E-2</v>
      </c>
      <c r="AV130" s="35">
        <v>209</v>
      </c>
      <c r="AW130" s="1">
        <v>277295.5256312429</v>
      </c>
      <c r="AX130" s="35">
        <v>227.1621271076524</v>
      </c>
      <c r="AY130" s="121">
        <v>282425.19563287921</v>
      </c>
      <c r="AZ130" s="122">
        <v>214</v>
      </c>
      <c r="BA130" s="119">
        <v>284572.40022274578</v>
      </c>
      <c r="BB130">
        <v>211</v>
      </c>
      <c r="BC130" s="13">
        <f t="shared" si="338"/>
        <v>7.6027373728286829E-3</v>
      </c>
      <c r="BD130">
        <v>229</v>
      </c>
      <c r="BE130" s="1">
        <v>285250.73549820669</v>
      </c>
      <c r="BF130" s="13">
        <f t="shared" si="315"/>
        <v>2.3837001583075779E-3</v>
      </c>
      <c r="BG130">
        <v>222</v>
      </c>
      <c r="BH130" s="1">
        <v>285152.1486260331</v>
      </c>
      <c r="BI130" s="13">
        <f t="shared" si="267"/>
        <v>-3.4561478693961867E-4</v>
      </c>
      <c r="BJ130">
        <v>223</v>
      </c>
      <c r="BK130" s="1">
        <v>279309.67410254048</v>
      </c>
      <c r="BL130" s="13">
        <f t="shared" si="316"/>
        <v>-2.0488972471867317E-2</v>
      </c>
      <c r="BM130" s="1">
        <v>289503.69374666607</v>
      </c>
      <c r="BN130" s="109">
        <f t="shared" si="317"/>
        <v>3.6497195010807726E-2</v>
      </c>
      <c r="BO130">
        <v>185</v>
      </c>
      <c r="BP130" s="13">
        <f t="shared" si="318"/>
        <v>-0.17040358744394624</v>
      </c>
      <c r="BQ130" s="1">
        <v>302531.32077540178</v>
      </c>
      <c r="BR130" s="13">
        <f t="shared" si="264"/>
        <v>4.4999864630866249E-2</v>
      </c>
      <c r="BS130">
        <v>206</v>
      </c>
      <c r="BT130" s="13">
        <f t="shared" si="265"/>
        <v>0.11351351351351346</v>
      </c>
      <c r="BU130" s="1">
        <v>315451.04721309192</v>
      </c>
      <c r="BV130" s="13">
        <f t="shared" si="319"/>
        <v>4.2705417755015462E-2</v>
      </c>
      <c r="BW130">
        <v>173</v>
      </c>
      <c r="BX130" s="13">
        <f t="shared" si="320"/>
        <v>-0.16019417475728159</v>
      </c>
      <c r="BY130" s="1">
        <v>320881.23198598908</v>
      </c>
      <c r="BZ130" s="13">
        <f t="shared" si="321"/>
        <v>1.7214033115030336E-2</v>
      </c>
      <c r="CA130">
        <v>153</v>
      </c>
      <c r="CB130" s="13">
        <f t="shared" si="322"/>
        <v>-0.11560693641618502</v>
      </c>
      <c r="CC130" s="1">
        <v>316225.57025965402</v>
      </c>
      <c r="CD130" s="13">
        <f t="shared" si="323"/>
        <v>-1.4508987320699274E-2</v>
      </c>
      <c r="CE130">
        <v>173</v>
      </c>
      <c r="CF130" s="13">
        <f t="shared" si="324"/>
        <v>0.13071895424836599</v>
      </c>
      <c r="CG130" s="1">
        <v>307570.2206105591</v>
      </c>
      <c r="CH130" s="13">
        <f t="shared" si="325"/>
        <v>-2.7370808888060427E-2</v>
      </c>
      <c r="CI130">
        <v>200</v>
      </c>
      <c r="CJ130" s="13">
        <f t="shared" si="326"/>
        <v>0.1560693641618498</v>
      </c>
      <c r="CK130" s="1">
        <v>307427.96910294727</v>
      </c>
      <c r="CL130" s="13">
        <f t="shared" si="327"/>
        <v>-4.6250091224520062E-4</v>
      </c>
      <c r="CM130">
        <v>222</v>
      </c>
      <c r="CN130" s="13">
        <f t="shared" si="328"/>
        <v>0.1100000000000001</v>
      </c>
      <c r="CO130" s="1">
        <v>308490.70221817901</v>
      </c>
      <c r="CP130" s="13">
        <v>3.4568524078426588E-3</v>
      </c>
      <c r="CQ130">
        <v>227</v>
      </c>
      <c r="CR130" s="13">
        <v>2.2522522522522515E-2</v>
      </c>
      <c r="CS130" s="1">
        <v>304769.35816609609</v>
      </c>
      <c r="CT130" s="13">
        <f t="shared" si="181"/>
        <v>-1.2063067137274675E-2</v>
      </c>
      <c r="CU130">
        <v>240</v>
      </c>
      <c r="CV130" s="13">
        <f t="shared" si="182"/>
        <v>5.7268722466960353E-2</v>
      </c>
      <c r="CW130" s="1">
        <v>301020.73902157461</v>
      </c>
      <c r="CX130" s="13">
        <f t="shared" si="183"/>
        <v>-1.2299855756753963E-2</v>
      </c>
      <c r="CY130">
        <v>287</v>
      </c>
      <c r="CZ130" s="13">
        <f t="shared" si="184"/>
        <v>0.1958333333333333</v>
      </c>
      <c r="DA130" s="1">
        <v>296289.10046860378</v>
      </c>
      <c r="DB130" s="13">
        <f t="shared" si="185"/>
        <v>-1.5718646390778135E-2</v>
      </c>
      <c r="DC130">
        <v>298</v>
      </c>
      <c r="DD130" s="13">
        <f t="shared" si="186"/>
        <v>3.8327526132404088E-2</v>
      </c>
      <c r="DE130" s="1">
        <v>290821.27235323453</v>
      </c>
      <c r="DF130" s="13">
        <f t="shared" si="187"/>
        <v>-1.8454368070649485E-2</v>
      </c>
      <c r="DG130" s="1">
        <v>298</v>
      </c>
      <c r="DH130" s="13">
        <f t="shared" si="188"/>
        <v>0</v>
      </c>
      <c r="DI130" s="1">
        <v>287002.6163818512</v>
      </c>
      <c r="DJ130" s="13">
        <f t="shared" si="189"/>
        <v>-1.3130593716491057E-2</v>
      </c>
      <c r="DK130" s="1">
        <v>259</v>
      </c>
      <c r="DL130" s="13">
        <f t="shared" si="190"/>
        <v>-0.13087248322147649</v>
      </c>
      <c r="DM130" s="1">
        <v>289827.00097199233</v>
      </c>
      <c r="DN130" s="13">
        <f t="shared" si="191"/>
        <v>9.8409715763125849E-3</v>
      </c>
      <c r="DO130" s="1">
        <v>260</v>
      </c>
      <c r="DP130" s="13">
        <f t="shared" si="192"/>
        <v>3.8610038610038533E-3</v>
      </c>
      <c r="DQ130" s="1">
        <v>290369.98793568573</v>
      </c>
      <c r="DR130" s="13">
        <f t="shared" si="193"/>
        <v>1.8734864656240191E-3</v>
      </c>
      <c r="DS130">
        <v>266</v>
      </c>
      <c r="DT130" s="13">
        <f t="shared" si="194"/>
        <v>2.3076923076922995E-2</v>
      </c>
      <c r="DU130" s="1">
        <v>293521.70441447222</v>
      </c>
      <c r="DV130" s="13">
        <f t="shared" si="195"/>
        <v>1.0854139924008077E-2</v>
      </c>
      <c r="DW130">
        <v>237</v>
      </c>
      <c r="DX130" s="13">
        <f t="shared" si="196"/>
        <v>-0.10902255639097747</v>
      </c>
      <c r="DY130" s="1">
        <v>290685.01818949077</v>
      </c>
      <c r="DZ130" s="13">
        <f t="shared" si="197"/>
        <v>-9.6643150483204376E-3</v>
      </c>
      <c r="EA130" s="1">
        <v>242</v>
      </c>
      <c r="EB130" s="13">
        <f t="shared" si="198"/>
        <v>2.1097046413502074E-2</v>
      </c>
      <c r="EC130" s="1">
        <v>295936.76592875889</v>
      </c>
      <c r="ED130" s="13">
        <f t="shared" si="199"/>
        <v>1.8066798805037143E-2</v>
      </c>
      <c r="EE130" s="1">
        <f>IFERROR(VLOOKUP($A130,[1]Москва_продажа_районы!$C$2:$F$148,2,0),"")</f>
        <v>228</v>
      </c>
      <c r="EF130" s="13">
        <v>-5.7851239669421517E-2</v>
      </c>
      <c r="EG130" s="1">
        <v>303121.56574600149</v>
      </c>
      <c r="EH130" s="13">
        <f t="shared" si="200"/>
        <v>2.4278158865100874E-2</v>
      </c>
      <c r="EI130" s="1">
        <f>IFERROR(VLOOKUP($A130,[2]Москва_продажа_районы!$C$2:$F$150,2,0),"")</f>
        <v>213</v>
      </c>
      <c r="EJ130" s="13">
        <v>-6.5789473684210509E-2</v>
      </c>
      <c r="EK130" s="1">
        <v>304472.48966997658</v>
      </c>
      <c r="EL130" s="13">
        <f t="shared" si="201"/>
        <v>4.4567067362903945E-3</v>
      </c>
      <c r="EM130">
        <v>194</v>
      </c>
      <c r="EN130" s="13">
        <f t="shared" si="202"/>
        <v>-8.9201877934272256E-2</v>
      </c>
      <c r="EO130" s="1">
        <v>310850.38714746572</v>
      </c>
      <c r="EP130" s="13">
        <f t="shared" si="203"/>
        <v>2.0947368625658935E-2</v>
      </c>
      <c r="EQ130">
        <v>194</v>
      </c>
      <c r="ER130" s="13">
        <f t="shared" si="204"/>
        <v>0</v>
      </c>
      <c r="ES130" s="183">
        <v>320139.57979954738</v>
      </c>
      <c r="ET130" s="13">
        <f t="shared" si="205"/>
        <v>2.9883162563586918E-2</v>
      </c>
      <c r="EU130">
        <v>195</v>
      </c>
      <c r="EV130" s="13">
        <f t="shared" si="206"/>
        <v>5.1546391752577136E-3</v>
      </c>
      <c r="EW130" s="183">
        <v>319643.15418698487</v>
      </c>
      <c r="EX130" s="13">
        <f t="shared" si="207"/>
        <v>-1.5506536644839253E-3</v>
      </c>
      <c r="EY130">
        <v>188</v>
      </c>
      <c r="EZ130" s="13">
        <f t="shared" si="208"/>
        <v>-3.5897435897435881E-2</v>
      </c>
      <c r="FA130" s="1">
        <v>320789.48545340338</v>
      </c>
      <c r="FB130" s="13">
        <f t="shared" si="209"/>
        <v>3.5862844281280282E-3</v>
      </c>
      <c r="FC130" s="1">
        <v>168</v>
      </c>
      <c r="FD130" s="13">
        <f t="shared" si="210"/>
        <v>-0.1063829787234043</v>
      </c>
      <c r="FE130" s="1">
        <v>322977.2983597095</v>
      </c>
      <c r="FF130" s="13">
        <f t="shared" si="211"/>
        <v>6.8200892034036009E-3</v>
      </c>
      <c r="FG130" s="1">
        <v>181</v>
      </c>
      <c r="FH130" s="13">
        <f t="shared" si="212"/>
        <v>7.7380952380952328E-2</v>
      </c>
      <c r="FI130" s="1">
        <v>322866.564247531</v>
      </c>
      <c r="FJ130" s="13">
        <f t="shared" si="213"/>
        <v>-3.4285416572887861E-4</v>
      </c>
      <c r="FK130" s="1">
        <v>203</v>
      </c>
      <c r="FL130" s="13">
        <f t="shared" si="214"/>
        <v>0.12154696132596676</v>
      </c>
      <c r="FM130" s="1">
        <v>326358.455627241</v>
      </c>
      <c r="FN130" s="13">
        <f t="shared" si="215"/>
        <v>1.081527716519104E-2</v>
      </c>
      <c r="FO130" s="1">
        <v>225</v>
      </c>
      <c r="FP130" s="13">
        <f t="shared" si="216"/>
        <v>0.10837438423645329</v>
      </c>
      <c r="FQ130" s="1">
        <v>327462.79229356308</v>
      </c>
      <c r="FR130" s="13">
        <f t="shared" si="217"/>
        <v>3.3838150882274931E-3</v>
      </c>
      <c r="FS130">
        <v>221</v>
      </c>
      <c r="FT130" s="13">
        <f t="shared" si="218"/>
        <v>-1.7777777777777781E-2</v>
      </c>
      <c r="FU130" s="1">
        <v>325633.97195976431</v>
      </c>
      <c r="FV130" s="13">
        <f t="shared" si="219"/>
        <v>-5.5848187239522229E-3</v>
      </c>
      <c r="FW130" s="1">
        <v>228</v>
      </c>
      <c r="FX130" s="13">
        <f t="shared" si="220"/>
        <v>3.167420814479649E-2</v>
      </c>
      <c r="FY130" s="1">
        <v>324517.42957088008</v>
      </c>
      <c r="FZ130" s="13">
        <f t="shared" si="221"/>
        <v>-3.4288264893387321E-3</v>
      </c>
      <c r="GA130" s="1">
        <v>230</v>
      </c>
      <c r="GB130" s="13">
        <f t="shared" si="222"/>
        <v>8.7719298245614308E-3</v>
      </c>
      <c r="GC130" s="1">
        <v>324996.24944733491</v>
      </c>
      <c r="GD130" s="13">
        <f t="shared" si="223"/>
        <v>1.4754827717204932E-3</v>
      </c>
      <c r="GE130" s="1">
        <v>237</v>
      </c>
      <c r="GF130" s="13">
        <f t="shared" si="224"/>
        <v>3.0434782608695699E-2</v>
      </c>
      <c r="GG130" s="1">
        <f>IFERROR(VLOOKUP(A130,[3]Москва_продажа_районы!$C$2:$F$149,3,0),"")</f>
        <v>326315.46100946702</v>
      </c>
      <c r="GH130" s="13">
        <v>4.0591593422245609E-3</v>
      </c>
      <c r="GI130" s="1">
        <v>235</v>
      </c>
      <c r="GJ130" s="13">
        <f t="shared" si="225"/>
        <v>-8.4388185654008518E-3</v>
      </c>
      <c r="GK130" s="1">
        <v>326238.50308591977</v>
      </c>
      <c r="GL130" s="13">
        <f t="shared" si="226"/>
        <v>-2.358390353591755E-4</v>
      </c>
      <c r="GM130" s="1">
        <v>214</v>
      </c>
      <c r="GN130" s="13">
        <f t="shared" si="227"/>
        <v>-8.9361702127659592E-2</v>
      </c>
      <c r="GO130" s="1">
        <v>323015.57645529183</v>
      </c>
      <c r="GP130" s="13">
        <f t="shared" si="228"/>
        <v>-9.8790504497231479E-3</v>
      </c>
      <c r="GQ130" s="1">
        <v>230.05000000000004</v>
      </c>
      <c r="GR130" s="13">
        <f t="shared" si="229"/>
        <v>7.5000000000000178E-2</v>
      </c>
      <c r="GS130" s="1">
        <v>322932.67216286511</v>
      </c>
      <c r="GT130" s="13">
        <f t="shared" si="329"/>
        <v>-2.5665725887424884E-4</v>
      </c>
      <c r="GU130">
        <v>237</v>
      </c>
      <c r="GV130" s="13">
        <f t="shared" si="330"/>
        <v>3.021082373397066E-2</v>
      </c>
      <c r="GW130">
        <v>322132.14568191668</v>
      </c>
      <c r="GX130" s="13">
        <f t="shared" si="230"/>
        <v>-2.4789268784320972E-3</v>
      </c>
      <c r="GY130">
        <v>226</v>
      </c>
      <c r="GZ130" s="13">
        <f t="shared" si="231"/>
        <v>-4.641350210970463E-2</v>
      </c>
      <c r="HA130">
        <v>321986.05597043748</v>
      </c>
      <c r="HB130" s="13">
        <v>-4.5350864059201523E-4</v>
      </c>
      <c r="HC130">
        <v>198</v>
      </c>
      <c r="HD130" s="13">
        <v>-0.12389380530973448</v>
      </c>
      <c r="HE130">
        <v>367516.76097423682</v>
      </c>
      <c r="HF130" s="13">
        <v>0.14140582848090677</v>
      </c>
      <c r="HG130">
        <v>264</v>
      </c>
      <c r="HH130" s="13">
        <v>0.33333333333333326</v>
      </c>
      <c r="HI130">
        <f>VLOOKUP(A130,[4]Москва_продажа_районы!$C$4:$F$151,3,0)</f>
        <v>354734.48453233752</v>
      </c>
      <c r="HJ130" s="13">
        <f t="shared" si="232"/>
        <v>-3.47801183489298E-2</v>
      </c>
      <c r="HK130">
        <f>VLOOKUP(A130,[4]Москва_продажа_районы!$C$4:$F$151,2,0)</f>
        <v>247</v>
      </c>
      <c r="HL130" s="13">
        <f t="shared" si="233"/>
        <v>-6.4393939393939448E-2</v>
      </c>
      <c r="HM130" s="1">
        <f>VLOOKUP(A130,Лист3!$C$4:$F$149,3,0)</f>
        <v>359108.82652310858</v>
      </c>
      <c r="HN130" s="13">
        <f t="shared" si="234"/>
        <v>1.2331313084877893E-2</v>
      </c>
      <c r="HO130">
        <f>VLOOKUP(A130,Лист3!$C$4:$F$149,2,0)</f>
        <v>247</v>
      </c>
      <c r="HP130" s="13">
        <f t="shared" si="235"/>
        <v>0</v>
      </c>
      <c r="HQ130" s="1">
        <v>358450.01921994833</v>
      </c>
      <c r="HR130" s="13">
        <v>-1.8345617108296297E-3</v>
      </c>
      <c r="HS130">
        <v>241</v>
      </c>
      <c r="HT130" s="13">
        <v>-2.4291497975708509E-2</v>
      </c>
      <c r="HU130" s="34">
        <v>357505.38277949631</v>
      </c>
      <c r="HV130" s="13">
        <v>-2.635336559634438E-3</v>
      </c>
      <c r="HW130">
        <v>210</v>
      </c>
      <c r="HX130" s="13">
        <v>-0.12863070539419086</v>
      </c>
      <c r="HY130">
        <v>365833.69526813697</v>
      </c>
      <c r="HZ130" s="13">
        <v>2.3295628233316545E-2</v>
      </c>
      <c r="IA130">
        <v>208</v>
      </c>
      <c r="IB130" s="13">
        <v>-9.52380952380949E-3</v>
      </c>
      <c r="IC130" s="34">
        <v>352862.49987150228</v>
      </c>
      <c r="ID130" s="13">
        <v>-3.5456535481586782E-2</v>
      </c>
      <c r="IE130">
        <v>200</v>
      </c>
      <c r="IF130" s="13">
        <v>-3.8461538461538436E-2</v>
      </c>
    </row>
    <row r="131" spans="1:240" x14ac:dyDescent="0.3">
      <c r="A131" s="23" t="s">
        <v>133</v>
      </c>
      <c r="B131" s="22">
        <v>260715.15139069749</v>
      </c>
      <c r="C131">
        <v>516</v>
      </c>
      <c r="D131" s="22">
        <v>262823.71005605743</v>
      </c>
      <c r="E131">
        <v>487</v>
      </c>
      <c r="F131" s="22">
        <v>267324.93208409712</v>
      </c>
      <c r="G131">
        <v>371</v>
      </c>
      <c r="H131" s="22">
        <v>267936.90081137174</v>
      </c>
      <c r="I131">
        <v>382</v>
      </c>
      <c r="J131" s="22">
        <v>266503.01916654641</v>
      </c>
      <c r="K131">
        <v>465</v>
      </c>
      <c r="L131" s="22">
        <v>267873.40744184703</v>
      </c>
      <c r="M131">
        <v>454</v>
      </c>
      <c r="N131" s="22">
        <v>272689.87547441479</v>
      </c>
      <c r="O131" s="28">
        <v>433</v>
      </c>
      <c r="P131" s="39">
        <v>278241.87824714225</v>
      </c>
      <c r="Q131" s="28">
        <v>416</v>
      </c>
      <c r="R131" s="39">
        <v>283132.66387646779</v>
      </c>
      <c r="S131">
        <v>409</v>
      </c>
      <c r="T131" s="46">
        <v>292500.01228370506</v>
      </c>
      <c r="U131" s="47">
        <v>381</v>
      </c>
      <c r="V131" s="56">
        <v>290727.78682073648</v>
      </c>
      <c r="W131" s="47">
        <v>348</v>
      </c>
      <c r="X131" s="56">
        <v>294108.08305221552</v>
      </c>
      <c r="Y131" s="47">
        <v>338</v>
      </c>
      <c r="Z131" s="34">
        <v>297825.58210224827</v>
      </c>
      <c r="AA131" s="81">
        <v>360</v>
      </c>
      <c r="AB131" s="1">
        <v>306363.90416189563</v>
      </c>
      <c r="AC131">
        <v>367</v>
      </c>
      <c r="AD131" s="1">
        <v>312642.8646036812</v>
      </c>
      <c r="AE131">
        <v>339</v>
      </c>
      <c r="AF131" s="13">
        <f t="shared" si="180"/>
        <v>6.3020306545519267E-2</v>
      </c>
      <c r="AG131" s="85">
        <f t="shared" si="331"/>
        <v>8.3641746854182089E-2</v>
      </c>
      <c r="AH131" s="35">
        <f t="shared" si="332"/>
        <v>24.172464840858623</v>
      </c>
      <c r="AI131" s="87">
        <f t="shared" si="333"/>
        <v>363.17246484085865</v>
      </c>
      <c r="AL131" s="1">
        <v>318063.39475520578</v>
      </c>
      <c r="AM131">
        <v>343</v>
      </c>
      <c r="AN131" s="13">
        <f t="shared" si="334"/>
        <v>8.3414396887159528E-2</v>
      </c>
      <c r="AQ131">
        <f t="shared" si="335"/>
        <v>22</v>
      </c>
      <c r="AR131" s="90">
        <f t="shared" si="336"/>
        <v>365</v>
      </c>
      <c r="AS131">
        <v>349</v>
      </c>
      <c r="AT131" s="1">
        <v>317574.66975785029</v>
      </c>
      <c r="AU131" s="13">
        <f t="shared" si="337"/>
        <v>-1.5365647396539117E-3</v>
      </c>
      <c r="AV131" s="35">
        <v>342</v>
      </c>
      <c r="AW131" s="1">
        <v>325938.69977858278</v>
      </c>
      <c r="AX131" s="35">
        <v>371.71984435797663</v>
      </c>
      <c r="AY131" s="121">
        <v>332785.05374155799</v>
      </c>
      <c r="AZ131" s="122">
        <v>345</v>
      </c>
      <c r="BA131" s="119">
        <v>336043.04565656418</v>
      </c>
      <c r="BB131">
        <v>371</v>
      </c>
      <c r="BC131" s="13">
        <f t="shared" si="338"/>
        <v>9.7900788463185506E-3</v>
      </c>
      <c r="BD131">
        <v>365</v>
      </c>
      <c r="BE131" s="1">
        <v>339944.88021201122</v>
      </c>
      <c r="BF131" s="13">
        <f t="shared" si="315"/>
        <v>1.1611115319537735E-2</v>
      </c>
      <c r="BG131">
        <v>370</v>
      </c>
      <c r="BH131" s="1">
        <v>340085.99678858521</v>
      </c>
      <c r="BI131" s="13">
        <f t="shared" si="267"/>
        <v>4.1511605200805768E-4</v>
      </c>
      <c r="BJ131">
        <v>340</v>
      </c>
      <c r="BK131" s="1">
        <v>345012.06787768821</v>
      </c>
      <c r="BL131" s="13">
        <f t="shared" si="316"/>
        <v>1.4484780719052459E-2</v>
      </c>
      <c r="BM131" s="1">
        <v>356317.89744962129</v>
      </c>
      <c r="BN131" s="109">
        <f t="shared" si="317"/>
        <v>3.2769374246761629E-2</v>
      </c>
      <c r="BO131">
        <v>312</v>
      </c>
      <c r="BP131" s="13">
        <f t="shared" si="318"/>
        <v>-8.2352941176470629E-2</v>
      </c>
      <c r="BQ131" s="1">
        <v>363292.54972115782</v>
      </c>
      <c r="BR131" s="13">
        <f t="shared" si="264"/>
        <v>1.9574240647068919E-2</v>
      </c>
      <c r="BS131">
        <v>317</v>
      </c>
      <c r="BT131" s="13">
        <f t="shared" si="265"/>
        <v>1.6025641025640969E-2</v>
      </c>
      <c r="BU131" s="1">
        <v>380619.34035040298</v>
      </c>
      <c r="BV131" s="13">
        <f t="shared" si="319"/>
        <v>4.7693768128590053E-2</v>
      </c>
      <c r="BW131">
        <v>300</v>
      </c>
      <c r="BX131" s="13">
        <f t="shared" si="320"/>
        <v>-5.362776025236593E-2</v>
      </c>
      <c r="BY131" s="1">
        <v>391211.11108982278</v>
      </c>
      <c r="BZ131" s="13">
        <f t="shared" si="321"/>
        <v>2.7827726067910508E-2</v>
      </c>
      <c r="CA131">
        <v>272</v>
      </c>
      <c r="CB131" s="13">
        <f t="shared" si="322"/>
        <v>-9.3333333333333379E-2</v>
      </c>
      <c r="CC131" s="1">
        <v>384018.8942810247</v>
      </c>
      <c r="CD131" s="13">
        <f t="shared" si="323"/>
        <v>-1.8384490125452291E-2</v>
      </c>
      <c r="CE131">
        <v>298</v>
      </c>
      <c r="CF131" s="13">
        <f t="shared" si="324"/>
        <v>9.5588235294117752E-2</v>
      </c>
      <c r="CG131" s="1">
        <v>373351.27926279302</v>
      </c>
      <c r="CH131" s="13">
        <f t="shared" si="325"/>
        <v>-2.7778880615246804E-2</v>
      </c>
      <c r="CI131">
        <v>366</v>
      </c>
      <c r="CJ131" s="13">
        <f t="shared" si="326"/>
        <v>0.22818791946308714</v>
      </c>
      <c r="CK131" s="1">
        <v>370671.06769628392</v>
      </c>
      <c r="CL131" s="13">
        <f t="shared" si="327"/>
        <v>-7.1787930439165537E-3</v>
      </c>
      <c r="CM131">
        <v>390</v>
      </c>
      <c r="CN131" s="13">
        <f t="shared" si="328"/>
        <v>6.5573770491803351E-2</v>
      </c>
      <c r="CO131" s="1">
        <v>371729.98718822189</v>
      </c>
      <c r="CP131" s="13">
        <v>2.8567632713261126E-3</v>
      </c>
      <c r="CQ131">
        <v>400</v>
      </c>
      <c r="CR131" s="13">
        <v>2.564102564102555E-2</v>
      </c>
      <c r="CS131" s="1">
        <v>365524.14523937792</v>
      </c>
      <c r="CT131" s="13">
        <f t="shared" si="181"/>
        <v>-1.6694488372555494E-2</v>
      </c>
      <c r="CU131">
        <v>448</v>
      </c>
      <c r="CV131" s="13">
        <f t="shared" si="182"/>
        <v>0.12000000000000011</v>
      </c>
      <c r="CW131" s="1">
        <v>358910.21996143379</v>
      </c>
      <c r="CX131" s="13">
        <f t="shared" si="183"/>
        <v>-1.8094359467314414E-2</v>
      </c>
      <c r="CY131">
        <v>500</v>
      </c>
      <c r="CZ131" s="13">
        <f t="shared" si="184"/>
        <v>0.1160714285714286</v>
      </c>
      <c r="DA131" s="1">
        <v>354745.01089134603</v>
      </c>
      <c r="DB131" s="13">
        <f t="shared" si="185"/>
        <v>-1.1605155937145839E-2</v>
      </c>
      <c r="DC131">
        <v>502</v>
      </c>
      <c r="DD131" s="13">
        <f t="shared" si="186"/>
        <v>4.0000000000000036E-3</v>
      </c>
      <c r="DE131" s="1">
        <v>354703.4792009606</v>
      </c>
      <c r="DF131" s="13">
        <f t="shared" si="187"/>
        <v>-1.1707476951139384E-4</v>
      </c>
      <c r="DG131" s="1">
        <v>486</v>
      </c>
      <c r="DH131" s="13">
        <f t="shared" si="188"/>
        <v>-3.1872509960159334E-2</v>
      </c>
      <c r="DI131" s="1">
        <v>355366.8359150333</v>
      </c>
      <c r="DJ131" s="13">
        <f t="shared" si="189"/>
        <v>1.8701725609431286E-3</v>
      </c>
      <c r="DK131" s="1">
        <v>461</v>
      </c>
      <c r="DL131" s="13">
        <f t="shared" si="190"/>
        <v>-5.1440329218107039E-2</v>
      </c>
      <c r="DM131" s="1">
        <v>353957.29392837058</v>
      </c>
      <c r="DN131" s="13">
        <f t="shared" si="191"/>
        <v>-3.9664421217958656E-3</v>
      </c>
      <c r="DO131" s="1">
        <v>484</v>
      </c>
      <c r="DP131" s="13">
        <f t="shared" si="192"/>
        <v>4.9891540130151846E-2</v>
      </c>
      <c r="DQ131" s="1">
        <v>351380.04318384081</v>
      </c>
      <c r="DR131" s="13">
        <f t="shared" si="193"/>
        <v>-7.2812477345114424E-3</v>
      </c>
      <c r="DS131">
        <v>483</v>
      </c>
      <c r="DT131" s="13">
        <f t="shared" si="194"/>
        <v>-2.0661157024793875E-3</v>
      </c>
      <c r="DU131" s="1">
        <v>353190.81288203731</v>
      </c>
      <c r="DV131" s="13">
        <f t="shared" si="195"/>
        <v>5.1533083148069814E-3</v>
      </c>
      <c r="DW131">
        <v>450</v>
      </c>
      <c r="DX131" s="13">
        <f t="shared" si="196"/>
        <v>-6.8322981366459645E-2</v>
      </c>
      <c r="DY131" s="1">
        <v>355406.6417130701</v>
      </c>
      <c r="DZ131" s="13">
        <f t="shared" si="197"/>
        <v>6.2737442487579287E-3</v>
      </c>
      <c r="EA131" s="1">
        <v>453</v>
      </c>
      <c r="EB131" s="13">
        <f t="shared" si="198"/>
        <v>6.6666666666665986E-3</v>
      </c>
      <c r="EC131" s="1">
        <v>356929.74954297958</v>
      </c>
      <c r="ED131" s="13">
        <f t="shared" si="199"/>
        <v>4.2855356404372102E-3</v>
      </c>
      <c r="EE131" s="1">
        <f>IFERROR(VLOOKUP($A131,[1]Москва_продажа_районы!$C$2:$F$148,2,0),"")</f>
        <v>439</v>
      </c>
      <c r="EF131" s="13">
        <v>-3.0905077262693204E-2</v>
      </c>
      <c r="EG131" s="1">
        <v>355492.65508444072</v>
      </c>
      <c r="EH131" s="13">
        <f t="shared" si="200"/>
        <v>-4.0262669625575898E-3</v>
      </c>
      <c r="EI131" s="1">
        <f>IFERROR(VLOOKUP($A131,[2]Москва_продажа_районы!$C$2:$F$150,2,0),"")</f>
        <v>400</v>
      </c>
      <c r="EJ131" s="13">
        <v>-8.8838268792710728E-2</v>
      </c>
      <c r="EK131" s="1">
        <v>365204.21366560803</v>
      </c>
      <c r="EL131" s="13">
        <f t="shared" si="201"/>
        <v>2.7318591375286028E-2</v>
      </c>
      <c r="EM131">
        <v>372</v>
      </c>
      <c r="EN131" s="13">
        <f t="shared" si="202"/>
        <v>-6.9999999999999951E-2</v>
      </c>
      <c r="EO131" s="1">
        <v>371135.17962624488</v>
      </c>
      <c r="EP131" s="13">
        <f t="shared" si="203"/>
        <v>1.6240135624687513E-2</v>
      </c>
      <c r="EQ131">
        <v>349</v>
      </c>
      <c r="ER131" s="13">
        <f t="shared" si="204"/>
        <v>-6.1827956989247257E-2</v>
      </c>
      <c r="ES131" s="183">
        <v>380500.23988593061</v>
      </c>
      <c r="ET131" s="13">
        <f t="shared" si="205"/>
        <v>2.523355578718478E-2</v>
      </c>
      <c r="EU131">
        <v>333</v>
      </c>
      <c r="EV131" s="13">
        <f t="shared" si="206"/>
        <v>-4.5845272206303744E-2</v>
      </c>
      <c r="EW131" s="183">
        <v>382597.37624256592</v>
      </c>
      <c r="EX131" s="13">
        <f t="shared" si="207"/>
        <v>5.5115244007835074E-3</v>
      </c>
      <c r="EY131">
        <v>352</v>
      </c>
      <c r="EZ131" s="13">
        <f t="shared" si="208"/>
        <v>5.7057057057056992E-2</v>
      </c>
      <c r="FA131" s="1">
        <v>392103.62336834328</v>
      </c>
      <c r="FB131" s="13">
        <f t="shared" si="209"/>
        <v>2.4846608252092173E-2</v>
      </c>
      <c r="FC131" s="1">
        <v>327</v>
      </c>
      <c r="FD131" s="13">
        <f t="shared" si="210"/>
        <v>-7.1022727272727293E-2</v>
      </c>
      <c r="FE131" s="1">
        <v>392028.07319528417</v>
      </c>
      <c r="FF131" s="13">
        <f t="shared" si="211"/>
        <v>-1.9267909949438611E-4</v>
      </c>
      <c r="FG131" s="1">
        <v>307</v>
      </c>
      <c r="FH131" s="13">
        <f t="shared" si="212"/>
        <v>-6.1162079510703404E-2</v>
      </c>
      <c r="FI131" s="1">
        <v>393010.91144564422</v>
      </c>
      <c r="FJ131" s="13">
        <f t="shared" si="213"/>
        <v>2.5070608906889724E-3</v>
      </c>
      <c r="FK131" s="1">
        <v>358</v>
      </c>
      <c r="FL131" s="13">
        <f t="shared" si="214"/>
        <v>0.16612377850162874</v>
      </c>
      <c r="FM131" s="1">
        <v>394109.76763547829</v>
      </c>
      <c r="FN131" s="13">
        <f t="shared" si="215"/>
        <v>2.795994100499799E-3</v>
      </c>
      <c r="FO131" s="1">
        <v>393</v>
      </c>
      <c r="FP131" s="13">
        <f t="shared" si="216"/>
        <v>9.77653631284916E-2</v>
      </c>
      <c r="FQ131" s="1">
        <v>392979.59752221563</v>
      </c>
      <c r="FR131" s="13">
        <f t="shared" si="217"/>
        <v>-2.867653141517601E-3</v>
      </c>
      <c r="FS131">
        <v>426</v>
      </c>
      <c r="FT131" s="13">
        <f t="shared" si="218"/>
        <v>8.3969465648854991E-2</v>
      </c>
      <c r="FU131" s="1">
        <v>392741.45373377239</v>
      </c>
      <c r="FV131" s="13">
        <f t="shared" si="219"/>
        <v>-6.059952983431538E-4</v>
      </c>
      <c r="FW131" s="1">
        <v>418</v>
      </c>
      <c r="FX131" s="13">
        <f t="shared" si="220"/>
        <v>-1.8779342723004744E-2</v>
      </c>
      <c r="FY131" s="1">
        <v>393160.37008665758</v>
      </c>
      <c r="FZ131" s="13">
        <f t="shared" si="221"/>
        <v>1.0666466422186716E-3</v>
      </c>
      <c r="GA131" s="1">
        <v>400</v>
      </c>
      <c r="GB131" s="13">
        <f t="shared" si="222"/>
        <v>-4.3062200956937802E-2</v>
      </c>
      <c r="GC131" s="1">
        <v>394647.42911542789</v>
      </c>
      <c r="GD131" s="13">
        <f t="shared" si="223"/>
        <v>3.7823217748078619E-3</v>
      </c>
      <c r="GE131" s="1">
        <v>396</v>
      </c>
      <c r="GF131" s="13">
        <f t="shared" si="224"/>
        <v>-1.0000000000000009E-2</v>
      </c>
      <c r="GG131" s="1">
        <f>IFERROR(VLOOKUP(A131,[3]Москва_продажа_районы!$C$2:$F$149,3,0),"")</f>
        <v>394111.7571669009</v>
      </c>
      <c r="GH131" s="13">
        <v>-1.3573430586578672E-3</v>
      </c>
      <c r="GI131" s="1">
        <v>405</v>
      </c>
      <c r="GJ131" s="13">
        <f t="shared" si="225"/>
        <v>2.2727272727272707E-2</v>
      </c>
      <c r="GK131" s="1">
        <v>393458.24706804991</v>
      </c>
      <c r="GL131" s="13">
        <f t="shared" si="226"/>
        <v>-1.6581847330533472E-3</v>
      </c>
      <c r="GM131" s="1">
        <v>423</v>
      </c>
      <c r="GN131" s="13">
        <f t="shared" si="227"/>
        <v>4.4444444444444509E-2</v>
      </c>
      <c r="GO131" s="1">
        <v>395160.80301462498</v>
      </c>
      <c r="GP131" s="13">
        <f t="shared" si="228"/>
        <v>4.3271578604897609E-3</v>
      </c>
      <c r="GQ131" s="1">
        <v>442.98</v>
      </c>
      <c r="GR131" s="13">
        <f t="shared" si="229"/>
        <v>4.7234042553191635E-2</v>
      </c>
      <c r="GS131" s="1">
        <v>398799.46529583458</v>
      </c>
      <c r="GT131" s="13">
        <f t="shared" si="329"/>
        <v>9.2080546791351026E-3</v>
      </c>
      <c r="GU131">
        <v>455</v>
      </c>
      <c r="GV131" s="13">
        <f t="shared" si="330"/>
        <v>2.713440787394461E-2</v>
      </c>
      <c r="GW131">
        <v>398194.73106527829</v>
      </c>
      <c r="GX131" s="13">
        <f t="shared" si="230"/>
        <v>-1.5163867637276729E-3</v>
      </c>
      <c r="GY131">
        <v>403</v>
      </c>
      <c r="GZ131" s="13">
        <f t="shared" si="231"/>
        <v>-0.11428571428571432</v>
      </c>
      <c r="HA131">
        <v>406361.20712838433</v>
      </c>
      <c r="HB131" s="13">
        <v>2.0508749679480909E-2</v>
      </c>
      <c r="HC131">
        <v>368</v>
      </c>
      <c r="HD131" s="13">
        <v>-8.6848635235732052E-2</v>
      </c>
      <c r="HE131">
        <v>404752.9890048306</v>
      </c>
      <c r="HF131" s="13">
        <v>-3.9576074077505297E-3</v>
      </c>
      <c r="HG131">
        <v>383</v>
      </c>
      <c r="HH131" s="13">
        <v>4.0760869565217295E-2</v>
      </c>
      <c r="HI131">
        <f>VLOOKUP(A131,[4]Москва_продажа_районы!$C$4:$F$151,3,0)</f>
        <v>408360.38102650212</v>
      </c>
      <c r="HJ131" s="13">
        <f t="shared" si="232"/>
        <v>8.9125766076267876E-3</v>
      </c>
      <c r="HK131">
        <f>VLOOKUP(A131,[4]Москва_продажа_районы!$C$4:$F$151,2,0)</f>
        <v>385</v>
      </c>
      <c r="HL131" s="13">
        <f t="shared" si="233"/>
        <v>5.2219321148825326E-3</v>
      </c>
      <c r="HM131" s="1">
        <f>VLOOKUP(A131,Лист3!$C$4:$F$149,3,0)</f>
        <v>413161.19468372612</v>
      </c>
      <c r="HN131" s="13">
        <f t="shared" si="234"/>
        <v>1.175631594121862E-2</v>
      </c>
      <c r="HO131">
        <f>VLOOKUP(A131,Лист3!$C$4:$F$149,2,0)</f>
        <v>336</v>
      </c>
      <c r="HP131" s="13">
        <f t="shared" si="235"/>
        <v>-0.12727272727272732</v>
      </c>
      <c r="HQ131" s="1">
        <v>411558.52405091468</v>
      </c>
      <c r="HR131" s="13">
        <v>-3.879044434553669E-3</v>
      </c>
      <c r="HS131">
        <v>349</v>
      </c>
      <c r="HT131" s="13">
        <v>3.8690476190476275E-2</v>
      </c>
      <c r="HU131" s="34">
        <v>416075.2786606694</v>
      </c>
      <c r="HV131" s="13">
        <v>1.0974756555390819E-2</v>
      </c>
      <c r="HW131">
        <v>323</v>
      </c>
      <c r="HX131" s="13">
        <v>-7.4498567335243515E-2</v>
      </c>
      <c r="HY131">
        <v>410917.59251624299</v>
      </c>
      <c r="HZ131" s="13">
        <v>-1.2396040834314448E-2</v>
      </c>
      <c r="IA131">
        <v>337</v>
      </c>
      <c r="IB131" s="13">
        <v>4.334365325077405E-2</v>
      </c>
      <c r="IC131" s="34">
        <v>414083.19721060741</v>
      </c>
      <c r="ID131" s="13">
        <v>7.7037458410575965E-3</v>
      </c>
      <c r="IE131">
        <v>317</v>
      </c>
      <c r="IF131" s="13">
        <v>-5.9347181008902128E-2</v>
      </c>
    </row>
    <row r="132" spans="1:240" x14ac:dyDescent="0.3">
      <c r="A132" s="23" t="s">
        <v>134</v>
      </c>
      <c r="B132" s="22">
        <v>249205.69415456522</v>
      </c>
      <c r="C132">
        <v>460</v>
      </c>
      <c r="D132" s="22">
        <v>252846.54011802562</v>
      </c>
      <c r="E132">
        <v>466</v>
      </c>
      <c r="F132" s="22">
        <v>256506.92083063984</v>
      </c>
      <c r="G132">
        <v>297</v>
      </c>
      <c r="H132" s="22">
        <v>255778.31915480754</v>
      </c>
      <c r="I132">
        <v>306</v>
      </c>
      <c r="J132" s="22">
        <v>253711.43485223316</v>
      </c>
      <c r="K132">
        <v>368</v>
      </c>
      <c r="L132" s="22">
        <v>254176.49910771928</v>
      </c>
      <c r="M132">
        <v>372</v>
      </c>
      <c r="N132" s="22">
        <v>256020.69585975053</v>
      </c>
      <c r="O132" s="28">
        <v>369</v>
      </c>
      <c r="P132" s="39">
        <v>262756.36751867249</v>
      </c>
      <c r="Q132" s="28">
        <v>362</v>
      </c>
      <c r="R132" s="39">
        <v>265681.57458554092</v>
      </c>
      <c r="S132">
        <v>298</v>
      </c>
      <c r="T132" s="46">
        <v>268660.65191736765</v>
      </c>
      <c r="U132" s="47">
        <v>297</v>
      </c>
      <c r="V132" s="56">
        <v>278514.57452033751</v>
      </c>
      <c r="W132" s="47">
        <v>258</v>
      </c>
      <c r="X132" s="56">
        <v>283483.34669211879</v>
      </c>
      <c r="Y132" s="47">
        <v>237</v>
      </c>
      <c r="Z132" s="34">
        <v>287079.72440916282</v>
      </c>
      <c r="AA132" s="81">
        <v>259</v>
      </c>
      <c r="AB132" s="1">
        <v>286452.47102626192</v>
      </c>
      <c r="AC132">
        <v>288</v>
      </c>
      <c r="AD132" s="1">
        <v>293046.81375756941</v>
      </c>
      <c r="AE132">
        <v>235</v>
      </c>
      <c r="AF132" s="13">
        <f t="shared" si="180"/>
        <v>3.3735551583695456E-2</v>
      </c>
      <c r="AG132" s="85">
        <f t="shared" si="331"/>
        <v>5.7981741919565753E-2</v>
      </c>
      <c r="AH132" s="35">
        <f t="shared" si="332"/>
        <v>16.756723414754504</v>
      </c>
      <c r="AI132" s="87">
        <f t="shared" si="333"/>
        <v>251.7567234147545</v>
      </c>
      <c r="AL132" s="1">
        <v>294793.67800532287</v>
      </c>
      <c r="AM132">
        <v>257</v>
      </c>
      <c r="AN132" s="13">
        <f t="shared" si="334"/>
        <v>6.25E-2</v>
      </c>
      <c r="AQ132">
        <f t="shared" si="335"/>
        <v>17</v>
      </c>
      <c r="AR132" s="90">
        <f t="shared" si="336"/>
        <v>274</v>
      </c>
      <c r="AS132">
        <v>262</v>
      </c>
      <c r="AT132" s="1">
        <v>300204.97326951713</v>
      </c>
      <c r="AU132" s="13">
        <f t="shared" si="337"/>
        <v>1.8356212049081222E-2</v>
      </c>
      <c r="AV132" s="35">
        <v>273</v>
      </c>
      <c r="AW132" s="1">
        <v>307562.79763311049</v>
      </c>
      <c r="AX132" s="35">
        <v>296.72373540856029</v>
      </c>
      <c r="AY132" s="121">
        <v>315151.60225565382</v>
      </c>
      <c r="AZ132" s="122">
        <v>272</v>
      </c>
      <c r="BA132" s="119">
        <v>320597.66885910399</v>
      </c>
      <c r="BB132">
        <v>289</v>
      </c>
      <c r="BC132" s="13">
        <f t="shared" si="338"/>
        <v>1.7280783484744155E-2</v>
      </c>
      <c r="BD132">
        <v>286</v>
      </c>
      <c r="BE132" s="1">
        <v>324821.18494397338</v>
      </c>
      <c r="BF132" s="13">
        <f t="shared" si="315"/>
        <v>1.3173882704448303E-2</v>
      </c>
      <c r="BG132">
        <v>299</v>
      </c>
      <c r="BH132" s="1">
        <v>329839.15065014589</v>
      </c>
      <c r="BI132" s="13">
        <f t="shared" si="267"/>
        <v>1.5448394189677028E-2</v>
      </c>
      <c r="BJ132">
        <v>293</v>
      </c>
      <c r="BK132" s="1">
        <v>332568.68383212457</v>
      </c>
      <c r="BL132" s="13">
        <f t="shared" si="316"/>
        <v>8.2753462607410011E-3</v>
      </c>
      <c r="BM132" s="1">
        <v>339464.3380523852</v>
      </c>
      <c r="BN132" s="109">
        <f t="shared" si="317"/>
        <v>2.0734526597042446E-2</v>
      </c>
      <c r="BO132">
        <v>285</v>
      </c>
      <c r="BP132" s="13">
        <f t="shared" si="318"/>
        <v>-2.7303754266211566E-2</v>
      </c>
      <c r="BQ132" s="1">
        <v>347354.43337637873</v>
      </c>
      <c r="BR132" s="13">
        <f t="shared" ref="BR132:BR154" si="339">IFERROR(BQ132/BM132-1,"")</f>
        <v>2.3242781168889559E-2</v>
      </c>
      <c r="BS132">
        <v>296</v>
      </c>
      <c r="BT132" s="13">
        <f t="shared" ref="BT132:BT154" si="340">IFERROR(BS132/BO132-1,"")</f>
        <v>3.8596491228070073E-2</v>
      </c>
      <c r="BU132" s="1">
        <v>361892.62736148568</v>
      </c>
      <c r="BV132" s="13">
        <f t="shared" si="319"/>
        <v>4.1854061984445634E-2</v>
      </c>
      <c r="BW132">
        <v>286</v>
      </c>
      <c r="BX132" s="13">
        <f t="shared" si="320"/>
        <v>-3.3783783783783772E-2</v>
      </c>
      <c r="BY132" s="1">
        <v>370783.82694444113</v>
      </c>
      <c r="BZ132" s="13">
        <f t="shared" si="321"/>
        <v>2.4568612098511355E-2</v>
      </c>
      <c r="CA132">
        <v>253</v>
      </c>
      <c r="CB132" s="13">
        <f t="shared" si="322"/>
        <v>-0.11538461538461542</v>
      </c>
      <c r="CC132" s="1">
        <v>363283.55154759763</v>
      </c>
      <c r="CD132" s="13">
        <f t="shared" si="323"/>
        <v>-2.0228162211528566E-2</v>
      </c>
      <c r="CE132">
        <v>265</v>
      </c>
      <c r="CF132" s="13">
        <f t="shared" si="324"/>
        <v>4.743083003952564E-2</v>
      </c>
      <c r="CG132" s="1">
        <v>355781.35674659762</v>
      </c>
      <c r="CH132" s="13">
        <f t="shared" si="325"/>
        <v>-2.0651072059388431E-2</v>
      </c>
      <c r="CI132">
        <v>309</v>
      </c>
      <c r="CJ132" s="13">
        <f t="shared" si="326"/>
        <v>0.16603773584905657</v>
      </c>
      <c r="CK132" s="1">
        <v>348627.03049768048</v>
      </c>
      <c r="CL132" s="13">
        <f t="shared" si="327"/>
        <v>-2.0108772180586043E-2</v>
      </c>
      <c r="CM132">
        <v>366</v>
      </c>
      <c r="CN132" s="13">
        <f t="shared" si="328"/>
        <v>0.18446601941747565</v>
      </c>
      <c r="CO132" s="1">
        <v>348717.29364725522</v>
      </c>
      <c r="CP132" s="13">
        <v>2.5891035886083102E-4</v>
      </c>
      <c r="CQ132">
        <v>364</v>
      </c>
      <c r="CR132" s="13">
        <v>-5.464480874316946E-3</v>
      </c>
      <c r="CS132" s="1">
        <v>347743.63925714069</v>
      </c>
      <c r="CT132" s="13">
        <f t="shared" si="181"/>
        <v>-2.7921023931191113E-3</v>
      </c>
      <c r="CU132">
        <v>426</v>
      </c>
      <c r="CV132" s="13">
        <f t="shared" si="182"/>
        <v>0.17032967032967039</v>
      </c>
      <c r="CW132" s="1">
        <v>341105.67793292028</v>
      </c>
      <c r="CX132" s="13">
        <f t="shared" si="183"/>
        <v>-1.9088663529261418E-2</v>
      </c>
      <c r="CY132">
        <v>455</v>
      </c>
      <c r="CZ132" s="13">
        <f t="shared" si="184"/>
        <v>6.8075117370892002E-2</v>
      </c>
      <c r="DA132" s="1">
        <v>334541.56298504781</v>
      </c>
      <c r="DB132" s="13">
        <f t="shared" si="185"/>
        <v>-1.9243640233873038E-2</v>
      </c>
      <c r="DC132">
        <v>433</v>
      </c>
      <c r="DD132" s="13">
        <f t="shared" si="186"/>
        <v>-4.8351648351648402E-2</v>
      </c>
      <c r="DE132" s="1">
        <v>330563.65187450929</v>
      </c>
      <c r="DF132" s="13">
        <f t="shared" si="187"/>
        <v>-1.1890633483757296E-2</v>
      </c>
      <c r="DG132" s="1">
        <v>401</v>
      </c>
      <c r="DH132" s="13">
        <f t="shared" si="188"/>
        <v>-7.3903002309468779E-2</v>
      </c>
      <c r="DI132" s="1">
        <v>332029.69443579181</v>
      </c>
      <c r="DJ132" s="13">
        <f t="shared" si="189"/>
        <v>4.434978113803778E-3</v>
      </c>
      <c r="DK132" s="1">
        <v>385</v>
      </c>
      <c r="DL132" s="13">
        <f t="shared" si="190"/>
        <v>-3.9900249376558561E-2</v>
      </c>
      <c r="DM132" s="1">
        <v>329484.33608522592</v>
      </c>
      <c r="DN132" s="13">
        <f t="shared" si="191"/>
        <v>-7.6660563594805886E-3</v>
      </c>
      <c r="DO132" s="1">
        <v>382</v>
      </c>
      <c r="DP132" s="13">
        <f t="shared" si="192"/>
        <v>-7.7922077922077948E-3</v>
      </c>
      <c r="DQ132" s="1">
        <v>327967.75895624468</v>
      </c>
      <c r="DR132" s="13">
        <f t="shared" si="193"/>
        <v>-4.6028808136996391E-3</v>
      </c>
      <c r="DS132">
        <v>396</v>
      </c>
      <c r="DT132" s="13">
        <f t="shared" si="194"/>
        <v>3.6649214659685958E-2</v>
      </c>
      <c r="DU132" s="1">
        <v>327907.74296262529</v>
      </c>
      <c r="DV132" s="13">
        <f t="shared" si="195"/>
        <v>-1.8299357781503822E-4</v>
      </c>
      <c r="DW132">
        <v>384</v>
      </c>
      <c r="DX132" s="13">
        <f t="shared" si="196"/>
        <v>-3.0303030303030276E-2</v>
      </c>
      <c r="DY132" s="1">
        <v>333971.87301601958</v>
      </c>
      <c r="DZ132" s="13">
        <f t="shared" si="197"/>
        <v>1.8493403048690737E-2</v>
      </c>
      <c r="EA132" s="1">
        <v>389</v>
      </c>
      <c r="EB132" s="13">
        <f t="shared" si="198"/>
        <v>1.3020833333333259E-2</v>
      </c>
      <c r="EC132" s="1">
        <v>334647.78324814379</v>
      </c>
      <c r="ED132" s="13">
        <f t="shared" si="199"/>
        <v>2.0238537635526299E-3</v>
      </c>
      <c r="EE132" s="1">
        <f>IFERROR(VLOOKUP($A132,[1]Москва_продажа_районы!$C$2:$F$148,2,0),"")</f>
        <v>358</v>
      </c>
      <c r="EF132" s="13">
        <v>-7.9691516709511578E-2</v>
      </c>
      <c r="EG132" s="1">
        <v>339665.94294910663</v>
      </c>
      <c r="EH132" s="13">
        <f t="shared" si="200"/>
        <v>1.4995347204322718E-2</v>
      </c>
      <c r="EI132" s="1">
        <f>IFERROR(VLOOKUP($A132,[2]Москва_продажа_районы!$C$2:$F$150,2,0),"")</f>
        <v>336</v>
      </c>
      <c r="EJ132" s="13">
        <v>-6.1452513966480438E-2</v>
      </c>
      <c r="EK132" s="1">
        <v>348798.18950467941</v>
      </c>
      <c r="EL132" s="13">
        <f t="shared" si="201"/>
        <v>2.6885964710748445E-2</v>
      </c>
      <c r="EM132">
        <v>348</v>
      </c>
      <c r="EN132" s="13">
        <f t="shared" si="202"/>
        <v>3.5714285714285809E-2</v>
      </c>
      <c r="EO132" s="1">
        <v>352515.4258734053</v>
      </c>
      <c r="EP132" s="13">
        <f t="shared" si="203"/>
        <v>1.0657269677932346E-2</v>
      </c>
      <c r="EQ132">
        <v>305</v>
      </c>
      <c r="ER132" s="13">
        <f t="shared" si="204"/>
        <v>-0.12356321839080464</v>
      </c>
      <c r="ES132" s="183">
        <v>354085.22781442729</v>
      </c>
      <c r="ET132" s="13">
        <f t="shared" si="205"/>
        <v>4.4531439642183646E-3</v>
      </c>
      <c r="EU132">
        <v>295</v>
      </c>
      <c r="EV132" s="13">
        <f t="shared" si="206"/>
        <v>-3.2786885245901676E-2</v>
      </c>
      <c r="EW132" s="183">
        <v>360879.99821857869</v>
      </c>
      <c r="EX132" s="13">
        <f t="shared" si="207"/>
        <v>1.9189646645503267E-2</v>
      </c>
      <c r="EY132">
        <v>305</v>
      </c>
      <c r="EZ132" s="13">
        <f t="shared" si="208"/>
        <v>3.3898305084745672E-2</v>
      </c>
      <c r="FA132" s="1">
        <v>357730.16502922162</v>
      </c>
      <c r="FB132" s="13">
        <f t="shared" si="209"/>
        <v>-8.7282010776592589E-3</v>
      </c>
      <c r="FC132" s="1">
        <v>278</v>
      </c>
      <c r="FD132" s="13">
        <f t="shared" si="210"/>
        <v>-8.8524590163934436E-2</v>
      </c>
      <c r="FE132" s="1">
        <v>361883.89322732441</v>
      </c>
      <c r="FF132" s="13">
        <f t="shared" si="211"/>
        <v>1.161134453887458E-2</v>
      </c>
      <c r="FG132" s="1">
        <v>275</v>
      </c>
      <c r="FH132" s="13">
        <f t="shared" si="212"/>
        <v>-1.0791366906474864E-2</v>
      </c>
      <c r="FI132" s="1">
        <v>365359.79586973047</v>
      </c>
      <c r="FJ132" s="13">
        <f t="shared" si="213"/>
        <v>9.6050216863965421E-3</v>
      </c>
      <c r="FK132" s="1">
        <v>325</v>
      </c>
      <c r="FL132" s="13">
        <f t="shared" si="214"/>
        <v>0.18181818181818188</v>
      </c>
      <c r="FM132" s="1">
        <v>373840.19667491369</v>
      </c>
      <c r="FN132" s="13">
        <f t="shared" si="215"/>
        <v>2.3211094655326781E-2</v>
      </c>
      <c r="FO132" s="1">
        <v>351</v>
      </c>
      <c r="FP132" s="13">
        <f t="shared" si="216"/>
        <v>8.0000000000000071E-2</v>
      </c>
      <c r="FQ132" s="1">
        <v>370920.36042899109</v>
      </c>
      <c r="FR132" s="13">
        <f t="shared" si="217"/>
        <v>-7.8103860202642927E-3</v>
      </c>
      <c r="FS132">
        <v>333</v>
      </c>
      <c r="FT132" s="13">
        <f t="shared" si="218"/>
        <v>-5.1282051282051322E-2</v>
      </c>
      <c r="FU132" s="1">
        <v>369062.38447045989</v>
      </c>
      <c r="FV132" s="13">
        <f t="shared" si="219"/>
        <v>-5.0090967138669562E-3</v>
      </c>
      <c r="FW132" s="1">
        <v>316</v>
      </c>
      <c r="FX132" s="13">
        <f t="shared" si="220"/>
        <v>-5.1051051051051011E-2</v>
      </c>
      <c r="FY132" s="1">
        <v>366841.56559761218</v>
      </c>
      <c r="FZ132" s="13">
        <f t="shared" si="221"/>
        <v>-6.0174619963890841E-3</v>
      </c>
      <c r="GA132" s="1">
        <v>305</v>
      </c>
      <c r="GB132" s="13">
        <f t="shared" si="222"/>
        <v>-3.4810126582278444E-2</v>
      </c>
      <c r="GC132" s="1">
        <v>387210.18637049658</v>
      </c>
      <c r="GD132" s="13">
        <f t="shared" si="223"/>
        <v>5.5524298997313482E-2</v>
      </c>
      <c r="GE132" s="1">
        <v>340</v>
      </c>
      <c r="GF132" s="13">
        <f t="shared" si="224"/>
        <v>0.11475409836065564</v>
      </c>
      <c r="GG132" s="1">
        <f>IFERROR(VLOOKUP(A132,[3]Москва_продажа_районы!$C$2:$F$149,3,0),"")</f>
        <v>389652.2077491922</v>
      </c>
      <c r="GH132" s="13">
        <v>6.3067074799498801E-3</v>
      </c>
      <c r="GI132" s="1">
        <v>351</v>
      </c>
      <c r="GJ132" s="13">
        <f t="shared" si="225"/>
        <v>3.2352941176470695E-2</v>
      </c>
      <c r="GK132" s="1">
        <v>391190.53209943383</v>
      </c>
      <c r="GL132" s="13">
        <f t="shared" si="226"/>
        <v>3.9479420869388271E-3</v>
      </c>
      <c r="GM132" s="1">
        <v>360</v>
      </c>
      <c r="GN132" s="13">
        <f t="shared" si="227"/>
        <v>2.564102564102555E-2</v>
      </c>
      <c r="GO132" s="1">
        <v>389117.09094013582</v>
      </c>
      <c r="GP132" s="13">
        <f t="shared" si="228"/>
        <v>-5.3003357422028996E-3</v>
      </c>
      <c r="GQ132" s="1">
        <v>350.96000000000004</v>
      </c>
      <c r="GR132" s="13">
        <f t="shared" si="229"/>
        <v>-2.5111111111110973E-2</v>
      </c>
      <c r="GS132" s="1">
        <v>378231.86666233308</v>
      </c>
      <c r="GT132" s="13">
        <f t="shared" si="329"/>
        <v>-2.7974161328928604E-2</v>
      </c>
      <c r="GU132">
        <v>317</v>
      </c>
      <c r="GV132" s="13">
        <f t="shared" si="330"/>
        <v>-9.6763163893321291E-2</v>
      </c>
      <c r="GW132">
        <v>378535.85975638841</v>
      </c>
      <c r="GX132" s="13">
        <f t="shared" si="230"/>
        <v>8.0372152864294222E-4</v>
      </c>
      <c r="GY132">
        <v>276</v>
      </c>
      <c r="GZ132" s="13">
        <f t="shared" si="231"/>
        <v>-0.12933753943217663</v>
      </c>
      <c r="HA132">
        <v>382454.1597072467</v>
      </c>
      <c r="HB132" s="13">
        <v>1.0351198835904185E-2</v>
      </c>
      <c r="HC132">
        <v>234</v>
      </c>
      <c r="HD132" s="13">
        <v>-0.15217391304347827</v>
      </c>
      <c r="HE132">
        <v>382734.31864606182</v>
      </c>
      <c r="HF132" s="13">
        <v>7.3252945929414004E-4</v>
      </c>
      <c r="HG132">
        <v>249</v>
      </c>
      <c r="HH132" s="13">
        <v>6.4102564102564097E-2</v>
      </c>
      <c r="HI132">
        <f>VLOOKUP(A132,[4]Москва_продажа_районы!$C$4:$F$151,3,0)</f>
        <v>383731.57135009841</v>
      </c>
      <c r="HJ132" s="13">
        <f t="shared" si="232"/>
        <v>2.6056004268559807E-3</v>
      </c>
      <c r="HK132">
        <f>VLOOKUP(A132,[4]Москва_продажа_районы!$C$4:$F$151,2,0)</f>
        <v>253</v>
      </c>
      <c r="HL132" s="13">
        <f t="shared" si="233"/>
        <v>1.6064257028112428E-2</v>
      </c>
      <c r="HM132" s="1">
        <f>VLOOKUP(A132,Лист3!$C$4:$F$149,3,0)</f>
        <v>384366.83002594882</v>
      </c>
      <c r="HN132" s="13">
        <f t="shared" si="234"/>
        <v>1.6554767011098814E-3</v>
      </c>
      <c r="HO132">
        <f>VLOOKUP(A132,Лист3!$C$4:$F$149,2,0)</f>
        <v>255</v>
      </c>
      <c r="HP132" s="13">
        <f t="shared" si="235"/>
        <v>7.905138339920903E-3</v>
      </c>
      <c r="HQ132" s="1">
        <v>389097.27833677921</v>
      </c>
      <c r="HR132" s="13">
        <v>1.2307118984515419E-2</v>
      </c>
      <c r="HS132">
        <v>263</v>
      </c>
      <c r="HT132" s="13">
        <v>3.1372549019607954E-2</v>
      </c>
      <c r="HU132" s="34">
        <v>392583.07200166438</v>
      </c>
      <c r="HV132" s="13">
        <v>8.9586688444220908E-3</v>
      </c>
      <c r="HW132">
        <v>235</v>
      </c>
      <c r="HX132" s="13">
        <v>-0.10646387832699622</v>
      </c>
      <c r="HY132">
        <v>400598.63181976549</v>
      </c>
      <c r="HZ132" s="13">
        <v>2.0417487125036216E-2</v>
      </c>
      <c r="IA132">
        <v>244</v>
      </c>
      <c r="IB132" s="13">
        <v>3.8297872340425476E-2</v>
      </c>
      <c r="IC132" s="34">
        <v>403416.1605390269</v>
      </c>
      <c r="ID132" s="13">
        <v>7.0332959113277305E-3</v>
      </c>
      <c r="IE132">
        <v>246</v>
      </c>
      <c r="IF132" s="13">
        <v>8.1967213114753079E-3</v>
      </c>
    </row>
    <row r="133" spans="1:240" x14ac:dyDescent="0.3">
      <c r="A133" s="23" t="s">
        <v>135</v>
      </c>
      <c r="B133" s="22">
        <v>177609.82000508904</v>
      </c>
      <c r="C133">
        <v>393</v>
      </c>
      <c r="D133" s="22">
        <v>178952.17744986742</v>
      </c>
      <c r="E133">
        <v>377</v>
      </c>
      <c r="F133" s="22">
        <v>180958.83482063501</v>
      </c>
      <c r="G133">
        <v>252</v>
      </c>
      <c r="H133" s="22">
        <v>182656.46954583141</v>
      </c>
      <c r="I133">
        <v>263</v>
      </c>
      <c r="J133" s="22">
        <v>180973.76605413971</v>
      </c>
      <c r="K133">
        <v>329</v>
      </c>
      <c r="L133" s="22">
        <v>180451.94214741985</v>
      </c>
      <c r="M133">
        <v>312</v>
      </c>
      <c r="N133" s="22">
        <v>184282.50516878333</v>
      </c>
      <c r="O133" s="28">
        <v>285</v>
      </c>
      <c r="P133" s="39">
        <v>187105.17829317381</v>
      </c>
      <c r="Q133" s="28">
        <v>275</v>
      </c>
      <c r="R133" s="39">
        <v>194760.74351445347</v>
      </c>
      <c r="S133">
        <v>237</v>
      </c>
      <c r="T133" s="46">
        <v>198158.17605331249</v>
      </c>
      <c r="U133" s="47">
        <v>221</v>
      </c>
      <c r="V133" s="56">
        <v>200721.572676112</v>
      </c>
      <c r="W133" s="47">
        <v>189</v>
      </c>
      <c r="X133" s="56">
        <v>202463.18438859851</v>
      </c>
      <c r="Y133" s="47">
        <v>202</v>
      </c>
      <c r="Z133" s="34">
        <v>204709.81716977977</v>
      </c>
      <c r="AA133" s="81">
        <v>229</v>
      </c>
      <c r="AB133" s="1">
        <v>212333.4091303563</v>
      </c>
      <c r="AC133">
        <v>256</v>
      </c>
      <c r="AD133" s="1">
        <v>219257.63876515301</v>
      </c>
      <c r="AE133">
        <v>201</v>
      </c>
      <c r="AF133" s="13">
        <f t="shared" ref="AF133:AF154" si="341">AD133/X133-1</f>
        <v>8.2950658053071002E-2</v>
      </c>
      <c r="AG133" s="85">
        <f t="shared" si="331"/>
        <v>4.9592894152479645E-2</v>
      </c>
      <c r="AH133" s="35">
        <f t="shared" si="332"/>
        <v>14.332346410066618</v>
      </c>
      <c r="AI133" s="87">
        <f t="shared" si="333"/>
        <v>215.33234641006661</v>
      </c>
      <c r="AL133" s="1">
        <v>220915.96398982269</v>
      </c>
      <c r="AM133">
        <v>210</v>
      </c>
      <c r="AN133" s="13">
        <f t="shared" si="334"/>
        <v>5.1070038910505836E-2</v>
      </c>
      <c r="AQ133">
        <f t="shared" si="335"/>
        <v>14</v>
      </c>
      <c r="AR133" s="90">
        <f t="shared" si="336"/>
        <v>224</v>
      </c>
      <c r="AS133">
        <v>210</v>
      </c>
      <c r="AT133" s="1">
        <v>220566.36375378</v>
      </c>
      <c r="AU133" s="13">
        <f t="shared" si="337"/>
        <v>-1.5825032728680188E-3</v>
      </c>
      <c r="AV133" s="35">
        <v>200</v>
      </c>
      <c r="AW133" s="1">
        <v>228726.73731931241</v>
      </c>
      <c r="AX133" s="35">
        <v>217.38002594033722</v>
      </c>
      <c r="AY133" s="121">
        <v>236471.86275052201</v>
      </c>
      <c r="AZ133" s="122">
        <v>224</v>
      </c>
      <c r="BA133" s="119">
        <v>238516.3331392066</v>
      </c>
      <c r="BB133">
        <v>246</v>
      </c>
      <c r="BC133" s="13">
        <f t="shared" si="338"/>
        <v>8.6457237021959621E-3</v>
      </c>
      <c r="BD133">
        <v>241</v>
      </c>
      <c r="BE133" s="1">
        <v>244762.62783051169</v>
      </c>
      <c r="BF133" s="13">
        <f t="shared" si="315"/>
        <v>2.6188121413301735E-2</v>
      </c>
      <c r="BG133">
        <v>248</v>
      </c>
      <c r="BH133" s="1">
        <v>251801.04721868929</v>
      </c>
      <c r="BI133" s="13">
        <f t="shared" si="267"/>
        <v>2.8756103211358797E-2</v>
      </c>
      <c r="BJ133">
        <v>222</v>
      </c>
      <c r="BK133" s="1">
        <v>252160.24142753039</v>
      </c>
      <c r="BL133" s="13">
        <f t="shared" si="316"/>
        <v>1.4265000595059529E-3</v>
      </c>
      <c r="BM133" s="1">
        <v>251289.96430839851</v>
      </c>
      <c r="BN133" s="109">
        <f t="shared" si="317"/>
        <v>-3.4512860322668537E-3</v>
      </c>
      <c r="BO133">
        <v>203</v>
      </c>
      <c r="BP133" s="13">
        <f t="shared" si="318"/>
        <v>-8.55855855855856E-2</v>
      </c>
      <c r="BQ133" s="1">
        <v>254812.08789102011</v>
      </c>
      <c r="BR133" s="13">
        <f t="shared" si="339"/>
        <v>1.4016172879466993E-2</v>
      </c>
      <c r="BS133">
        <v>211</v>
      </c>
      <c r="BT133" s="13">
        <f t="shared" si="340"/>
        <v>3.9408866995073843E-2</v>
      </c>
      <c r="BU133" s="1">
        <v>260852.99287982029</v>
      </c>
      <c r="BV133" s="13">
        <f t="shared" si="319"/>
        <v>2.3707293632725168E-2</v>
      </c>
      <c r="BW133">
        <v>188</v>
      </c>
      <c r="BX133" s="13">
        <f t="shared" si="320"/>
        <v>-0.10900473933649291</v>
      </c>
      <c r="BY133" s="1">
        <v>266131.51697130402</v>
      </c>
      <c r="BZ133" s="13">
        <f t="shared" si="321"/>
        <v>2.023562786536881E-2</v>
      </c>
      <c r="CA133">
        <v>158</v>
      </c>
      <c r="CB133" s="13">
        <f t="shared" si="322"/>
        <v>-0.15957446808510634</v>
      </c>
      <c r="CC133" s="1">
        <v>260865.09867072251</v>
      </c>
      <c r="CD133" s="13">
        <f t="shared" si="323"/>
        <v>-1.9788780977599729E-2</v>
      </c>
      <c r="CE133">
        <v>191</v>
      </c>
      <c r="CF133" s="13">
        <f t="shared" si="324"/>
        <v>0.20886075949367089</v>
      </c>
      <c r="CG133" s="1">
        <v>258438.336430347</v>
      </c>
      <c r="CH133" s="13">
        <f t="shared" si="325"/>
        <v>-9.3027478675431485E-3</v>
      </c>
      <c r="CI133">
        <v>234</v>
      </c>
      <c r="CJ133" s="13">
        <f t="shared" si="326"/>
        <v>0.22513089005235609</v>
      </c>
      <c r="CK133" s="1">
        <v>255656.25016068129</v>
      </c>
      <c r="CL133" s="13">
        <f t="shared" si="327"/>
        <v>-1.0764990628298388E-2</v>
      </c>
      <c r="CM133">
        <v>264</v>
      </c>
      <c r="CN133" s="13">
        <f t="shared" si="328"/>
        <v>0.12820512820512819</v>
      </c>
      <c r="CO133" s="1">
        <v>256942.7726228348</v>
      </c>
      <c r="CP133" s="13">
        <v>5.0322355168117561E-3</v>
      </c>
      <c r="CQ133">
        <v>247</v>
      </c>
      <c r="CR133" s="13">
        <v>-6.4393939393939448E-2</v>
      </c>
      <c r="CS133" s="1">
        <v>251863.5786322162</v>
      </c>
      <c r="CT133" s="13">
        <f t="shared" ref="CT133:CT154" si="342">IFERROR(CS133/CO133-1,"")</f>
        <v>-1.9767802529609746E-2</v>
      </c>
      <c r="CU133">
        <v>270</v>
      </c>
      <c r="CV133" s="13">
        <f t="shared" ref="CV133:CV154" si="343">IFERROR(CU133/CQ133-1,"")</f>
        <v>9.3117408906882693E-2</v>
      </c>
      <c r="CW133" s="1">
        <v>248765.59627532691</v>
      </c>
      <c r="CX133" s="13">
        <f t="shared" ref="CX133:CX154" si="344">IFERROR(CW133/CS133-1,"")</f>
        <v>-1.2300239572999638E-2</v>
      </c>
      <c r="CY133">
        <v>299</v>
      </c>
      <c r="CZ133" s="13">
        <f t="shared" ref="CZ133:CZ154" si="345">IFERROR(CY133/CU133-1,"")</f>
        <v>0.1074074074074074</v>
      </c>
      <c r="DA133" s="1">
        <v>248987.933126263</v>
      </c>
      <c r="DB133" s="13">
        <f t="shared" ref="DB133:DB154" si="346">IFERROR(DA133/CW133-1,"")</f>
        <v>8.9376044865141502E-4</v>
      </c>
      <c r="DC133">
        <v>283</v>
      </c>
      <c r="DD133" s="13">
        <f t="shared" ref="DD133:DD154" si="347">IFERROR(DC133/CY133-1,"")</f>
        <v>-5.3511705685618693E-2</v>
      </c>
      <c r="DE133" s="1">
        <v>246965.10072501269</v>
      </c>
      <c r="DF133" s="13">
        <f t="shared" ref="DF133:DF154" si="348">IFERROR(DE133/DA133-1,"")</f>
        <v>-8.1242186151427864E-3</v>
      </c>
      <c r="DG133" s="1">
        <v>248</v>
      </c>
      <c r="DH133" s="13">
        <f t="shared" ref="DH133:DH154" si="349">IFERROR(DG133/DC133-1,"")</f>
        <v>-0.12367491166077738</v>
      </c>
      <c r="DI133" s="1">
        <v>245856.09737447399</v>
      </c>
      <c r="DJ133" s="13">
        <f t="shared" ref="DJ133:DJ154" si="350">IFERROR(DI133/DE133-1,"")</f>
        <v>-4.490526585671395E-3</v>
      </c>
      <c r="DK133" s="1">
        <v>261</v>
      </c>
      <c r="DL133" s="13">
        <f t="shared" ref="DL133:DL154" si="351">IFERROR(DK133/DG133-1,"")</f>
        <v>5.2419354838709742E-2</v>
      </c>
      <c r="DM133" s="1">
        <v>243998.15148690739</v>
      </c>
      <c r="DN133" s="13">
        <f t="shared" ref="DN133:DN154" si="352">IFERROR(DM133/DI133-1,"")</f>
        <v>-7.5570462047019893E-3</v>
      </c>
      <c r="DO133" s="1">
        <v>270</v>
      </c>
      <c r="DP133" s="13">
        <f t="shared" ref="DP133:DP154" si="353">IFERROR(DO133/DK133-1,"")</f>
        <v>3.4482758620689724E-2</v>
      </c>
      <c r="DQ133" s="1">
        <v>245742.60049456751</v>
      </c>
      <c r="DR133" s="13">
        <f t="shared" ref="DR133:DR154" si="354">IFERROR(DQ133/DM133-1,"")</f>
        <v>7.1494353421515111E-3</v>
      </c>
      <c r="DS133">
        <v>278</v>
      </c>
      <c r="DT133" s="13">
        <f t="shared" ref="DT133:DT154" si="355">IFERROR(DS133/DO133-1,"")</f>
        <v>2.9629629629629672E-2</v>
      </c>
      <c r="DU133" s="1">
        <v>245124.80146067179</v>
      </c>
      <c r="DV133" s="13">
        <f t="shared" ref="DV133:DV154" si="356">IFERROR(DU133/DQ133-1,"")</f>
        <v>-2.5140086930486305E-3</v>
      </c>
      <c r="DW133">
        <v>257</v>
      </c>
      <c r="DX133" s="13">
        <f t="shared" ref="DX133:DX154" si="357">IFERROR(DW133/DS133-1,"")</f>
        <v>-7.5539568345323715E-2</v>
      </c>
      <c r="DY133" s="1">
        <v>243602.5247287628</v>
      </c>
      <c r="DZ133" s="13">
        <f t="shared" ref="DZ133:DZ154" si="358">IFERROR(DY133/DU133-1,"")</f>
        <v>-6.2102109735037159E-3</v>
      </c>
      <c r="EA133" s="1">
        <v>230</v>
      </c>
      <c r="EB133" s="13">
        <f t="shared" ref="EB133:EB154" si="359">IFERROR(EA133/DW133-1,"")</f>
        <v>-0.10505836575875482</v>
      </c>
      <c r="EC133" s="1">
        <v>245373.04494225551</v>
      </c>
      <c r="ED133" s="13">
        <f t="shared" ref="ED133:ED154" si="360">IFERROR(EC133/DY133-1,"")</f>
        <v>7.2680700475664661E-3</v>
      </c>
      <c r="EE133" s="1">
        <f>IFERROR(VLOOKUP($A133,[1]Москва_продажа_районы!$C$2:$F$148,2,0),"")</f>
        <v>226</v>
      </c>
      <c r="EF133" s="13">
        <v>-1.7391304347826098E-2</v>
      </c>
      <c r="EG133" s="1">
        <v>246895.91778057409</v>
      </c>
      <c r="EH133" s="13">
        <f t="shared" ref="EH133:EH154" si="361">IFERROR(EG133/EC133-1,"")</f>
        <v>6.2063575022144324E-3</v>
      </c>
      <c r="EI133" s="1">
        <f>IFERROR(VLOOKUP($A133,[2]Москва_продажа_районы!$C$2:$F$150,2,0),"")</f>
        <v>226</v>
      </c>
      <c r="EJ133" s="13">
        <v>0</v>
      </c>
      <c r="EK133" s="1">
        <v>253193.4868258576</v>
      </c>
      <c r="EL133" s="13">
        <f t="shared" ref="EL133:EL154" si="362">IFERROR(EK133/EG133-1,"")</f>
        <v>2.5506979223854254E-2</v>
      </c>
      <c r="EM133">
        <v>223</v>
      </c>
      <c r="EN133" s="13">
        <f t="shared" ref="EN133:EN154" si="363">IFERROR(EM133/EI133-1,"")</f>
        <v>-1.3274336283185861E-2</v>
      </c>
      <c r="EO133" s="1">
        <v>257848.46568847701</v>
      </c>
      <c r="EP133" s="13">
        <f t="shared" ref="EP133:EP154" si="364">IFERROR(EO133/EK133-1,"")</f>
        <v>1.8385065591442373E-2</v>
      </c>
      <c r="EQ133">
        <v>213</v>
      </c>
      <c r="ER133" s="13">
        <f t="shared" ref="ER133:ER154" si="365">IFERROR(EQ133/EM133-1,"")</f>
        <v>-4.4843049327354279E-2</v>
      </c>
      <c r="ES133" s="183">
        <v>262292.23621657968</v>
      </c>
      <c r="ET133" s="13">
        <f t="shared" ref="ET133:ET154" si="366">IFERROR(ES133/EO133-1,"")</f>
        <v>1.7234039055603612E-2</v>
      </c>
      <c r="EU133">
        <v>214</v>
      </c>
      <c r="EV133" s="13">
        <f t="shared" ref="EV133:EV154" si="367">IFERROR(EU133/EQ133-1,"")</f>
        <v>4.6948356807512415E-3</v>
      </c>
      <c r="EW133" s="183">
        <v>266612.74494195211</v>
      </c>
      <c r="EX133" s="13">
        <f t="shared" ref="EX133:EX154" si="368">IFERROR(EW133/ES133-1,"")</f>
        <v>1.6472118228481936E-2</v>
      </c>
      <c r="EY133">
        <v>192</v>
      </c>
      <c r="EZ133" s="13">
        <f t="shared" ref="EZ133:EZ154" si="369">IFERROR(EY133/EU133-1,"")</f>
        <v>-0.10280373831775702</v>
      </c>
      <c r="FA133" s="1">
        <v>269994.88940095698</v>
      </c>
      <c r="FB133" s="13">
        <f t="shared" ref="FB133:FB154" si="370">IFERROR(FA133/EW133-1,"")</f>
        <v>1.2685606833016339E-2</v>
      </c>
      <c r="FC133" s="1">
        <v>177</v>
      </c>
      <c r="FD133" s="13">
        <f t="shared" ref="FD133:FD154" si="371">IFERROR(FC133/EY133-1,"")</f>
        <v>-7.8125E-2</v>
      </c>
      <c r="FE133" s="1">
        <v>269619.38744328439</v>
      </c>
      <c r="FF133" s="13">
        <f t="shared" ref="FF133:FF154" si="372">IFERROR(FE133/FA133-1,"")</f>
        <v>-1.3907743161573061E-3</v>
      </c>
      <c r="FG133" s="1">
        <v>171</v>
      </c>
      <c r="FH133" s="13">
        <f t="shared" ref="FH133:FH154" si="373">IFERROR(FG133/FC133-1,"")</f>
        <v>-3.3898305084745783E-2</v>
      </c>
      <c r="FI133" s="1">
        <v>270765.24212807178</v>
      </c>
      <c r="FJ133" s="13">
        <f t="shared" ref="FJ133:FJ154" si="374">IFERROR(FI133/FE133-1,"")</f>
        <v>4.2498972186428841E-3</v>
      </c>
      <c r="FK133" s="1">
        <v>213</v>
      </c>
      <c r="FL133" s="13">
        <f t="shared" ref="FL133:FL154" si="375">IFERROR(FK133/FG133-1,"")</f>
        <v>0.2456140350877194</v>
      </c>
      <c r="FM133" s="1">
        <v>270254.59038921079</v>
      </c>
      <c r="FN133" s="13">
        <f t="shared" ref="FN133:FN154" si="376">IFERROR(FM133/FI133-1,"")</f>
        <v>-1.8859574990036654E-3</v>
      </c>
      <c r="FO133" s="1">
        <v>245</v>
      </c>
      <c r="FP133" s="13">
        <f t="shared" ref="FP133:FP154" si="377">IFERROR(FO133/FK133-1,"")</f>
        <v>0.15023474178403751</v>
      </c>
      <c r="FQ133" s="1">
        <v>271533.55095659842</v>
      </c>
      <c r="FR133" s="13">
        <f t="shared" ref="FR133:FR154" si="378">IFERROR(FQ133/FM133-1,"")</f>
        <v>4.7324286538323879E-3</v>
      </c>
      <c r="FS133">
        <v>260</v>
      </c>
      <c r="FT133" s="13">
        <f t="shared" ref="FT133:FT154" si="379">IFERROR(FS133/FO133-1,"")</f>
        <v>6.1224489795918435E-2</v>
      </c>
      <c r="FU133" s="1">
        <v>269656.45041198231</v>
      </c>
      <c r="FV133" s="13">
        <f t="shared" ref="FV133:FV154" si="380">IFERROR(FU133/FQ133-1,"")</f>
        <v>-6.9129598828696626E-3</v>
      </c>
      <c r="FW133" s="1">
        <v>252</v>
      </c>
      <c r="FX133" s="13">
        <f t="shared" ref="FX133:FX154" si="381">IFERROR(FW133/FS133-1,"")</f>
        <v>-3.0769230769230771E-2</v>
      </c>
      <c r="FY133" s="1">
        <v>271063.06821562437</v>
      </c>
      <c r="FZ133" s="13">
        <f t="shared" ref="FZ133:FZ154" si="382">IFERROR(FY133/FU133-1,"")</f>
        <v>5.2163328616579019E-3</v>
      </c>
      <c r="GA133" s="1">
        <v>255</v>
      </c>
      <c r="GB133" s="13">
        <f t="shared" ref="GB133:GB154" si="383">IFERROR(GA133/FW133-1,"")</f>
        <v>1.1904761904761862E-2</v>
      </c>
      <c r="GC133" s="1">
        <v>270214.60150094429</v>
      </c>
      <c r="GD133" s="13">
        <f t="shared" ref="GD133:GD154" si="384">IFERROR(GC133/FY133-1,"")</f>
        <v>-3.1301450258990338E-3</v>
      </c>
      <c r="GE133" s="1">
        <v>251</v>
      </c>
      <c r="GF133" s="13">
        <f t="shared" ref="GF133:GF154" si="385">IFERROR(GE133/GA133-1,"")</f>
        <v>-1.5686274509803977E-2</v>
      </c>
      <c r="GG133" s="1">
        <f>IFERROR(VLOOKUP(A133,[3]Москва_продажа_районы!$C$2:$F$149,3,0),"")</f>
        <v>269397.13081710489</v>
      </c>
      <c r="GH133" s="13">
        <v>-3.0252646574191466E-3</v>
      </c>
      <c r="GI133" s="1">
        <v>243</v>
      </c>
      <c r="GJ133" s="13">
        <f t="shared" ref="GJ133:GJ154" si="386">IFERROR(GI133/GE133-1,"")</f>
        <v>-3.1872509960159334E-2</v>
      </c>
      <c r="GK133" s="1">
        <v>268058.93165668368</v>
      </c>
      <c r="GL133" s="13">
        <f t="shared" ref="GL133:GL154" si="387">IFERROR(GK133/GG133-1,"")</f>
        <v>-4.9673846056278448E-3</v>
      </c>
      <c r="GM133" s="1">
        <v>253</v>
      </c>
      <c r="GN133" s="13">
        <f t="shared" ref="GN133:GN154" si="388">IFERROR(GM133/GI133-1,"")</f>
        <v>4.1152263374485631E-2</v>
      </c>
      <c r="GO133" s="1">
        <v>269196.00048616849</v>
      </c>
      <c r="GP133" s="13">
        <f t="shared" ref="GP133:GP154" si="389">IFERROR(GO133/GK133-1,"")</f>
        <v>4.2418613789787507E-3</v>
      </c>
      <c r="GQ133" s="1">
        <v>267.50000000000006</v>
      </c>
      <c r="GR133" s="13">
        <f t="shared" ref="GR133:GR154" si="390">IFERROR(GQ133/GM133-1,"")</f>
        <v>5.7312252964427213E-2</v>
      </c>
      <c r="GS133" s="1">
        <v>272123.39698330872</v>
      </c>
      <c r="GT133" s="13">
        <f t="shared" si="329"/>
        <v>1.0874591345537699E-2</v>
      </c>
      <c r="GU133">
        <v>247</v>
      </c>
      <c r="GV133" s="13">
        <f t="shared" si="330"/>
        <v>-7.6635514018691731E-2</v>
      </c>
      <c r="GW133">
        <v>273900.05652882502</v>
      </c>
      <c r="GX133" s="13">
        <f t="shared" ref="GX133:GX154" si="391">GW133/GS133-1</f>
        <v>6.5288746400049558E-3</v>
      </c>
      <c r="GY133">
        <v>205</v>
      </c>
      <c r="GZ133" s="13">
        <f t="shared" ref="GZ133:GZ154" si="392">GY133/GU133-1</f>
        <v>-0.17004048582995956</v>
      </c>
      <c r="HA133">
        <v>276129.31683251658</v>
      </c>
      <c r="HB133" s="13">
        <v>8.1389552523036812E-3</v>
      </c>
      <c r="HC133">
        <v>174</v>
      </c>
      <c r="HD133" s="13">
        <v>-0.15121951219512197</v>
      </c>
      <c r="HE133">
        <v>275286.80885843368</v>
      </c>
      <c r="HF133" s="13">
        <v>-3.0511355467334189E-3</v>
      </c>
      <c r="HG133">
        <v>196</v>
      </c>
      <c r="HH133" s="13">
        <v>0.12643678160919536</v>
      </c>
      <c r="HI133">
        <f>VLOOKUP(A133,[4]Москва_продажа_районы!$C$4:$F$151,3,0)</f>
        <v>270602.54128156631</v>
      </c>
      <c r="HJ133" s="13">
        <f t="shared" ref="HJ133:HJ154" si="393">HI133/HE133-1</f>
        <v>-1.7015953638651271E-2</v>
      </c>
      <c r="HK133">
        <f>VLOOKUP(A133,[4]Москва_продажа_районы!$C$4:$F$151,2,0)</f>
        <v>209</v>
      </c>
      <c r="HL133" s="13">
        <f t="shared" ref="HL133:HL154" si="394">HK133/HG133-1</f>
        <v>6.6326530612244916E-2</v>
      </c>
      <c r="HM133" s="1">
        <f>VLOOKUP(A133,Лист3!$C$4:$F$149,3,0)</f>
        <v>272077.56255835929</v>
      </c>
      <c r="HN133" s="13">
        <f t="shared" ref="HN133:HN154" si="395">HM133/HI133-1</f>
        <v>5.4508774005126437E-3</v>
      </c>
      <c r="HO133">
        <f>VLOOKUP(A133,Лист3!$C$4:$F$149,2,0)</f>
        <v>204</v>
      </c>
      <c r="HP133" s="13">
        <f t="shared" ref="HP133:HP154" si="396">HO133/HK133-1</f>
        <v>-2.3923444976076569E-2</v>
      </c>
      <c r="HQ133" s="1">
        <v>273723.15457409568</v>
      </c>
      <c r="HR133" s="13">
        <v>6.0482459496578045E-3</v>
      </c>
      <c r="HS133">
        <v>192</v>
      </c>
      <c r="HT133" s="13">
        <v>-5.8823529411764719E-2</v>
      </c>
      <c r="HU133" s="34">
        <v>273885.09418029711</v>
      </c>
      <c r="HV133" s="13">
        <v>5.9161822262865371E-4</v>
      </c>
      <c r="HW133">
        <v>173</v>
      </c>
      <c r="HX133" s="13">
        <v>-9.895833333333337E-2</v>
      </c>
      <c r="HY133">
        <v>277441.76354120788</v>
      </c>
      <c r="HZ133" s="13">
        <v>1.2985990973898742E-2</v>
      </c>
      <c r="IA133">
        <v>168</v>
      </c>
      <c r="IB133" s="13">
        <v>-2.8901734104046284E-2</v>
      </c>
      <c r="IC133" s="34">
        <v>282754.22001179139</v>
      </c>
      <c r="ID133" s="13">
        <v>1.9148005703166104E-2</v>
      </c>
      <c r="IE133">
        <v>164</v>
      </c>
      <c r="IF133" s="13">
        <v>-2.3809523809523836E-2</v>
      </c>
    </row>
    <row r="134" spans="1:240" x14ac:dyDescent="0.3">
      <c r="A134" s="23" t="s">
        <v>136</v>
      </c>
      <c r="B134" s="22">
        <v>209310.60357183672</v>
      </c>
      <c r="C134">
        <v>490</v>
      </c>
      <c r="D134" s="22">
        <v>210819.42874757911</v>
      </c>
      <c r="E134">
        <v>475</v>
      </c>
      <c r="F134" s="22">
        <v>217410.7377497268</v>
      </c>
      <c r="G134">
        <v>366</v>
      </c>
      <c r="H134" s="22">
        <v>217711.27453833108</v>
      </c>
      <c r="I134">
        <v>386</v>
      </c>
      <c r="J134" s="22">
        <v>214520.7035906587</v>
      </c>
      <c r="K134">
        <v>478</v>
      </c>
      <c r="L134" s="22">
        <v>214027.64246438327</v>
      </c>
      <c r="M134">
        <v>504</v>
      </c>
      <c r="N134" s="22">
        <v>216503.8432908289</v>
      </c>
      <c r="O134" s="28">
        <v>508</v>
      </c>
      <c r="P134" s="39">
        <v>221744.52802535801</v>
      </c>
      <c r="Q134" s="28">
        <v>453</v>
      </c>
      <c r="R134" s="39">
        <v>227283.55219851341</v>
      </c>
      <c r="S134">
        <v>404</v>
      </c>
      <c r="T134" s="46">
        <v>239489.64870026257</v>
      </c>
      <c r="U134" s="47">
        <v>373</v>
      </c>
      <c r="V134" s="56">
        <v>234005.44832653401</v>
      </c>
      <c r="W134" s="47">
        <v>328</v>
      </c>
      <c r="X134" s="56">
        <v>235167.56959255799</v>
      </c>
      <c r="Y134" s="47">
        <v>305</v>
      </c>
      <c r="Z134" s="34">
        <v>239287.72763010222</v>
      </c>
      <c r="AA134" s="81">
        <v>315</v>
      </c>
      <c r="AB134" s="1">
        <v>244106.66372171589</v>
      </c>
      <c r="AC134">
        <v>343</v>
      </c>
      <c r="AD134" s="1">
        <v>249518.30048567071</v>
      </c>
      <c r="AE134">
        <v>291</v>
      </c>
      <c r="AF134" s="13">
        <f t="shared" si="341"/>
        <v>6.1023426478303167E-2</v>
      </c>
      <c r="AG134" s="85">
        <f t="shared" si="331"/>
        <v>7.1798667653589929E-2</v>
      </c>
      <c r="AH134" s="35">
        <f t="shared" si="332"/>
        <v>20.74981495188749</v>
      </c>
      <c r="AI134" s="87">
        <f t="shared" si="333"/>
        <v>311.74981495188752</v>
      </c>
      <c r="AL134" s="1">
        <v>252882.91429992809</v>
      </c>
      <c r="AM134">
        <v>314</v>
      </c>
      <c r="AN134" s="13">
        <f t="shared" si="334"/>
        <v>7.6361867704280162E-2</v>
      </c>
      <c r="AQ134">
        <f t="shared" si="335"/>
        <v>20</v>
      </c>
      <c r="AR134" s="90">
        <f t="shared" si="336"/>
        <v>334</v>
      </c>
      <c r="AS134">
        <v>315</v>
      </c>
      <c r="AT134" s="1">
        <v>252376.37776772649</v>
      </c>
      <c r="AU134" s="13">
        <f t="shared" si="337"/>
        <v>-2.0030476697244781E-3</v>
      </c>
      <c r="AV134" s="35">
        <v>300</v>
      </c>
      <c r="AW134" s="1">
        <v>258429.49374042769</v>
      </c>
      <c r="AX134" s="35">
        <v>326.07003891050584</v>
      </c>
      <c r="AY134" s="121">
        <v>259900.31451376009</v>
      </c>
      <c r="AZ134" s="122">
        <v>306</v>
      </c>
      <c r="BA134" s="119">
        <v>262579.58034380001</v>
      </c>
      <c r="BB134">
        <v>328</v>
      </c>
      <c r="BC134" s="13">
        <f t="shared" si="338"/>
        <v>1.0308821037990912E-2</v>
      </c>
      <c r="BD134">
        <v>337</v>
      </c>
      <c r="BE134" s="1">
        <v>265747.45209455187</v>
      </c>
      <c r="BF134" s="13">
        <f t="shared" si="315"/>
        <v>1.2064425370031051E-2</v>
      </c>
      <c r="BG134">
        <v>329</v>
      </c>
      <c r="BH134" s="1">
        <v>272530.23963006021</v>
      </c>
      <c r="BI134" s="13">
        <f t="shared" si="267"/>
        <v>2.5523433929650841E-2</v>
      </c>
      <c r="BJ134">
        <v>319</v>
      </c>
      <c r="BK134" s="1">
        <v>273345.47416264942</v>
      </c>
      <c r="BL134" s="13">
        <f t="shared" si="316"/>
        <v>2.9913544041784146E-3</v>
      </c>
      <c r="BM134" s="1">
        <v>278686.51589485392</v>
      </c>
      <c r="BN134" s="109">
        <f t="shared" si="317"/>
        <v>1.9539528680933671E-2</v>
      </c>
      <c r="BO134">
        <v>296</v>
      </c>
      <c r="BP134" s="13">
        <f t="shared" si="318"/>
        <v>-7.2100313479623868E-2</v>
      </c>
      <c r="BQ134" s="1">
        <v>288085.59033566038</v>
      </c>
      <c r="BR134" s="13">
        <f t="shared" si="339"/>
        <v>3.3726333728872016E-2</v>
      </c>
      <c r="BS134">
        <v>324</v>
      </c>
      <c r="BT134" s="13">
        <f t="shared" si="340"/>
        <v>9.4594594594594517E-2</v>
      </c>
      <c r="BU134" s="1">
        <v>294778.2925115102</v>
      </c>
      <c r="BV134" s="13">
        <f t="shared" si="319"/>
        <v>2.3231645040114213E-2</v>
      </c>
      <c r="BW134">
        <v>310</v>
      </c>
      <c r="BX134" s="13">
        <f t="shared" si="320"/>
        <v>-4.3209876543209846E-2</v>
      </c>
      <c r="BY134" s="1">
        <v>297418.4125664868</v>
      </c>
      <c r="BZ134" s="13">
        <f t="shared" si="321"/>
        <v>8.9562906158482392E-3</v>
      </c>
      <c r="CA134">
        <v>274</v>
      </c>
      <c r="CB134" s="13">
        <f t="shared" si="322"/>
        <v>-0.11612903225806448</v>
      </c>
      <c r="CC134" s="1">
        <v>299359.46341108577</v>
      </c>
      <c r="CD134" s="13">
        <f t="shared" si="323"/>
        <v>6.5263304576512748E-3</v>
      </c>
      <c r="CE134">
        <v>304</v>
      </c>
      <c r="CF134" s="13">
        <f t="shared" si="324"/>
        <v>0.10948905109489049</v>
      </c>
      <c r="CG134" s="1">
        <v>294470.0457294893</v>
      </c>
      <c r="CH134" s="13">
        <f t="shared" si="325"/>
        <v>-1.6332931739933776E-2</v>
      </c>
      <c r="CI134">
        <v>366</v>
      </c>
      <c r="CJ134" s="13">
        <f t="shared" si="326"/>
        <v>0.20394736842105265</v>
      </c>
      <c r="CK134" s="1">
        <v>287267.54476834321</v>
      </c>
      <c r="CL134" s="13">
        <f t="shared" si="327"/>
        <v>-2.4459197346553108E-2</v>
      </c>
      <c r="CM134">
        <v>406</v>
      </c>
      <c r="CN134" s="13">
        <f t="shared" si="328"/>
        <v>0.1092896174863387</v>
      </c>
      <c r="CO134" s="1">
        <v>287065.98411073128</v>
      </c>
      <c r="CP134" s="13">
        <v>-7.0164785853021883E-4</v>
      </c>
      <c r="CQ134">
        <v>418</v>
      </c>
      <c r="CR134" s="13">
        <v>2.9556650246305383E-2</v>
      </c>
      <c r="CS134" s="1">
        <v>283287.82925765909</v>
      </c>
      <c r="CT134" s="13">
        <f t="shared" si="342"/>
        <v>-1.3161276717532755E-2</v>
      </c>
      <c r="CU134">
        <v>466</v>
      </c>
      <c r="CV134" s="13">
        <f t="shared" si="343"/>
        <v>0.1148325358851674</v>
      </c>
      <c r="CW134" s="1">
        <v>280106.17735987878</v>
      </c>
      <c r="CX134" s="13">
        <f t="shared" si="344"/>
        <v>-1.1231163393491506E-2</v>
      </c>
      <c r="CY134">
        <v>468</v>
      </c>
      <c r="CZ134" s="13">
        <f t="shared" si="345"/>
        <v>4.2918454935623185E-3</v>
      </c>
      <c r="DA134" s="1">
        <v>280602.40324679483</v>
      </c>
      <c r="DB134" s="13">
        <f t="shared" si="346"/>
        <v>1.7715635249218042E-3</v>
      </c>
      <c r="DC134">
        <v>463</v>
      </c>
      <c r="DD134" s="13">
        <f t="shared" si="347"/>
        <v>-1.0683760683760646E-2</v>
      </c>
      <c r="DE134" s="1">
        <v>276526.16041608289</v>
      </c>
      <c r="DF134" s="13">
        <f t="shared" si="348"/>
        <v>-1.452675666190506E-2</v>
      </c>
      <c r="DG134" s="1">
        <v>425</v>
      </c>
      <c r="DH134" s="13">
        <f t="shared" si="349"/>
        <v>-8.2073434125270017E-2</v>
      </c>
      <c r="DI134" s="1">
        <v>286136.0248231733</v>
      </c>
      <c r="DJ134" s="13">
        <f t="shared" si="350"/>
        <v>3.4752098653634267E-2</v>
      </c>
      <c r="DK134" s="1">
        <v>402</v>
      </c>
      <c r="DL134" s="13">
        <f t="shared" si="351"/>
        <v>-5.4117647058823493E-2</v>
      </c>
      <c r="DM134" s="1">
        <v>281973.61355449312</v>
      </c>
      <c r="DN134" s="13">
        <f t="shared" si="352"/>
        <v>-1.4546966853448362E-2</v>
      </c>
      <c r="DO134" s="1">
        <v>450</v>
      </c>
      <c r="DP134" s="13">
        <f t="shared" si="353"/>
        <v>0.11940298507462677</v>
      </c>
      <c r="DQ134" s="1">
        <v>272122.04637133318</v>
      </c>
      <c r="DR134" s="13">
        <f t="shared" si="354"/>
        <v>-3.4937904504515171E-2</v>
      </c>
      <c r="DS134">
        <v>477</v>
      </c>
      <c r="DT134" s="13">
        <f t="shared" si="355"/>
        <v>6.0000000000000053E-2</v>
      </c>
      <c r="DU134" s="1">
        <v>276155.23970436119</v>
      </c>
      <c r="DV134" s="13">
        <f t="shared" si="356"/>
        <v>1.4821266364888341E-2</v>
      </c>
      <c r="DW134">
        <v>432</v>
      </c>
      <c r="DX134" s="13">
        <f t="shared" si="357"/>
        <v>-9.4339622641509413E-2</v>
      </c>
      <c r="DY134" s="1">
        <v>275071.13787482918</v>
      </c>
      <c r="DZ134" s="13">
        <f t="shared" si="358"/>
        <v>-3.9256971212735525E-3</v>
      </c>
      <c r="EA134" s="1">
        <v>439</v>
      </c>
      <c r="EB134" s="13">
        <f t="shared" si="359"/>
        <v>1.620370370370372E-2</v>
      </c>
      <c r="EC134" s="1">
        <v>273297.53359071998</v>
      </c>
      <c r="ED134" s="13">
        <f t="shared" si="360"/>
        <v>-6.4478021860522317E-3</v>
      </c>
      <c r="EE134" s="1">
        <f>IFERROR(VLOOKUP($A134,[1]Москва_продажа_районы!$C$2:$F$148,2,0),"")</f>
        <v>441</v>
      </c>
      <c r="EF134" s="13">
        <v>4.5558086560364419E-3</v>
      </c>
      <c r="EG134" s="1">
        <v>277276.06191566901</v>
      </c>
      <c r="EH134" s="13">
        <f t="shared" si="361"/>
        <v>1.4557498096221755E-2</v>
      </c>
      <c r="EI134" s="1">
        <f>IFERROR(VLOOKUP($A134,[2]Москва_продажа_районы!$C$2:$F$150,2,0),"")</f>
        <v>429</v>
      </c>
      <c r="EJ134" s="13">
        <v>-2.7210884353741527E-2</v>
      </c>
      <c r="EK134" s="1">
        <v>286254.70559959509</v>
      </c>
      <c r="EL134" s="13">
        <f t="shared" si="362"/>
        <v>3.2381604174170908E-2</v>
      </c>
      <c r="EM134">
        <v>398</v>
      </c>
      <c r="EN134" s="13">
        <f t="shared" si="363"/>
        <v>-7.2261072261072257E-2</v>
      </c>
      <c r="EO134" s="1">
        <v>294328.20844592177</v>
      </c>
      <c r="EP134" s="13">
        <f t="shared" si="364"/>
        <v>2.8203913117919699E-2</v>
      </c>
      <c r="EQ134">
        <v>357</v>
      </c>
      <c r="ER134" s="13">
        <f t="shared" si="365"/>
        <v>-0.10301507537688437</v>
      </c>
      <c r="ES134" s="183">
        <v>298287.16978475638</v>
      </c>
      <c r="ET134" s="13">
        <f t="shared" si="366"/>
        <v>1.3450838979173207E-2</v>
      </c>
      <c r="EU134">
        <v>350</v>
      </c>
      <c r="EV134" s="13">
        <f t="shared" si="367"/>
        <v>-1.9607843137254943E-2</v>
      </c>
      <c r="EW134" s="183">
        <v>297919.35118519608</v>
      </c>
      <c r="EX134" s="13">
        <f t="shared" si="368"/>
        <v>-1.2331023148790532E-3</v>
      </c>
      <c r="EY134">
        <v>362</v>
      </c>
      <c r="EZ134" s="13">
        <f t="shared" si="369"/>
        <v>3.4285714285714253E-2</v>
      </c>
      <c r="FA134" s="1">
        <v>301392.04962924379</v>
      </c>
      <c r="FB134" s="13">
        <f t="shared" si="370"/>
        <v>1.1656505125405392E-2</v>
      </c>
      <c r="FC134" s="1">
        <v>334</v>
      </c>
      <c r="FD134" s="13">
        <f t="shared" si="371"/>
        <v>-7.7348066298342566E-2</v>
      </c>
      <c r="FE134" s="1">
        <v>303880.1416168306</v>
      </c>
      <c r="FF134" s="13">
        <f t="shared" si="372"/>
        <v>8.2553338439004254E-3</v>
      </c>
      <c r="FG134" s="1">
        <v>347</v>
      </c>
      <c r="FH134" s="13">
        <f t="shared" si="373"/>
        <v>3.8922155688622784E-2</v>
      </c>
      <c r="FI134" s="1">
        <v>305314.23909612402</v>
      </c>
      <c r="FJ134" s="13">
        <f t="shared" si="374"/>
        <v>4.7192865965610675E-3</v>
      </c>
      <c r="FK134" s="1">
        <v>372</v>
      </c>
      <c r="FL134" s="13">
        <f t="shared" si="375"/>
        <v>7.2046109510086387E-2</v>
      </c>
      <c r="FM134" s="1">
        <v>306199.27765670919</v>
      </c>
      <c r="FN134" s="13">
        <f t="shared" si="376"/>
        <v>2.8987791830650256E-3</v>
      </c>
      <c r="FO134" s="1">
        <v>391</v>
      </c>
      <c r="FP134" s="13">
        <f t="shared" si="377"/>
        <v>5.1075268817204256E-2</v>
      </c>
      <c r="FQ134" s="1">
        <v>305451.74785350828</v>
      </c>
      <c r="FR134" s="13">
        <f t="shared" si="378"/>
        <v>-2.4413179839013477E-3</v>
      </c>
      <c r="FS134">
        <v>395</v>
      </c>
      <c r="FT134" s="13">
        <f t="shared" si="379"/>
        <v>1.0230179028132946E-2</v>
      </c>
      <c r="FU134" s="1">
        <v>301671.59091058961</v>
      </c>
      <c r="FV134" s="13">
        <f t="shared" si="380"/>
        <v>-1.2375627147275581E-2</v>
      </c>
      <c r="FW134" s="1">
        <v>383</v>
      </c>
      <c r="FX134" s="13">
        <f t="shared" si="381"/>
        <v>-3.0379746835443089E-2</v>
      </c>
      <c r="FY134" s="1">
        <v>304273.05737255671</v>
      </c>
      <c r="FZ134" s="13">
        <f t="shared" si="382"/>
        <v>8.6235049648348827E-3</v>
      </c>
      <c r="GA134" s="1">
        <v>391</v>
      </c>
      <c r="GB134" s="13">
        <f t="shared" si="383"/>
        <v>2.088772845953013E-2</v>
      </c>
      <c r="GC134" s="1">
        <v>304613.8655947668</v>
      </c>
      <c r="GD134" s="13">
        <f t="shared" si="384"/>
        <v>1.1200736113576859E-3</v>
      </c>
      <c r="GE134" s="1">
        <v>398</v>
      </c>
      <c r="GF134" s="13">
        <f t="shared" si="385"/>
        <v>1.7902813299232712E-2</v>
      </c>
      <c r="GG134" s="1">
        <f>IFERROR(VLOOKUP(A134,[3]Москва_продажа_районы!$C$2:$F$149,3,0),"")</f>
        <v>300719.69506318768</v>
      </c>
      <c r="GH134" s="13">
        <v>-1.2783956908775762E-2</v>
      </c>
      <c r="GI134" s="1">
        <v>406</v>
      </c>
      <c r="GJ134" s="13">
        <f t="shared" si="386"/>
        <v>2.0100502512562901E-2</v>
      </c>
      <c r="GK134" s="1">
        <v>299633.00513064337</v>
      </c>
      <c r="GL134" s="13">
        <f t="shared" si="387"/>
        <v>-3.613630734481732E-3</v>
      </c>
      <c r="GM134" s="1">
        <v>426</v>
      </c>
      <c r="GN134" s="13">
        <f t="shared" si="388"/>
        <v>4.9261083743842304E-2</v>
      </c>
      <c r="GO134" s="1">
        <v>297610.9083005811</v>
      </c>
      <c r="GP134" s="13">
        <f t="shared" si="389"/>
        <v>-6.7485784123835213E-3</v>
      </c>
      <c r="GQ134" s="1">
        <v>434.42</v>
      </c>
      <c r="GR134" s="13">
        <f t="shared" si="390"/>
        <v>1.9765258215962422E-2</v>
      </c>
      <c r="GS134" s="1">
        <v>297940.48786540458</v>
      </c>
      <c r="GT134" s="13">
        <f t="shared" si="329"/>
        <v>1.1074176235859046E-3</v>
      </c>
      <c r="GU134">
        <v>439</v>
      </c>
      <c r="GV134" s="13">
        <f t="shared" si="330"/>
        <v>1.0542792689102631E-2</v>
      </c>
      <c r="GW134">
        <v>297899.41547326732</v>
      </c>
      <c r="GX134" s="13">
        <f t="shared" si="391"/>
        <v>-1.3785434947599651E-4</v>
      </c>
      <c r="GY134">
        <v>390</v>
      </c>
      <c r="GZ134" s="13">
        <f t="shared" si="392"/>
        <v>-0.11161731207289294</v>
      </c>
      <c r="HA134">
        <v>302703.05811302038</v>
      </c>
      <c r="HB134" s="13">
        <v>1.6125048893169458E-2</v>
      </c>
      <c r="HC134">
        <v>354</v>
      </c>
      <c r="HD134" s="13">
        <v>-9.2307692307692313E-2</v>
      </c>
      <c r="HE134">
        <v>305118.06802826968</v>
      </c>
      <c r="HF134" s="13">
        <v>7.9781483884038273E-3</v>
      </c>
      <c r="HG134">
        <v>377</v>
      </c>
      <c r="HH134" s="13">
        <v>6.4971751412429279E-2</v>
      </c>
      <c r="HI134">
        <f>VLOOKUP(A134,[4]Москва_продажа_районы!$C$4:$F$151,3,0)</f>
        <v>302402.32398653321</v>
      </c>
      <c r="HJ134" s="13">
        <f t="shared" si="393"/>
        <v>-8.900633316427653E-3</v>
      </c>
      <c r="HK134">
        <f>VLOOKUP(A134,[4]Москва_продажа_районы!$C$4:$F$151,2,0)</f>
        <v>356</v>
      </c>
      <c r="HL134" s="13">
        <f t="shared" si="394"/>
        <v>-5.5702917771883298E-2</v>
      </c>
      <c r="HM134" s="1">
        <f>VLOOKUP(A134,Лист3!$C$4:$F$149,3,0)</f>
        <v>309777.81628871051</v>
      </c>
      <c r="HN134" s="13">
        <f t="shared" si="395"/>
        <v>2.4389668058588665E-2</v>
      </c>
      <c r="HO134">
        <f>VLOOKUP(A134,Лист3!$C$4:$F$149,2,0)</f>
        <v>339</v>
      </c>
      <c r="HP134" s="13">
        <f t="shared" si="396"/>
        <v>-4.7752808988763995E-2</v>
      </c>
      <c r="HQ134" s="1">
        <v>308718.24620862782</v>
      </c>
      <c r="HR134" s="13">
        <v>-3.4204194889642103E-3</v>
      </c>
      <c r="HS134">
        <v>357</v>
      </c>
      <c r="HT134" s="13">
        <v>5.3097345132743445E-2</v>
      </c>
      <c r="HU134" s="34">
        <v>309688.81048753951</v>
      </c>
      <c r="HV134" s="13">
        <v>3.1438513623058828E-3</v>
      </c>
      <c r="HW134">
        <v>311</v>
      </c>
      <c r="HX134" s="13">
        <v>-0.12885154061624648</v>
      </c>
      <c r="HY134">
        <v>312737.13220595039</v>
      </c>
      <c r="HZ134" s="13">
        <v>9.8431768122715368E-3</v>
      </c>
      <c r="IA134">
        <v>320</v>
      </c>
      <c r="IB134" s="13">
        <v>2.8938906752411508E-2</v>
      </c>
      <c r="IC134" s="34">
        <v>312527.48389647831</v>
      </c>
      <c r="ID134" s="13">
        <v>-6.7036590120683748E-4</v>
      </c>
      <c r="IE134">
        <v>343</v>
      </c>
      <c r="IF134" s="13">
        <v>7.1874999999999911E-2</v>
      </c>
    </row>
    <row r="135" spans="1:240" x14ac:dyDescent="0.3">
      <c r="A135" s="23" t="s">
        <v>137</v>
      </c>
      <c r="B135" s="22">
        <v>241312.35368622123</v>
      </c>
      <c r="C135">
        <v>479</v>
      </c>
      <c r="D135" s="22">
        <v>244287.72876052043</v>
      </c>
      <c r="E135">
        <v>461</v>
      </c>
      <c r="F135" s="22">
        <v>249339.25248588959</v>
      </c>
      <c r="G135">
        <v>326</v>
      </c>
      <c r="H135" s="22">
        <v>247007.34367795388</v>
      </c>
      <c r="I135">
        <v>365</v>
      </c>
      <c r="J135" s="22">
        <v>242772.97322218111</v>
      </c>
      <c r="K135">
        <v>450</v>
      </c>
      <c r="L135" s="22">
        <v>243372.42921909512</v>
      </c>
      <c r="M135">
        <v>476</v>
      </c>
      <c r="N135" s="22">
        <v>245051.18824774178</v>
      </c>
      <c r="O135" s="28">
        <v>469</v>
      </c>
      <c r="P135" s="39">
        <v>245962.54520822852</v>
      </c>
      <c r="Q135" s="28">
        <v>439</v>
      </c>
      <c r="R135" s="39">
        <v>255468.62461944108</v>
      </c>
      <c r="S135">
        <v>413</v>
      </c>
      <c r="T135" s="46">
        <v>262263.00104096346</v>
      </c>
      <c r="U135" s="47">
        <v>358</v>
      </c>
      <c r="V135" s="56">
        <v>270288.16810882062</v>
      </c>
      <c r="W135" s="47">
        <v>318</v>
      </c>
      <c r="X135" s="56">
        <v>274197.05480957852</v>
      </c>
      <c r="Y135" s="47">
        <v>333</v>
      </c>
      <c r="Z135" s="34">
        <v>273683.45179609582</v>
      </c>
      <c r="AA135" s="81">
        <v>377</v>
      </c>
      <c r="AB135" s="1">
        <v>279019.61204661382</v>
      </c>
      <c r="AC135">
        <v>435</v>
      </c>
      <c r="AD135" s="1">
        <v>292531.93704586668</v>
      </c>
      <c r="AE135">
        <v>421</v>
      </c>
      <c r="AF135" s="13">
        <f t="shared" si="341"/>
        <v>6.6867538927510184E-2</v>
      </c>
      <c r="AG135" s="85">
        <f t="shared" si="331"/>
        <v>0.10387367382186036</v>
      </c>
      <c r="AH135" s="35">
        <f t="shared" si="332"/>
        <v>30.019491734517644</v>
      </c>
      <c r="AI135" s="87">
        <f t="shared" si="333"/>
        <v>451.01949173451766</v>
      </c>
      <c r="AL135" s="1">
        <v>291362.72971994441</v>
      </c>
      <c r="AM135">
        <v>398</v>
      </c>
      <c r="AN135" s="13">
        <f t="shared" si="334"/>
        <v>9.6789883268482493E-2</v>
      </c>
      <c r="AQ135">
        <f t="shared" si="335"/>
        <v>26</v>
      </c>
      <c r="AR135" s="90">
        <f t="shared" si="336"/>
        <v>424</v>
      </c>
      <c r="AS135">
        <v>416</v>
      </c>
      <c r="AT135" s="1">
        <v>293806.29328056867</v>
      </c>
      <c r="AU135" s="13">
        <f t="shared" si="337"/>
        <v>8.3866717029079663E-3</v>
      </c>
      <c r="AV135" s="35">
        <v>398</v>
      </c>
      <c r="AW135" s="1">
        <v>296406.46643394488</v>
      </c>
      <c r="AX135" s="35">
        <v>432.58625162127106</v>
      </c>
      <c r="AY135" s="121">
        <v>300300.46980040573</v>
      </c>
      <c r="AZ135" s="122">
        <v>376</v>
      </c>
      <c r="BA135" s="119">
        <v>304455.99668370333</v>
      </c>
      <c r="BB135">
        <v>389</v>
      </c>
      <c r="BC135" s="13">
        <f t="shared" si="338"/>
        <v>1.3837896710782838E-2</v>
      </c>
      <c r="BD135">
        <v>415</v>
      </c>
      <c r="BE135" s="1">
        <v>307199.99288132688</v>
      </c>
      <c r="BF135" s="13">
        <f t="shared" si="315"/>
        <v>9.0127842036702432E-3</v>
      </c>
      <c r="BG135">
        <v>376</v>
      </c>
      <c r="BH135" s="1">
        <v>311631.37210994319</v>
      </c>
      <c r="BI135" s="13">
        <f t="shared" si="267"/>
        <v>1.4425062927420518E-2</v>
      </c>
      <c r="BJ135">
        <v>343</v>
      </c>
      <c r="BK135" s="1">
        <v>314496.88820364908</v>
      </c>
      <c r="BL135" s="13">
        <f t="shared" si="316"/>
        <v>9.195210592260139E-3</v>
      </c>
      <c r="BM135" s="1">
        <v>321032.00548720389</v>
      </c>
      <c r="BN135" s="109">
        <f t="shared" si="317"/>
        <v>2.0779592831211335E-2</v>
      </c>
      <c r="BO135">
        <v>381</v>
      </c>
      <c r="BP135" s="13">
        <f t="shared" si="318"/>
        <v>0.11078717201166177</v>
      </c>
      <c r="BQ135" s="1">
        <v>327815.31731012318</v>
      </c>
      <c r="BR135" s="13">
        <f t="shared" si="339"/>
        <v>2.1129705783150321E-2</v>
      </c>
      <c r="BS135">
        <v>426</v>
      </c>
      <c r="BT135" s="13">
        <f t="shared" si="340"/>
        <v>0.11811023622047245</v>
      </c>
      <c r="BU135" s="1">
        <v>343478.65964390442</v>
      </c>
      <c r="BV135" s="13">
        <f t="shared" si="319"/>
        <v>4.7780995904359358E-2</v>
      </c>
      <c r="BW135">
        <v>396</v>
      </c>
      <c r="BX135" s="13">
        <f t="shared" si="320"/>
        <v>-7.0422535211267623E-2</v>
      </c>
      <c r="BY135" s="1">
        <v>341894.95367530518</v>
      </c>
      <c r="BZ135" s="13">
        <f t="shared" si="321"/>
        <v>-4.6107841757654366E-3</v>
      </c>
      <c r="CA135">
        <v>352</v>
      </c>
      <c r="CB135" s="13">
        <f t="shared" si="322"/>
        <v>-0.11111111111111116</v>
      </c>
      <c r="CC135" s="1">
        <v>332379.36191757611</v>
      </c>
      <c r="CD135" s="13">
        <f t="shared" si="323"/>
        <v>-2.7831916369160381E-2</v>
      </c>
      <c r="CE135">
        <v>409</v>
      </c>
      <c r="CF135" s="13">
        <f t="shared" si="324"/>
        <v>0.16193181818181812</v>
      </c>
      <c r="CG135" s="1">
        <v>328751.75915388571</v>
      </c>
      <c r="CH135" s="13">
        <f t="shared" si="325"/>
        <v>-1.0914043347222013E-2</v>
      </c>
      <c r="CI135">
        <v>468</v>
      </c>
      <c r="CJ135" s="13">
        <f t="shared" si="326"/>
        <v>0.1442542787286063</v>
      </c>
      <c r="CK135" s="1">
        <v>327538.30538545322</v>
      </c>
      <c r="CL135" s="13">
        <f t="shared" si="327"/>
        <v>-3.6910943733216017E-3</v>
      </c>
      <c r="CM135">
        <v>509</v>
      </c>
      <c r="CN135" s="13">
        <f t="shared" si="328"/>
        <v>8.7606837606837518E-2</v>
      </c>
      <c r="CO135" s="1">
        <v>328171.78670870769</v>
      </c>
      <c r="CP135" s="13">
        <v>1.9340679024060226E-3</v>
      </c>
      <c r="CQ135">
        <v>557</v>
      </c>
      <c r="CR135" s="13">
        <v>9.430255402750487E-2</v>
      </c>
      <c r="CS135" s="1">
        <v>325965.61202847329</v>
      </c>
      <c r="CT135" s="13">
        <f t="shared" si="342"/>
        <v>-6.7226214122807493E-3</v>
      </c>
      <c r="CU135">
        <v>607</v>
      </c>
      <c r="CV135" s="13">
        <f t="shared" si="343"/>
        <v>8.9766606822262229E-2</v>
      </c>
      <c r="CW135" s="1">
        <v>323299.99488789198</v>
      </c>
      <c r="CX135" s="13">
        <f t="shared" si="344"/>
        <v>-8.1776023059403347E-3</v>
      </c>
      <c r="CY135">
        <v>643</v>
      </c>
      <c r="CZ135" s="13">
        <f t="shared" si="345"/>
        <v>5.9308072487644248E-2</v>
      </c>
      <c r="DA135" s="1">
        <v>321740.16746292339</v>
      </c>
      <c r="DB135" s="13">
        <f t="shared" si="346"/>
        <v>-4.8247059994834807E-3</v>
      </c>
      <c r="DC135">
        <v>627</v>
      </c>
      <c r="DD135" s="13">
        <f t="shared" si="347"/>
        <v>-2.4883359253499271E-2</v>
      </c>
      <c r="DE135" s="1">
        <v>318464.1005504668</v>
      </c>
      <c r="DF135" s="13">
        <f t="shared" si="348"/>
        <v>-1.0182337313646483E-2</v>
      </c>
      <c r="DG135" s="1">
        <v>570</v>
      </c>
      <c r="DH135" s="13">
        <f t="shared" si="349"/>
        <v>-9.0909090909090939E-2</v>
      </c>
      <c r="DI135" s="1">
        <v>315708.43305467779</v>
      </c>
      <c r="DJ135" s="13">
        <f t="shared" si="350"/>
        <v>-8.6529925697301779E-3</v>
      </c>
      <c r="DK135" s="1">
        <v>546</v>
      </c>
      <c r="DL135" s="13">
        <f t="shared" si="351"/>
        <v>-4.2105263157894757E-2</v>
      </c>
      <c r="DM135" s="1">
        <v>314220.47810702072</v>
      </c>
      <c r="DN135" s="13">
        <f t="shared" si="352"/>
        <v>-4.7130668422764588E-3</v>
      </c>
      <c r="DO135" s="1">
        <v>569</v>
      </c>
      <c r="DP135" s="13">
        <f t="shared" si="353"/>
        <v>4.2124542124542197E-2</v>
      </c>
      <c r="DQ135" s="1">
        <v>315088.41090599057</v>
      </c>
      <c r="DR135" s="13">
        <f t="shared" si="354"/>
        <v>2.7621777046442642E-3</v>
      </c>
      <c r="DS135">
        <v>593</v>
      </c>
      <c r="DT135" s="13">
        <f t="shared" si="355"/>
        <v>4.2179261862917317E-2</v>
      </c>
      <c r="DU135" s="1">
        <v>318201.66537020821</v>
      </c>
      <c r="DV135" s="13">
        <f t="shared" si="356"/>
        <v>9.8805743291729975E-3</v>
      </c>
      <c r="DW135">
        <v>560</v>
      </c>
      <c r="DX135" s="13">
        <f t="shared" si="357"/>
        <v>-5.5649241146711659E-2</v>
      </c>
      <c r="DY135" s="1">
        <v>320074.4220264146</v>
      </c>
      <c r="DZ135" s="13">
        <f t="shared" si="358"/>
        <v>5.8854395184497754E-3</v>
      </c>
      <c r="EA135" s="1">
        <v>568</v>
      </c>
      <c r="EB135" s="13">
        <f t="shared" si="359"/>
        <v>1.4285714285714235E-2</v>
      </c>
      <c r="EC135" s="1">
        <v>322025.93693040212</v>
      </c>
      <c r="ED135" s="13">
        <f t="shared" si="360"/>
        <v>6.0970660874191118E-3</v>
      </c>
      <c r="EE135" s="1">
        <f>IFERROR(VLOOKUP($A135,[1]Москва_продажа_районы!$C$2:$F$148,2,0),"")</f>
        <v>524</v>
      </c>
      <c r="EF135" s="13">
        <v>-7.7464788732394374E-2</v>
      </c>
      <c r="EG135" s="1">
        <v>323592.24823619972</v>
      </c>
      <c r="EH135" s="13">
        <f t="shared" si="361"/>
        <v>4.8639290385361633E-3</v>
      </c>
      <c r="EI135" s="1">
        <f>IFERROR(VLOOKUP($A135,[2]Москва_продажа_районы!$C$2:$F$150,2,0),"")</f>
        <v>492</v>
      </c>
      <c r="EJ135" s="13">
        <v>-6.1068702290076327E-2</v>
      </c>
      <c r="EK135" s="1">
        <v>329934.81715607061</v>
      </c>
      <c r="EL135" s="13">
        <f t="shared" si="362"/>
        <v>1.9600497089909519E-2</v>
      </c>
      <c r="EM135">
        <v>438</v>
      </c>
      <c r="EN135" s="13">
        <f t="shared" si="363"/>
        <v>-0.1097560975609756</v>
      </c>
      <c r="EO135" s="1">
        <v>334605.62785392668</v>
      </c>
      <c r="EP135" s="13">
        <f t="shared" si="364"/>
        <v>1.4156768109885753E-2</v>
      </c>
      <c r="EQ135">
        <v>393</v>
      </c>
      <c r="ER135" s="13">
        <f t="shared" si="365"/>
        <v>-0.10273972602739723</v>
      </c>
      <c r="ES135" s="183">
        <v>342685.37423005118</v>
      </c>
      <c r="ET135" s="13">
        <f t="shared" si="366"/>
        <v>2.4147072564038696E-2</v>
      </c>
      <c r="EU135">
        <v>380</v>
      </c>
      <c r="EV135" s="13">
        <f t="shared" si="367"/>
        <v>-3.30788804071247E-2</v>
      </c>
      <c r="EW135" s="183">
        <v>345606.34334101819</v>
      </c>
      <c r="EX135" s="13">
        <f t="shared" si="368"/>
        <v>8.5237635762245301E-3</v>
      </c>
      <c r="EY135">
        <v>361</v>
      </c>
      <c r="EZ135" s="13">
        <f t="shared" si="369"/>
        <v>-5.0000000000000044E-2</v>
      </c>
      <c r="FA135" s="1">
        <v>347444.12269375927</v>
      </c>
      <c r="FB135" s="13">
        <f t="shared" si="370"/>
        <v>5.3175509887204431E-3</v>
      </c>
      <c r="FC135" s="1">
        <v>378</v>
      </c>
      <c r="FD135" s="13">
        <f t="shared" si="371"/>
        <v>4.7091412742382266E-2</v>
      </c>
      <c r="FE135" s="1">
        <v>348002.91140702041</v>
      </c>
      <c r="FF135" s="13">
        <f t="shared" si="372"/>
        <v>1.6082836829380831E-3</v>
      </c>
      <c r="FG135" s="1">
        <v>382</v>
      </c>
      <c r="FH135" s="13">
        <f t="shared" si="373"/>
        <v>1.0582010582010692E-2</v>
      </c>
      <c r="FI135" s="1">
        <v>352081.76314371743</v>
      </c>
      <c r="FJ135" s="13">
        <f t="shared" si="374"/>
        <v>1.1720740266814689E-2</v>
      </c>
      <c r="FK135" s="1">
        <v>408</v>
      </c>
      <c r="FL135" s="13">
        <f t="shared" si="375"/>
        <v>6.8062827225130906E-2</v>
      </c>
      <c r="FM135" s="1">
        <v>355068.52835637779</v>
      </c>
      <c r="FN135" s="13">
        <f t="shared" si="376"/>
        <v>8.4831579630586518E-3</v>
      </c>
      <c r="FO135" s="1">
        <v>440</v>
      </c>
      <c r="FP135" s="13">
        <f t="shared" si="377"/>
        <v>7.8431372549019551E-2</v>
      </c>
      <c r="FQ135" s="1">
        <v>356314.08040575072</v>
      </c>
      <c r="FR135" s="13">
        <f t="shared" si="378"/>
        <v>3.5079201616055045E-3</v>
      </c>
      <c r="FS135">
        <v>446</v>
      </c>
      <c r="FT135" s="13">
        <f t="shared" si="379"/>
        <v>1.3636363636363669E-2</v>
      </c>
      <c r="FU135" s="1">
        <v>354598.181999069</v>
      </c>
      <c r="FV135" s="13">
        <f t="shared" si="380"/>
        <v>-4.8156907095215917E-3</v>
      </c>
      <c r="FW135" s="1">
        <v>436</v>
      </c>
      <c r="FX135" s="13">
        <f t="shared" si="381"/>
        <v>-2.2421524663677084E-2</v>
      </c>
      <c r="FY135" s="1">
        <v>356380.66604541132</v>
      </c>
      <c r="FZ135" s="13">
        <f t="shared" si="382"/>
        <v>5.0267715313525585E-3</v>
      </c>
      <c r="GA135" s="1">
        <v>433</v>
      </c>
      <c r="GB135" s="13">
        <f t="shared" si="383"/>
        <v>-6.8807339449541427E-3</v>
      </c>
      <c r="GC135" s="1">
        <v>360776.60558255971</v>
      </c>
      <c r="GD135" s="13">
        <f t="shared" si="384"/>
        <v>1.2334955164454042E-2</v>
      </c>
      <c r="GE135" s="1">
        <v>434</v>
      </c>
      <c r="GF135" s="13">
        <f t="shared" si="385"/>
        <v>2.3094688221709792E-3</v>
      </c>
      <c r="GG135" s="1">
        <f>IFERROR(VLOOKUP(A135,[3]Москва_продажа_районы!$C$2:$F$149,3,0),"")</f>
        <v>354442.25554166333</v>
      </c>
      <c r="GH135" s="13">
        <v>-1.755754099040896E-2</v>
      </c>
      <c r="GI135" s="1">
        <v>462</v>
      </c>
      <c r="GJ135" s="13">
        <f t="shared" si="386"/>
        <v>6.4516129032258007E-2</v>
      </c>
      <c r="GK135" s="1">
        <v>355647.81515277078</v>
      </c>
      <c r="GL135" s="13">
        <f t="shared" si="387"/>
        <v>3.4012863654337977E-3</v>
      </c>
      <c r="GM135" s="1">
        <v>479</v>
      </c>
      <c r="GN135" s="13">
        <f t="shared" si="388"/>
        <v>3.6796536796536827E-2</v>
      </c>
      <c r="GO135" s="1">
        <v>354913.77991123678</v>
      </c>
      <c r="GP135" s="13">
        <f t="shared" si="389"/>
        <v>-2.063938565793455E-3</v>
      </c>
      <c r="GQ135" s="1">
        <v>456.89000000000004</v>
      </c>
      <c r="GR135" s="13">
        <f t="shared" si="390"/>
        <v>-4.6158663883089646E-2</v>
      </c>
      <c r="GS135" s="1">
        <v>353679.2347492163</v>
      </c>
      <c r="GT135" s="13">
        <f t="shared" si="329"/>
        <v>-3.4784368257813059E-3</v>
      </c>
      <c r="GU135">
        <v>458</v>
      </c>
      <c r="GV135" s="13">
        <f t="shared" si="330"/>
        <v>2.4294687999297793E-3</v>
      </c>
      <c r="GW135">
        <v>355486.77454001119</v>
      </c>
      <c r="GX135" s="13">
        <f t="shared" si="391"/>
        <v>5.1106754742797911E-3</v>
      </c>
      <c r="GY135">
        <v>395</v>
      </c>
      <c r="GZ135" s="13">
        <f t="shared" si="392"/>
        <v>-0.13755458515283847</v>
      </c>
      <c r="HA135">
        <v>361736.67272701772</v>
      </c>
      <c r="HB135" s="13">
        <v>1.7581239682105565E-2</v>
      </c>
      <c r="HC135">
        <v>322</v>
      </c>
      <c r="HD135" s="13">
        <v>-0.18481012658227847</v>
      </c>
      <c r="HE135">
        <v>362721.87862837373</v>
      </c>
      <c r="HF135" s="13">
        <v>2.7235444333826297E-3</v>
      </c>
      <c r="HG135">
        <v>325</v>
      </c>
      <c r="HH135" s="13">
        <v>9.3167701863354768E-3</v>
      </c>
      <c r="HI135">
        <f>VLOOKUP(A135,[4]Москва_продажа_районы!$C$4:$F$151,3,0)</f>
        <v>365927.26598785562</v>
      </c>
      <c r="HJ135" s="13">
        <f t="shared" si="393"/>
        <v>8.8370389225016499E-3</v>
      </c>
      <c r="HK135">
        <f>VLOOKUP(A135,[4]Москва_продажа_районы!$C$4:$F$151,2,0)</f>
        <v>349</v>
      </c>
      <c r="HL135" s="13">
        <f t="shared" si="394"/>
        <v>7.3846153846153895E-2</v>
      </c>
      <c r="HM135" s="1">
        <f>VLOOKUP(A135,Лист3!$C$4:$F$149,3,0)</f>
        <v>368712.78996882739</v>
      </c>
      <c r="HN135" s="13">
        <f t="shared" si="395"/>
        <v>7.6122340144617606E-3</v>
      </c>
      <c r="HO135">
        <f>VLOOKUP(A135,Лист3!$C$4:$F$149,2,0)</f>
        <v>327</v>
      </c>
      <c r="HP135" s="13">
        <f t="shared" si="396"/>
        <v>-6.3037249283667607E-2</v>
      </c>
      <c r="HQ135" s="1">
        <v>374009.55851854372</v>
      </c>
      <c r="HR135" s="13">
        <v>1.4365567709664129E-2</v>
      </c>
      <c r="HS135">
        <v>336</v>
      </c>
      <c r="HT135" s="13">
        <v>2.7522935779816571E-2</v>
      </c>
      <c r="HU135" s="34">
        <v>389972.90732818621</v>
      </c>
      <c r="HV135" s="13">
        <v>4.2681659989850296E-2</v>
      </c>
      <c r="HW135">
        <v>350</v>
      </c>
      <c r="HX135" s="13">
        <v>4.1666666666666741E-2</v>
      </c>
      <c r="HY135">
        <v>390826.77539583307</v>
      </c>
      <c r="HZ135" s="13">
        <v>2.1895574066848056E-3</v>
      </c>
      <c r="IA135">
        <v>414</v>
      </c>
      <c r="IB135" s="13">
        <v>0.18285714285714283</v>
      </c>
      <c r="IC135" s="34">
        <v>387772.76996840938</v>
      </c>
      <c r="ID135" s="13">
        <v>-7.8142174991223667E-3</v>
      </c>
      <c r="IE135">
        <v>407</v>
      </c>
      <c r="IF135" s="13">
        <v>-1.6908212560386437E-2</v>
      </c>
    </row>
    <row r="136" spans="1:240" x14ac:dyDescent="0.3">
      <c r="A136" s="23" t="s">
        <v>138</v>
      </c>
      <c r="B136" s="22">
        <v>153961.26175588058</v>
      </c>
      <c r="C136">
        <v>903</v>
      </c>
      <c r="D136" s="22">
        <v>155408.45833448166</v>
      </c>
      <c r="E136">
        <v>897</v>
      </c>
      <c r="F136" s="22">
        <v>155990.77985245388</v>
      </c>
      <c r="G136">
        <v>595</v>
      </c>
      <c r="H136" s="22">
        <v>157286.99655943247</v>
      </c>
      <c r="I136">
        <v>665</v>
      </c>
      <c r="J136" s="22">
        <v>157524.92073466509</v>
      </c>
      <c r="K136">
        <v>793</v>
      </c>
      <c r="L136" s="22">
        <v>158555.51904548157</v>
      </c>
      <c r="M136">
        <v>807</v>
      </c>
      <c r="N136" s="22">
        <v>159779.62837988621</v>
      </c>
      <c r="O136" s="28">
        <v>785</v>
      </c>
      <c r="P136" s="39">
        <v>162558.75768546414</v>
      </c>
      <c r="Q136" s="28">
        <v>701</v>
      </c>
      <c r="R136" s="39">
        <v>169290.35491688235</v>
      </c>
      <c r="S136">
        <v>609</v>
      </c>
      <c r="T136" s="46">
        <v>178529.80092238879</v>
      </c>
      <c r="U136" s="47">
        <v>513</v>
      </c>
      <c r="V136" s="56">
        <v>183362.60778525489</v>
      </c>
      <c r="W136" s="47">
        <v>451</v>
      </c>
      <c r="X136" s="56">
        <v>189280.00769129291</v>
      </c>
      <c r="Y136" s="47">
        <v>508</v>
      </c>
      <c r="Z136" s="34">
        <v>191172.19276649001</v>
      </c>
      <c r="AA136" s="81">
        <v>638</v>
      </c>
      <c r="AB136" s="1">
        <v>194870.33265513601</v>
      </c>
      <c r="AC136">
        <v>706</v>
      </c>
      <c r="AD136" s="1">
        <v>197798.31817001509</v>
      </c>
      <c r="AE136">
        <v>603</v>
      </c>
      <c r="AF136" s="13">
        <f t="shared" si="341"/>
        <v>4.5003751757106691E-2</v>
      </c>
      <c r="AG136" s="85">
        <f t="shared" si="331"/>
        <v>0.14877868245743894</v>
      </c>
      <c r="AH136" s="35">
        <f t="shared" si="332"/>
        <v>42.997039230199853</v>
      </c>
      <c r="AI136" s="87">
        <f t="shared" si="333"/>
        <v>645.9970392301999</v>
      </c>
      <c r="AL136" s="1">
        <v>201973.7469200468</v>
      </c>
      <c r="AM136">
        <v>616</v>
      </c>
      <c r="AN136" s="13">
        <f t="shared" si="334"/>
        <v>0.14980544747081712</v>
      </c>
      <c r="AQ136">
        <f t="shared" si="335"/>
        <v>40</v>
      </c>
      <c r="AR136" s="90">
        <f t="shared" si="336"/>
        <v>656</v>
      </c>
      <c r="AS136">
        <v>611</v>
      </c>
      <c r="AT136" s="1">
        <v>203012.65273821689</v>
      </c>
      <c r="AU136" s="13">
        <f t="shared" si="337"/>
        <v>5.1437666232005963E-3</v>
      </c>
      <c r="AV136" s="35">
        <v>611</v>
      </c>
      <c r="AW136" s="1">
        <v>204887.87445260171</v>
      </c>
      <c r="AX136" s="35">
        <v>664.09597924773027</v>
      </c>
      <c r="AY136" s="121">
        <v>213147.8740940385</v>
      </c>
      <c r="AZ136" s="122">
        <v>621</v>
      </c>
      <c r="BA136" s="119">
        <v>215799.54621167321</v>
      </c>
      <c r="BB136">
        <v>682</v>
      </c>
      <c r="BC136" s="13">
        <f t="shared" si="338"/>
        <v>1.2440528102404702E-2</v>
      </c>
      <c r="BD136">
        <v>699</v>
      </c>
      <c r="BE136" s="1">
        <v>218988.83643097361</v>
      </c>
      <c r="BF136" s="13">
        <f t="shared" si="315"/>
        <v>1.4778947756322491E-2</v>
      </c>
      <c r="BG136">
        <v>667</v>
      </c>
      <c r="BH136" s="1">
        <v>221338.64507742599</v>
      </c>
      <c r="BI136" s="13">
        <f t="shared" si="267"/>
        <v>1.0730266824322987E-2</v>
      </c>
      <c r="BJ136">
        <v>582</v>
      </c>
      <c r="BK136" s="1">
        <v>223710.1381545137</v>
      </c>
      <c r="BL136" s="13">
        <f t="shared" si="316"/>
        <v>1.0714320024224122E-2</v>
      </c>
      <c r="BM136" s="1">
        <v>224973.60123766659</v>
      </c>
      <c r="BN136" s="109">
        <f t="shared" si="317"/>
        <v>5.6477685525375687E-3</v>
      </c>
      <c r="BO136">
        <v>543</v>
      </c>
      <c r="BP136" s="13">
        <f t="shared" si="318"/>
        <v>-6.7010309278350499E-2</v>
      </c>
      <c r="BQ136" s="1">
        <v>228114.38543027849</v>
      </c>
      <c r="BR136" s="13">
        <f t="shared" si="339"/>
        <v>1.3960678832241724E-2</v>
      </c>
      <c r="BS136">
        <v>596</v>
      </c>
      <c r="BT136" s="13">
        <f t="shared" si="340"/>
        <v>9.7605893186003767E-2</v>
      </c>
      <c r="BU136" s="1">
        <v>235025.3227645829</v>
      </c>
      <c r="BV136" s="13">
        <f t="shared" si="319"/>
        <v>3.0295929479715822E-2</v>
      </c>
      <c r="BW136">
        <v>520</v>
      </c>
      <c r="BX136" s="13">
        <f t="shared" si="320"/>
        <v>-0.12751677852348997</v>
      </c>
      <c r="BY136" s="1">
        <v>237242.806941933</v>
      </c>
      <c r="BZ136" s="13">
        <f t="shared" si="321"/>
        <v>9.4350861909942019E-3</v>
      </c>
      <c r="CA136">
        <v>457</v>
      </c>
      <c r="CB136" s="13">
        <f t="shared" si="322"/>
        <v>-0.12115384615384617</v>
      </c>
      <c r="CC136" s="1">
        <v>235084.1978134547</v>
      </c>
      <c r="CD136" s="13">
        <f t="shared" si="323"/>
        <v>-9.0987337247557809E-3</v>
      </c>
      <c r="CE136">
        <v>510</v>
      </c>
      <c r="CF136" s="13">
        <f t="shared" si="324"/>
        <v>0.11597374179431075</v>
      </c>
      <c r="CG136" s="1">
        <v>232580.55269885101</v>
      </c>
      <c r="CH136" s="13">
        <f t="shared" si="325"/>
        <v>-1.0649993227492049E-2</v>
      </c>
      <c r="CI136">
        <v>606</v>
      </c>
      <c r="CJ136" s="13">
        <f t="shared" si="326"/>
        <v>0.18823529411764706</v>
      </c>
      <c r="CK136" s="1">
        <v>230697.0647227825</v>
      </c>
      <c r="CL136" s="13">
        <f t="shared" si="327"/>
        <v>-8.0982178183542919E-3</v>
      </c>
      <c r="CM136">
        <v>676</v>
      </c>
      <c r="CN136" s="13">
        <f t="shared" si="328"/>
        <v>0.11551155115511547</v>
      </c>
      <c r="CO136" s="1">
        <v>229306.05439265189</v>
      </c>
      <c r="CP136" s="13">
        <v>-6.029597003334719E-3</v>
      </c>
      <c r="CQ136">
        <v>698</v>
      </c>
      <c r="CR136" s="13">
        <v>3.2544378698224907E-2</v>
      </c>
      <c r="CS136" s="1">
        <v>228741.41162803819</v>
      </c>
      <c r="CT136" s="13">
        <f t="shared" si="342"/>
        <v>-2.4623979777125271E-3</v>
      </c>
      <c r="CU136">
        <v>798</v>
      </c>
      <c r="CV136" s="13">
        <f t="shared" si="343"/>
        <v>0.14326647564469908</v>
      </c>
      <c r="CW136" s="1">
        <v>224774.82394214851</v>
      </c>
      <c r="CX136" s="13">
        <f t="shared" si="344"/>
        <v>-1.7340925098162097E-2</v>
      </c>
      <c r="CY136">
        <v>842</v>
      </c>
      <c r="CZ136" s="13">
        <f t="shared" si="345"/>
        <v>5.513784461152893E-2</v>
      </c>
      <c r="DA136" s="1">
        <v>221596.1265084937</v>
      </c>
      <c r="DB136" s="13">
        <f t="shared" si="346"/>
        <v>-1.4141696912074675E-2</v>
      </c>
      <c r="DC136">
        <v>783</v>
      </c>
      <c r="DD136" s="13">
        <f t="shared" si="347"/>
        <v>-7.0071258907363432E-2</v>
      </c>
      <c r="DE136" s="1">
        <v>219100.95989739319</v>
      </c>
      <c r="DF136" s="13">
        <f t="shared" si="348"/>
        <v>-1.1259973946362689E-2</v>
      </c>
      <c r="DG136" s="1">
        <v>738</v>
      </c>
      <c r="DH136" s="13">
        <f t="shared" si="349"/>
        <v>-5.7471264367816133E-2</v>
      </c>
      <c r="DI136" s="1">
        <v>219914.51535273879</v>
      </c>
      <c r="DJ136" s="13">
        <f t="shared" si="350"/>
        <v>3.7131533140091211E-3</v>
      </c>
      <c r="DK136" s="1">
        <v>748</v>
      </c>
      <c r="DL136" s="13">
        <f t="shared" si="351"/>
        <v>1.3550135501354976E-2</v>
      </c>
      <c r="DM136" s="1">
        <v>220997.13169295699</v>
      </c>
      <c r="DN136" s="13">
        <f t="shared" si="352"/>
        <v>4.9228962375753582E-3</v>
      </c>
      <c r="DO136" s="1">
        <v>811</v>
      </c>
      <c r="DP136" s="13">
        <f t="shared" si="353"/>
        <v>8.4224598930481287E-2</v>
      </c>
      <c r="DQ136" s="1">
        <v>222420.54161777781</v>
      </c>
      <c r="DR136" s="13">
        <f t="shared" si="354"/>
        <v>6.4408524849022264E-3</v>
      </c>
      <c r="DS136">
        <v>874</v>
      </c>
      <c r="DT136" s="13">
        <f t="shared" si="355"/>
        <v>7.7681874229346581E-2</v>
      </c>
      <c r="DU136" s="1">
        <v>222370.73701300079</v>
      </c>
      <c r="DV136" s="13">
        <f t="shared" si="356"/>
        <v>-2.239208861499753E-4</v>
      </c>
      <c r="DW136">
        <v>811</v>
      </c>
      <c r="DX136" s="13">
        <f t="shared" si="357"/>
        <v>-7.2082379862700274E-2</v>
      </c>
      <c r="DY136" s="1">
        <v>222176.6689807041</v>
      </c>
      <c r="DZ136" s="13">
        <f t="shared" si="358"/>
        <v>-8.7272289017659155E-4</v>
      </c>
      <c r="EA136" s="1">
        <v>787</v>
      </c>
      <c r="EB136" s="13">
        <f t="shared" si="359"/>
        <v>-2.9593094944512899E-2</v>
      </c>
      <c r="EC136" s="1">
        <v>222264.05570693981</v>
      </c>
      <c r="ED136" s="13">
        <f t="shared" si="360"/>
        <v>3.933208947484168E-4</v>
      </c>
      <c r="EE136" s="1">
        <f>IFERROR(VLOOKUP($A136,[1]Москва_продажа_районы!$C$2:$F$148,2,0),"")</f>
        <v>722</v>
      </c>
      <c r="EF136" s="13">
        <v>-8.2592121982210887E-2</v>
      </c>
      <c r="EG136" s="1">
        <v>222213.3539182969</v>
      </c>
      <c r="EH136" s="13">
        <f t="shared" si="361"/>
        <v>-2.2811510606901564E-4</v>
      </c>
      <c r="EI136" s="1">
        <f>IFERROR(VLOOKUP($A136,[2]Москва_продажа_районы!$C$2:$F$150,2,0),"")</f>
        <v>668</v>
      </c>
      <c r="EJ136" s="13">
        <v>-7.4792243767312971E-2</v>
      </c>
      <c r="EK136" s="1">
        <v>227526.80772942331</v>
      </c>
      <c r="EL136" s="13">
        <f t="shared" si="362"/>
        <v>2.3911496394946941E-2</v>
      </c>
      <c r="EM136">
        <v>645</v>
      </c>
      <c r="EN136" s="13">
        <f t="shared" si="363"/>
        <v>-3.4431137724550864E-2</v>
      </c>
      <c r="EO136" s="1">
        <v>229678.44617171009</v>
      </c>
      <c r="EP136" s="13">
        <f t="shared" si="364"/>
        <v>9.4566370607438444E-3</v>
      </c>
      <c r="EQ136">
        <v>602</v>
      </c>
      <c r="ER136" s="13">
        <f t="shared" si="365"/>
        <v>-6.6666666666666652E-2</v>
      </c>
      <c r="ES136" s="183">
        <v>232648.82649762201</v>
      </c>
      <c r="ET136" s="13">
        <f t="shared" si="366"/>
        <v>1.2932777870202194E-2</v>
      </c>
      <c r="EU136">
        <v>572</v>
      </c>
      <c r="EV136" s="13">
        <f t="shared" si="367"/>
        <v>-4.9833887043189362E-2</v>
      </c>
      <c r="EW136" s="183">
        <v>234578.65220589461</v>
      </c>
      <c r="EX136" s="13">
        <f t="shared" si="368"/>
        <v>8.2950158714525379E-3</v>
      </c>
      <c r="EY136">
        <v>608</v>
      </c>
      <c r="EZ136" s="13">
        <f t="shared" si="369"/>
        <v>6.2937062937062915E-2</v>
      </c>
      <c r="FA136" s="1">
        <v>234816.72136857879</v>
      </c>
      <c r="FB136" s="13">
        <f t="shared" si="370"/>
        <v>1.0148799153095744E-3</v>
      </c>
      <c r="FC136" s="1">
        <v>541</v>
      </c>
      <c r="FD136" s="13">
        <f t="shared" si="371"/>
        <v>-0.11019736842105265</v>
      </c>
      <c r="FE136" s="1">
        <v>236799.6417743272</v>
      </c>
      <c r="FF136" s="13">
        <f t="shared" si="372"/>
        <v>8.4445451507515479E-3</v>
      </c>
      <c r="FG136" s="1">
        <v>504</v>
      </c>
      <c r="FH136" s="13">
        <f t="shared" si="373"/>
        <v>-6.8391866913123822E-2</v>
      </c>
      <c r="FI136" s="1">
        <v>237681.735390638</v>
      </c>
      <c r="FJ136" s="13">
        <f t="shared" si="374"/>
        <v>3.7250631365035591E-3</v>
      </c>
      <c r="FK136" s="1">
        <v>573</v>
      </c>
      <c r="FL136" s="13">
        <f t="shared" si="375"/>
        <v>0.13690476190476186</v>
      </c>
      <c r="FM136" s="1">
        <v>238168.28310869299</v>
      </c>
      <c r="FN136" s="13">
        <f t="shared" si="376"/>
        <v>2.0470555604759078E-3</v>
      </c>
      <c r="FO136" s="1">
        <v>609</v>
      </c>
      <c r="FP136" s="13">
        <f t="shared" si="377"/>
        <v>6.2827225130890119E-2</v>
      </c>
      <c r="FQ136" s="1">
        <v>238457.08420685731</v>
      </c>
      <c r="FR136" s="13">
        <f t="shared" si="378"/>
        <v>1.2125926021497868E-3</v>
      </c>
      <c r="FS136">
        <v>655</v>
      </c>
      <c r="FT136" s="13">
        <f t="shared" si="379"/>
        <v>7.55336617405582E-2</v>
      </c>
      <c r="FU136" s="1">
        <v>235646.68294747151</v>
      </c>
      <c r="FV136" s="13">
        <f t="shared" si="380"/>
        <v>-1.1785773816423206E-2</v>
      </c>
      <c r="FW136" s="1">
        <v>673</v>
      </c>
      <c r="FX136" s="13">
        <f t="shared" si="381"/>
        <v>2.7480916030534264E-2</v>
      </c>
      <c r="FY136" s="1">
        <v>234595.2898027412</v>
      </c>
      <c r="FZ136" s="13">
        <f t="shared" si="382"/>
        <v>-4.4617353895224365E-3</v>
      </c>
      <c r="GA136" s="1">
        <v>692</v>
      </c>
      <c r="GB136" s="13">
        <f t="shared" si="383"/>
        <v>2.8231797919762158E-2</v>
      </c>
      <c r="GC136" s="1">
        <v>234928.79204647581</v>
      </c>
      <c r="GD136" s="13">
        <f t="shared" si="384"/>
        <v>1.4216067339418714E-3</v>
      </c>
      <c r="GE136" s="1">
        <v>683</v>
      </c>
      <c r="GF136" s="13">
        <f t="shared" si="385"/>
        <v>-1.3005780346820761E-2</v>
      </c>
      <c r="GG136" s="1">
        <f>IFERROR(VLOOKUP(A136,[3]Москва_продажа_районы!$C$2:$F$149,3,0),"")</f>
        <v>234670.06171905959</v>
      </c>
      <c r="GH136" s="13">
        <v>-1.1013138285963509E-3</v>
      </c>
      <c r="GI136" s="1">
        <v>708</v>
      </c>
      <c r="GJ136" s="13">
        <f t="shared" si="386"/>
        <v>3.6603221083455262E-2</v>
      </c>
      <c r="GK136" s="1">
        <v>234190.99745040559</v>
      </c>
      <c r="GL136" s="13">
        <f t="shared" si="387"/>
        <v>-2.0414375193181789E-3</v>
      </c>
      <c r="GM136" s="1">
        <v>738</v>
      </c>
      <c r="GN136" s="13">
        <f t="shared" si="388"/>
        <v>4.2372881355932313E-2</v>
      </c>
      <c r="GO136" s="1">
        <v>235068.87122875109</v>
      </c>
      <c r="GP136" s="13">
        <f t="shared" si="389"/>
        <v>3.7485376803667592E-3</v>
      </c>
      <c r="GQ136" s="1">
        <v>762.91000000000008</v>
      </c>
      <c r="GR136" s="13">
        <f t="shared" si="390"/>
        <v>3.3753387533875356E-2</v>
      </c>
      <c r="GS136" s="1">
        <v>235162.48830977979</v>
      </c>
      <c r="GT136" s="13">
        <f t="shared" si="329"/>
        <v>3.9825384169045464E-4</v>
      </c>
      <c r="GU136">
        <v>702</v>
      </c>
      <c r="GV136" s="13">
        <f t="shared" si="330"/>
        <v>-7.9839037370069921E-2</v>
      </c>
      <c r="GW136">
        <v>236009.0089686006</v>
      </c>
      <c r="GX136" s="13">
        <f t="shared" si="391"/>
        <v>3.5997265758886954E-3</v>
      </c>
      <c r="GY136">
        <v>615</v>
      </c>
      <c r="GZ136" s="13">
        <f t="shared" si="392"/>
        <v>-0.12393162393162394</v>
      </c>
      <c r="HA136">
        <v>238064.76845790719</v>
      </c>
      <c r="HB136" s="13">
        <v>8.7105127820781281E-3</v>
      </c>
      <c r="HC136">
        <v>527</v>
      </c>
      <c r="HD136" s="13">
        <v>-0.14308943089430892</v>
      </c>
      <c r="HE136">
        <v>239254.52617151651</v>
      </c>
      <c r="HF136" s="13">
        <v>4.9976219552188006E-3</v>
      </c>
      <c r="HG136">
        <v>575</v>
      </c>
      <c r="HH136" s="13">
        <v>9.1081593927893723E-2</v>
      </c>
      <c r="HI136">
        <f>VLOOKUP(A136,[4]Москва_продажа_районы!$C$4:$F$151,3,0)</f>
        <v>239696.4706421037</v>
      </c>
      <c r="HJ136" s="13">
        <f t="shared" si="393"/>
        <v>1.8471728734208437E-3</v>
      </c>
      <c r="HK136">
        <f>VLOOKUP(A136,[4]Москва_продажа_районы!$C$4:$F$151,2,0)</f>
        <v>616</v>
      </c>
      <c r="HL136" s="13">
        <f t="shared" si="394"/>
        <v>7.1304347826086856E-2</v>
      </c>
      <c r="HM136" s="1">
        <f>VLOOKUP(A136,Лист3!$C$4:$F$149,3,0)</f>
        <v>239555.56954453859</v>
      </c>
      <c r="HN136" s="13">
        <f t="shared" si="395"/>
        <v>-5.8783134014306349E-4</v>
      </c>
      <c r="HO136">
        <f>VLOOKUP(A136,Лист3!$C$4:$F$149,2,0)</f>
        <v>621</v>
      </c>
      <c r="HP136" s="13">
        <f t="shared" si="396"/>
        <v>8.116883116883189E-3</v>
      </c>
      <c r="HQ136" s="1">
        <v>241477.4690727368</v>
      </c>
      <c r="HR136" s="13">
        <v>8.022771216934288E-3</v>
      </c>
      <c r="HS136">
        <v>603</v>
      </c>
      <c r="HT136" s="13">
        <v>-2.8985507246376829E-2</v>
      </c>
      <c r="HU136" s="34">
        <v>241201.164827136</v>
      </c>
      <c r="HV136" s="13">
        <v>-1.1442237102359254E-3</v>
      </c>
      <c r="HW136">
        <v>559</v>
      </c>
      <c r="HX136" s="13">
        <v>-7.2968490878938641E-2</v>
      </c>
      <c r="HY136">
        <v>242318.82730748571</v>
      </c>
      <c r="HZ136" s="13">
        <v>4.6337358327050993E-3</v>
      </c>
      <c r="IA136">
        <v>585</v>
      </c>
      <c r="IB136" s="13">
        <v>4.6511627906976827E-2</v>
      </c>
      <c r="IC136" s="34">
        <v>245741.44617590361</v>
      </c>
      <c r="ID136" s="13">
        <v>1.4124444668407232E-2</v>
      </c>
      <c r="IE136">
        <v>558</v>
      </c>
      <c r="IF136" s="13">
        <v>-4.6153846153846101E-2</v>
      </c>
    </row>
    <row r="137" spans="1:240" ht="15" thickBot="1" x14ac:dyDescent="0.35">
      <c r="A137" s="29" t="s">
        <v>139</v>
      </c>
      <c r="B137" s="30">
        <v>185580.2352616461</v>
      </c>
      <c r="C137" s="31">
        <v>486</v>
      </c>
      <c r="D137" s="30">
        <v>185381.6176933067</v>
      </c>
      <c r="E137" s="31">
        <v>499</v>
      </c>
      <c r="F137" s="30">
        <v>185634.07354739119</v>
      </c>
      <c r="G137" s="31">
        <v>322</v>
      </c>
      <c r="H137" s="30">
        <v>187417.72365642712</v>
      </c>
      <c r="I137" s="31">
        <v>345</v>
      </c>
      <c r="J137" s="30">
        <v>187440.73946991106</v>
      </c>
      <c r="K137" s="31">
        <v>413</v>
      </c>
      <c r="L137" s="30">
        <v>186750.1840783626</v>
      </c>
      <c r="M137" s="31">
        <v>458</v>
      </c>
      <c r="N137" s="30">
        <v>188398.57802690292</v>
      </c>
      <c r="O137" s="32">
        <v>432</v>
      </c>
      <c r="P137" s="37">
        <v>190063.10666405602</v>
      </c>
      <c r="Q137" s="32">
        <v>382</v>
      </c>
      <c r="R137" s="37">
        <v>194768.33106103505</v>
      </c>
      <c r="S137" s="31">
        <v>339</v>
      </c>
      <c r="T137" s="48">
        <v>203888.16259213132</v>
      </c>
      <c r="U137" s="49">
        <v>292</v>
      </c>
      <c r="V137" s="57">
        <v>208891.57809090431</v>
      </c>
      <c r="W137" s="49">
        <v>258</v>
      </c>
      <c r="X137" s="57">
        <v>214500.61491602851</v>
      </c>
      <c r="Y137" s="49">
        <v>271</v>
      </c>
      <c r="Z137" s="34">
        <v>211383.39452424756</v>
      </c>
      <c r="AA137" s="81">
        <v>351</v>
      </c>
      <c r="AB137" s="1">
        <v>220859.7148110999</v>
      </c>
      <c r="AC137">
        <v>383</v>
      </c>
      <c r="AD137" s="1">
        <v>226294.38423705779</v>
      </c>
      <c r="AE137">
        <v>362</v>
      </c>
      <c r="AF137" s="13">
        <f t="shared" si="341"/>
        <v>5.498244993678103E-2</v>
      </c>
      <c r="AG137" s="85">
        <f t="shared" si="331"/>
        <v>8.9316555637799167E-2</v>
      </c>
      <c r="AH137" s="35">
        <f t="shared" si="332"/>
        <v>25.812484579323961</v>
      </c>
      <c r="AI137" s="88">
        <f t="shared" si="333"/>
        <v>387.81248457932395</v>
      </c>
      <c r="AL137" s="1">
        <v>229452.4052821722</v>
      </c>
      <c r="AM137">
        <v>353</v>
      </c>
      <c r="AN137" s="13">
        <f t="shared" si="334"/>
        <v>8.5846303501945526E-2</v>
      </c>
      <c r="AQ137">
        <f t="shared" si="335"/>
        <v>23</v>
      </c>
      <c r="AR137" s="91">
        <f t="shared" si="336"/>
        <v>376</v>
      </c>
      <c r="AS137">
        <v>349</v>
      </c>
      <c r="AT137" s="1">
        <v>233148.2492486285</v>
      </c>
      <c r="AU137" s="13">
        <f t="shared" si="337"/>
        <v>1.6107235667943032E-2</v>
      </c>
      <c r="AV137" s="35">
        <v>317</v>
      </c>
      <c r="AW137" s="1">
        <v>235571.10967403301</v>
      </c>
      <c r="AX137" s="35">
        <v>344.54734111543451</v>
      </c>
      <c r="AY137" s="123">
        <v>239333.02462536719</v>
      </c>
      <c r="AZ137" s="124">
        <v>306</v>
      </c>
      <c r="BA137" s="119">
        <v>243523.27303594709</v>
      </c>
      <c r="BB137">
        <v>323</v>
      </c>
      <c r="BC137" s="13">
        <f t="shared" si="338"/>
        <v>1.7508024298522828E-2</v>
      </c>
      <c r="BD137">
        <v>341</v>
      </c>
      <c r="BE137" s="1">
        <v>249169.99002640261</v>
      </c>
      <c r="BF137" s="13">
        <f t="shared" si="315"/>
        <v>2.318758663210807E-2</v>
      </c>
      <c r="BG137">
        <v>325</v>
      </c>
      <c r="BH137" s="1">
        <v>251983.00846935081</v>
      </c>
      <c r="BI137" s="13">
        <f t="shared" si="267"/>
        <v>1.1289555546597496E-2</v>
      </c>
      <c r="BJ137">
        <v>317</v>
      </c>
      <c r="BK137" s="1">
        <v>253193.31272383989</v>
      </c>
      <c r="BL137" s="13">
        <f t="shared" si="316"/>
        <v>4.8031185191452774E-3</v>
      </c>
      <c r="BM137" s="1">
        <v>258878.56620421499</v>
      </c>
      <c r="BN137" s="109">
        <f t="shared" si="317"/>
        <v>2.2454200781266476E-2</v>
      </c>
      <c r="BO137">
        <v>281</v>
      </c>
      <c r="BP137" s="13">
        <f t="shared" si="318"/>
        <v>-0.11356466876971605</v>
      </c>
      <c r="BQ137" s="1">
        <v>264488.69462823478</v>
      </c>
      <c r="BR137" s="13">
        <f t="shared" si="339"/>
        <v>2.1670888039430292E-2</v>
      </c>
      <c r="BS137">
        <v>313</v>
      </c>
      <c r="BT137" s="13">
        <f t="shared" si="340"/>
        <v>0.11387900355871894</v>
      </c>
      <c r="BU137" s="1">
        <v>270969.39277697098</v>
      </c>
      <c r="BV137" s="13">
        <f t="shared" si="319"/>
        <v>2.4502741630773484E-2</v>
      </c>
      <c r="BW137">
        <v>282</v>
      </c>
      <c r="BX137" s="13">
        <f t="shared" si="320"/>
        <v>-9.9041533546325833E-2</v>
      </c>
      <c r="BY137" s="1">
        <v>273669.52570849401</v>
      </c>
      <c r="BZ137" s="13">
        <f t="shared" si="321"/>
        <v>9.9647155859607928E-3</v>
      </c>
      <c r="CA137">
        <v>226</v>
      </c>
      <c r="CB137" s="13">
        <f t="shared" si="322"/>
        <v>-0.1985815602836879</v>
      </c>
      <c r="CC137" s="1">
        <v>272088.04669460421</v>
      </c>
      <c r="CD137" s="13">
        <f t="shared" si="323"/>
        <v>-5.7787910794800945E-3</v>
      </c>
      <c r="CE137">
        <v>262</v>
      </c>
      <c r="CF137" s="13">
        <f t="shared" si="324"/>
        <v>0.15929203539823011</v>
      </c>
      <c r="CG137" s="1">
        <v>270208.17611950502</v>
      </c>
      <c r="CH137" s="13">
        <f t="shared" si="325"/>
        <v>-6.9090524112923601E-3</v>
      </c>
      <c r="CI137">
        <v>314</v>
      </c>
      <c r="CJ137" s="13">
        <f t="shared" si="326"/>
        <v>0.1984732824427482</v>
      </c>
      <c r="CK137" s="1">
        <v>268922.73018486268</v>
      </c>
      <c r="CL137" s="13">
        <f t="shared" si="327"/>
        <v>-4.757242926926919E-3</v>
      </c>
      <c r="CM137">
        <v>364</v>
      </c>
      <c r="CN137" s="13">
        <f t="shared" si="328"/>
        <v>0.15923566878980888</v>
      </c>
      <c r="CO137" s="1">
        <v>268893.02601393819</v>
      </c>
      <c r="CP137" s="13">
        <v>-1.1045615558069599E-4</v>
      </c>
      <c r="CQ137">
        <v>404</v>
      </c>
      <c r="CR137" s="13">
        <v>0.10989010989010994</v>
      </c>
      <c r="CS137" s="1">
        <v>267123.65883351892</v>
      </c>
      <c r="CT137" s="13">
        <f t="shared" si="342"/>
        <v>-6.580189924031532E-3</v>
      </c>
      <c r="CU137">
        <v>430</v>
      </c>
      <c r="CV137" s="13">
        <f t="shared" si="343"/>
        <v>6.4356435643564414E-2</v>
      </c>
      <c r="CW137" s="1">
        <v>260281.92818182279</v>
      </c>
      <c r="CX137" s="13">
        <f t="shared" si="344"/>
        <v>-2.5612597107918966E-2</v>
      </c>
      <c r="CY137">
        <v>441</v>
      </c>
      <c r="CZ137" s="13">
        <f t="shared" si="345"/>
        <v>2.5581395348837299E-2</v>
      </c>
      <c r="DA137" s="1">
        <v>256756.93547351021</v>
      </c>
      <c r="DB137" s="13">
        <f t="shared" si="346"/>
        <v>-1.3542979080169437E-2</v>
      </c>
      <c r="DC137">
        <v>422</v>
      </c>
      <c r="DD137" s="13">
        <f t="shared" si="347"/>
        <v>-4.3083900226757343E-2</v>
      </c>
      <c r="DE137" s="1">
        <v>254912.5996107205</v>
      </c>
      <c r="DF137" s="13">
        <f t="shared" si="348"/>
        <v>-7.1831978341242442E-3</v>
      </c>
      <c r="DG137" s="1">
        <v>418</v>
      </c>
      <c r="DH137" s="13">
        <f t="shared" si="349"/>
        <v>-9.4786729857819774E-3</v>
      </c>
      <c r="DI137" s="1">
        <v>256342.01753678051</v>
      </c>
      <c r="DJ137" s="13">
        <f t="shared" si="350"/>
        <v>5.6074824400318413E-3</v>
      </c>
      <c r="DK137" s="1">
        <v>388</v>
      </c>
      <c r="DL137" s="13">
        <f t="shared" si="351"/>
        <v>-7.1770334928229707E-2</v>
      </c>
      <c r="DM137" s="1">
        <v>254348.51768423989</v>
      </c>
      <c r="DN137" s="13">
        <f t="shared" si="352"/>
        <v>-7.7767190556443655E-3</v>
      </c>
      <c r="DO137" s="1">
        <v>412</v>
      </c>
      <c r="DP137" s="13">
        <f t="shared" si="353"/>
        <v>6.1855670103092786E-2</v>
      </c>
      <c r="DQ137" s="1">
        <v>254190.00769670971</v>
      </c>
      <c r="DR137" s="13">
        <f t="shared" si="354"/>
        <v>-6.2319996583182213E-4</v>
      </c>
      <c r="DS137">
        <v>443</v>
      </c>
      <c r="DT137" s="13">
        <f t="shared" si="355"/>
        <v>7.5242718446602019E-2</v>
      </c>
      <c r="DU137" s="1">
        <v>255820.88367304479</v>
      </c>
      <c r="DV137" s="13">
        <f t="shared" si="356"/>
        <v>6.4159720168111001E-3</v>
      </c>
      <c r="DW137">
        <v>427</v>
      </c>
      <c r="DX137" s="13">
        <f t="shared" si="357"/>
        <v>-3.6117381489842004E-2</v>
      </c>
      <c r="DY137" s="1">
        <v>252324.17322118799</v>
      </c>
      <c r="DZ137" s="13">
        <f t="shared" si="358"/>
        <v>-1.3668588747140054E-2</v>
      </c>
      <c r="EA137" s="1">
        <v>446</v>
      </c>
      <c r="EB137" s="13">
        <f t="shared" si="359"/>
        <v>4.4496487119437989E-2</v>
      </c>
      <c r="EC137" s="1">
        <v>253346.81162596459</v>
      </c>
      <c r="ED137" s="13">
        <f t="shared" si="360"/>
        <v>4.0528752823065783E-3</v>
      </c>
      <c r="EE137" s="1">
        <f>IFERROR(VLOOKUP($A137,[1]Москва_продажа_районы!$C$2:$F$148,2,0),"")</f>
        <v>409</v>
      </c>
      <c r="EF137" s="13">
        <v>-8.2959641255605399E-2</v>
      </c>
      <c r="EG137" s="1">
        <v>258225.88062626121</v>
      </c>
      <c r="EH137" s="13">
        <f t="shared" si="361"/>
        <v>1.9258458273001544E-2</v>
      </c>
      <c r="EI137" s="1">
        <f>IFERROR(VLOOKUP($A137,[2]Москва_продажа_районы!$C$2:$F$150,2,0),"")</f>
        <v>393</v>
      </c>
      <c r="EJ137" s="13">
        <v>-3.9119804400977953E-2</v>
      </c>
      <c r="EK137" s="1">
        <v>265275.57502144983</v>
      </c>
      <c r="EL137" s="13">
        <f t="shared" si="362"/>
        <v>2.730049512500976E-2</v>
      </c>
      <c r="EM137">
        <v>378</v>
      </c>
      <c r="EN137" s="13">
        <f t="shared" si="363"/>
        <v>-3.8167938931297662E-2</v>
      </c>
      <c r="EO137" s="1">
        <v>268932.32307317673</v>
      </c>
      <c r="EP137" s="13">
        <f t="shared" si="364"/>
        <v>1.3784714448102475E-2</v>
      </c>
      <c r="EQ137">
        <v>378</v>
      </c>
      <c r="ER137" s="13">
        <f t="shared" si="365"/>
        <v>0</v>
      </c>
      <c r="ES137" s="183">
        <v>271587.85092603351</v>
      </c>
      <c r="ET137" s="13">
        <f t="shared" si="366"/>
        <v>9.8743350093108972E-3</v>
      </c>
      <c r="EU137">
        <v>361</v>
      </c>
      <c r="EV137" s="13">
        <f t="shared" si="367"/>
        <v>-4.4973544973544999E-2</v>
      </c>
      <c r="EW137" s="183">
        <v>276257.87702519161</v>
      </c>
      <c r="EX137" s="13">
        <f t="shared" si="368"/>
        <v>1.71952687987873E-2</v>
      </c>
      <c r="EY137">
        <v>332</v>
      </c>
      <c r="EZ137" s="13">
        <f t="shared" si="369"/>
        <v>-8.0332409972299179E-2</v>
      </c>
      <c r="FA137" s="1">
        <v>279193.55304604542</v>
      </c>
      <c r="FB137" s="13">
        <f t="shared" si="370"/>
        <v>1.0626578515935403E-2</v>
      </c>
      <c r="FC137" s="1">
        <v>323</v>
      </c>
      <c r="FD137" s="13">
        <f t="shared" si="371"/>
        <v>-2.7108433734939763E-2</v>
      </c>
      <c r="FE137" s="1">
        <v>277189.144017488</v>
      </c>
      <c r="FF137" s="13">
        <f t="shared" si="372"/>
        <v>-7.1792812072091206E-3</v>
      </c>
      <c r="FG137" s="1">
        <v>304</v>
      </c>
      <c r="FH137" s="13">
        <f t="shared" si="373"/>
        <v>-5.8823529411764719E-2</v>
      </c>
      <c r="FI137" s="1">
        <v>279918.56618371722</v>
      </c>
      <c r="FJ137" s="13">
        <f t="shared" si="374"/>
        <v>9.8467859407114222E-3</v>
      </c>
      <c r="FK137" s="1">
        <v>340</v>
      </c>
      <c r="FL137" s="13">
        <f t="shared" si="375"/>
        <v>0.11842105263157898</v>
      </c>
      <c r="FM137" s="1">
        <v>277549.32534520503</v>
      </c>
      <c r="FN137" s="13">
        <f t="shared" si="376"/>
        <v>-8.4640360616780042E-3</v>
      </c>
      <c r="FO137" s="1">
        <v>364</v>
      </c>
      <c r="FP137" s="13">
        <f t="shared" si="377"/>
        <v>7.0588235294117618E-2</v>
      </c>
      <c r="FQ137" s="1">
        <v>276570.9180369348</v>
      </c>
      <c r="FR137" s="13">
        <f t="shared" si="378"/>
        <v>-3.5251655072601196E-3</v>
      </c>
      <c r="FS137">
        <v>386</v>
      </c>
      <c r="FT137" s="13">
        <f t="shared" si="379"/>
        <v>6.0439560439560447E-2</v>
      </c>
      <c r="FU137" s="1">
        <v>276480.17749699292</v>
      </c>
      <c r="FV137" s="13">
        <f t="shared" si="380"/>
        <v>-3.2809140088174704E-4</v>
      </c>
      <c r="FW137" s="1">
        <v>388</v>
      </c>
      <c r="FX137" s="13">
        <f t="shared" si="381"/>
        <v>5.1813471502590858E-3</v>
      </c>
      <c r="FY137" s="1">
        <v>274789.41966140131</v>
      </c>
      <c r="FZ137" s="13">
        <f t="shared" si="382"/>
        <v>-6.1152949585689953E-3</v>
      </c>
      <c r="GA137" s="1">
        <v>403</v>
      </c>
      <c r="GB137" s="13">
        <f t="shared" si="383"/>
        <v>3.8659793814433074E-2</v>
      </c>
      <c r="GC137" s="1">
        <v>274699.82413094299</v>
      </c>
      <c r="GD137" s="13">
        <f t="shared" si="384"/>
        <v>-3.2605160187282323E-4</v>
      </c>
      <c r="GE137" s="1">
        <v>384</v>
      </c>
      <c r="GF137" s="13">
        <f t="shared" si="385"/>
        <v>-4.7146401985111663E-2</v>
      </c>
      <c r="GG137" s="1">
        <f>IFERROR(VLOOKUP(A137,[3]Москва_продажа_районы!$C$2:$F$149,3,0),"")</f>
        <v>275489.80607964349</v>
      </c>
      <c r="GH137" s="13">
        <v>2.8758007079172643E-3</v>
      </c>
      <c r="GI137" s="1">
        <v>377</v>
      </c>
      <c r="GJ137" s="13">
        <f t="shared" si="386"/>
        <v>-1.822916666666663E-2</v>
      </c>
      <c r="GK137" s="1">
        <v>274451.68797860021</v>
      </c>
      <c r="GL137" s="13">
        <f t="shared" si="387"/>
        <v>-3.7682632102298275E-3</v>
      </c>
      <c r="GM137" s="1">
        <v>424</v>
      </c>
      <c r="GN137" s="13">
        <f t="shared" si="388"/>
        <v>0.12466843501326252</v>
      </c>
      <c r="GO137" s="1">
        <v>274890.45386840892</v>
      </c>
      <c r="GP137" s="13">
        <f t="shared" si="389"/>
        <v>1.598699913417656E-3</v>
      </c>
      <c r="GQ137" s="1">
        <v>432.28000000000003</v>
      </c>
      <c r="GR137" s="13">
        <f t="shared" si="390"/>
        <v>1.9528301886792443E-2</v>
      </c>
      <c r="GS137" s="1">
        <v>272898.54726484237</v>
      </c>
      <c r="GT137" s="13">
        <f t="shared" si="329"/>
        <v>-7.2461832542212168E-3</v>
      </c>
      <c r="GU137">
        <v>451</v>
      </c>
      <c r="GV137" s="13">
        <f t="shared" si="330"/>
        <v>4.3305265105949786E-2</v>
      </c>
      <c r="GW137">
        <v>272791.43418846489</v>
      </c>
      <c r="GX137" s="13">
        <f t="shared" si="391"/>
        <v>-3.925014531994675E-4</v>
      </c>
      <c r="GY137">
        <v>399</v>
      </c>
      <c r="GZ137" s="13">
        <f t="shared" si="392"/>
        <v>-0.11529933481152999</v>
      </c>
      <c r="HA137">
        <v>275353.15425171453</v>
      </c>
      <c r="HB137" s="13">
        <v>9.3907643063300128E-3</v>
      </c>
      <c r="HC137">
        <v>332</v>
      </c>
      <c r="HD137" s="13">
        <v>-0.16791979949874691</v>
      </c>
      <c r="HE137">
        <v>276549.35620231897</v>
      </c>
      <c r="HF137" s="13">
        <v>4.3442464055121199E-3</v>
      </c>
      <c r="HG137">
        <v>334</v>
      </c>
      <c r="HH137" s="13">
        <v>6.0240963855422436E-3</v>
      </c>
      <c r="HI137">
        <f>VLOOKUP(A137,[4]Москва_продажа_районы!$C$4:$F$151,3,0)</f>
        <v>279433.25968528062</v>
      </c>
      <c r="HJ137" s="13">
        <f t="shared" si="393"/>
        <v>1.042816921566736E-2</v>
      </c>
      <c r="HK137">
        <f>VLOOKUP(A137,[4]Москва_продажа_районы!$C$4:$F$151,2,0)</f>
        <v>337</v>
      </c>
      <c r="HL137" s="13">
        <f t="shared" si="394"/>
        <v>8.9820359281436168E-3</v>
      </c>
      <c r="HM137" s="1">
        <f>VLOOKUP(A137,Лист3!$C$4:$F$149,3,0)</f>
        <v>280570.5270947981</v>
      </c>
      <c r="HN137" s="13">
        <f t="shared" si="395"/>
        <v>4.0699071069720816E-3</v>
      </c>
      <c r="HO137">
        <f>VLOOKUP(A137,Лист3!$C$4:$F$149,2,0)</f>
        <v>335</v>
      </c>
      <c r="HP137" s="13">
        <f t="shared" si="396"/>
        <v>-5.9347181008901906E-3</v>
      </c>
      <c r="HQ137" s="1">
        <v>280854.81003734691</v>
      </c>
      <c r="HR137" s="13">
        <v>1.013231665822012E-3</v>
      </c>
      <c r="HS137">
        <v>339</v>
      </c>
      <c r="HT137" s="13">
        <v>1.1940298507462588E-2</v>
      </c>
      <c r="HU137" s="34">
        <v>283421.4418402898</v>
      </c>
      <c r="HV137" s="13">
        <v>9.1386428546536003E-3</v>
      </c>
      <c r="HW137">
        <v>317</v>
      </c>
      <c r="HX137" s="13">
        <v>-6.4896755162241915E-2</v>
      </c>
      <c r="HY137">
        <v>282021.73417005612</v>
      </c>
      <c r="HZ137" s="13">
        <v>-4.9386089533142163E-3</v>
      </c>
      <c r="IA137">
        <v>340</v>
      </c>
      <c r="IB137" s="13">
        <v>7.2555205047318605E-2</v>
      </c>
      <c r="IC137" s="34">
        <v>282705.59226062981</v>
      </c>
      <c r="ID137" s="13">
        <v>2.4248418037218222E-3</v>
      </c>
      <c r="IE137">
        <v>324</v>
      </c>
      <c r="IF137" s="13">
        <v>-4.705882352941182E-2</v>
      </c>
    </row>
    <row r="138" spans="1:240" ht="15.6" thickTop="1" thickBot="1" x14ac:dyDescent="0.35">
      <c r="A138" s="228" t="s">
        <v>168</v>
      </c>
      <c r="B138" s="228"/>
      <c r="C138" s="228"/>
      <c r="D138" s="228"/>
      <c r="E138" s="228"/>
      <c r="F138" s="228"/>
      <c r="G138" s="228"/>
      <c r="H138" s="228"/>
      <c r="I138" s="228"/>
      <c r="J138" s="228"/>
      <c r="K138" s="228"/>
      <c r="L138" s="228"/>
      <c r="M138" s="228"/>
      <c r="N138" s="228"/>
      <c r="O138" s="228"/>
      <c r="P138" s="228"/>
      <c r="Q138" s="228"/>
      <c r="U138" s="13"/>
      <c r="V138" s="1"/>
      <c r="W138" s="35"/>
      <c r="AA138" s="81"/>
      <c r="AF138" s="13" t="e">
        <f t="shared" si="341"/>
        <v>#DIV/0!</v>
      </c>
      <c r="AK138">
        <v>200</v>
      </c>
      <c r="AL138" s="35"/>
      <c r="BA138" s="119"/>
      <c r="BI138" s="13"/>
      <c r="BL138" s="13"/>
      <c r="BM138" s="34"/>
      <c r="BN138" s="109"/>
      <c r="BP138" s="13"/>
      <c r="BR138" s="13" t="str">
        <f t="shared" si="339"/>
        <v/>
      </c>
      <c r="BS138" s="13"/>
      <c r="BT138" s="13" t="str">
        <f t="shared" si="340"/>
        <v/>
      </c>
      <c r="BV138" s="13"/>
      <c r="BX138" s="13"/>
      <c r="BZ138" s="13"/>
      <c r="CB138" s="13"/>
      <c r="CC138" s="1"/>
      <c r="CD138" s="13"/>
      <c r="CF138" s="13"/>
      <c r="CG138" s="1"/>
      <c r="CH138" s="13"/>
      <c r="CJ138" s="13"/>
      <c r="CK138" s="1"/>
      <c r="CL138" s="13"/>
      <c r="CN138" s="13"/>
      <c r="CO138" s="1" t="s">
        <v>184</v>
      </c>
      <c r="CP138" s="13" t="s">
        <v>184</v>
      </c>
      <c r="CQ138" t="s">
        <v>184</v>
      </c>
      <c r="CR138" s="13" t="s">
        <v>184</v>
      </c>
      <c r="CS138" s="1" t="s">
        <v>184</v>
      </c>
      <c r="CT138" s="13" t="str">
        <f t="shared" si="342"/>
        <v/>
      </c>
      <c r="CU138" t="s">
        <v>184</v>
      </c>
      <c r="CV138" s="13" t="str">
        <f t="shared" si="343"/>
        <v/>
      </c>
      <c r="CW138" s="1" t="s">
        <v>184</v>
      </c>
      <c r="CX138" s="13" t="str">
        <f t="shared" si="344"/>
        <v/>
      </c>
      <c r="CY138" t="s">
        <v>184</v>
      </c>
      <c r="CZ138" s="13" t="str">
        <f t="shared" si="345"/>
        <v/>
      </c>
      <c r="DA138" s="1" t="s">
        <v>184</v>
      </c>
      <c r="DB138" s="13" t="str">
        <f t="shared" si="346"/>
        <v/>
      </c>
      <c r="DC138" t="s">
        <v>184</v>
      </c>
      <c r="DD138" s="13" t="str">
        <f t="shared" si="347"/>
        <v/>
      </c>
      <c r="DE138" s="1" t="s">
        <v>184</v>
      </c>
      <c r="DF138" s="13" t="str">
        <f t="shared" si="348"/>
        <v/>
      </c>
      <c r="DG138" s="1" t="s">
        <v>184</v>
      </c>
      <c r="DH138" s="13" t="str">
        <f t="shared" si="349"/>
        <v/>
      </c>
      <c r="DI138" s="1" t="s">
        <v>184</v>
      </c>
      <c r="DJ138" s="13" t="str">
        <f t="shared" si="350"/>
        <v/>
      </c>
      <c r="DK138" s="1" t="s">
        <v>184</v>
      </c>
      <c r="DL138" s="13" t="str">
        <f t="shared" si="351"/>
        <v/>
      </c>
      <c r="DM138" s="1" t="s">
        <v>184</v>
      </c>
      <c r="DN138" s="13" t="str">
        <f t="shared" si="352"/>
        <v/>
      </c>
      <c r="DO138" s="1" t="s">
        <v>184</v>
      </c>
      <c r="DP138" s="13" t="str">
        <f t="shared" si="353"/>
        <v/>
      </c>
      <c r="DQ138" s="1" t="s">
        <v>184</v>
      </c>
      <c r="DR138" s="13" t="str">
        <f t="shared" si="354"/>
        <v/>
      </c>
      <c r="DS138" t="s">
        <v>184</v>
      </c>
      <c r="DT138" s="13" t="str">
        <f t="shared" si="355"/>
        <v/>
      </c>
      <c r="DU138" s="1" t="s">
        <v>184</v>
      </c>
      <c r="DV138" s="13" t="str">
        <f t="shared" si="356"/>
        <v/>
      </c>
      <c r="DW138" t="s">
        <v>184</v>
      </c>
      <c r="DX138" s="13" t="str">
        <f t="shared" si="357"/>
        <v/>
      </c>
      <c r="DY138" s="1" t="s">
        <v>184</v>
      </c>
      <c r="DZ138" s="13" t="str">
        <f t="shared" si="358"/>
        <v/>
      </c>
      <c r="EA138" s="1" t="s">
        <v>184</v>
      </c>
      <c r="EB138" s="13" t="str">
        <f t="shared" si="359"/>
        <v/>
      </c>
      <c r="EC138" s="1" t="s">
        <v>184</v>
      </c>
      <c r="ED138" s="13" t="str">
        <f t="shared" si="360"/>
        <v/>
      </c>
      <c r="EE138" s="1" t="str">
        <f>IFERROR(VLOOKUP($A138,[1]Москва_продажа_районы!$C$2:$F$148,2,0),"")</f>
        <v/>
      </c>
      <c r="EF138" s="13" t="s">
        <v>184</v>
      </c>
      <c r="EG138" s="1" t="s">
        <v>184</v>
      </c>
      <c r="EH138" s="13" t="str">
        <f t="shared" si="361"/>
        <v/>
      </c>
      <c r="EI138" s="1" t="str">
        <f>IFERROR(VLOOKUP($A138,[2]Москва_продажа_районы!$C$2:$F$150,2,0),"")</f>
        <v/>
      </c>
      <c r="EJ138" s="13" t="s">
        <v>184</v>
      </c>
      <c r="EK138" s="1" t="s">
        <v>184</v>
      </c>
      <c r="EL138" s="13" t="str">
        <f t="shared" si="362"/>
        <v/>
      </c>
      <c r="EM138" t="s">
        <v>184</v>
      </c>
      <c r="EN138" s="13" t="str">
        <f t="shared" si="363"/>
        <v/>
      </c>
      <c r="EO138" s="1" t="s">
        <v>184</v>
      </c>
      <c r="EP138" s="13" t="str">
        <f t="shared" si="364"/>
        <v/>
      </c>
      <c r="EQ138" t="s">
        <v>184</v>
      </c>
      <c r="ER138" s="13" t="str">
        <f t="shared" si="365"/>
        <v/>
      </c>
      <c r="ES138" s="183" t="s">
        <v>184</v>
      </c>
      <c r="ET138" s="13" t="str">
        <f t="shared" si="366"/>
        <v/>
      </c>
      <c r="EU138" t="s">
        <v>184</v>
      </c>
      <c r="EV138" s="13" t="str">
        <f t="shared" si="367"/>
        <v/>
      </c>
      <c r="EW138" s="183" t="s">
        <v>184</v>
      </c>
      <c r="EX138" s="13" t="str">
        <f t="shared" si="368"/>
        <v/>
      </c>
      <c r="EY138" t="s">
        <v>184</v>
      </c>
      <c r="EZ138" s="13" t="str">
        <f t="shared" si="369"/>
        <v/>
      </c>
      <c r="FA138" s="1" t="s">
        <v>184</v>
      </c>
      <c r="FB138" s="13" t="str">
        <f t="shared" si="370"/>
        <v/>
      </c>
      <c r="FC138" s="1" t="s">
        <v>184</v>
      </c>
      <c r="FD138" s="13" t="str">
        <f t="shared" si="371"/>
        <v/>
      </c>
      <c r="FE138" s="1" t="s">
        <v>184</v>
      </c>
      <c r="FF138" s="13" t="str">
        <f t="shared" si="372"/>
        <v/>
      </c>
      <c r="FG138" s="1" t="s">
        <v>184</v>
      </c>
      <c r="FH138" s="13" t="str">
        <f t="shared" si="373"/>
        <v/>
      </c>
      <c r="FI138" s="1" t="s">
        <v>184</v>
      </c>
      <c r="FJ138" s="13" t="str">
        <f t="shared" si="374"/>
        <v/>
      </c>
      <c r="FK138" s="1" t="s">
        <v>184</v>
      </c>
      <c r="FL138" s="13" t="str">
        <f t="shared" si="375"/>
        <v/>
      </c>
      <c r="FM138" s="1" t="s">
        <v>184</v>
      </c>
      <c r="FN138" s="13" t="str">
        <f t="shared" si="376"/>
        <v/>
      </c>
      <c r="FO138" s="1" t="s">
        <v>184</v>
      </c>
      <c r="FP138" s="13" t="str">
        <f t="shared" si="377"/>
        <v/>
      </c>
      <c r="FQ138" s="1" t="s">
        <v>184</v>
      </c>
      <c r="FR138" s="13" t="str">
        <f t="shared" si="378"/>
        <v/>
      </c>
      <c r="FS138" t="s">
        <v>184</v>
      </c>
      <c r="FT138" s="13" t="str">
        <f t="shared" si="379"/>
        <v/>
      </c>
      <c r="FU138" s="1" t="s">
        <v>184</v>
      </c>
      <c r="FV138" s="13" t="str">
        <f t="shared" si="380"/>
        <v/>
      </c>
      <c r="FW138" s="1" t="s">
        <v>184</v>
      </c>
      <c r="FX138" s="13" t="str">
        <f t="shared" si="381"/>
        <v/>
      </c>
      <c r="FY138" s="1" t="s">
        <v>184</v>
      </c>
      <c r="FZ138" s="13" t="str">
        <f t="shared" si="382"/>
        <v/>
      </c>
      <c r="GA138" s="1" t="s">
        <v>184</v>
      </c>
      <c r="GB138" s="13" t="str">
        <f t="shared" si="383"/>
        <v/>
      </c>
      <c r="GC138" s="1" t="s">
        <v>184</v>
      </c>
      <c r="GD138" s="13" t="str">
        <f t="shared" si="384"/>
        <v/>
      </c>
      <c r="GE138" s="1" t="s">
        <v>184</v>
      </c>
      <c r="GF138" s="13" t="str">
        <f t="shared" si="385"/>
        <v/>
      </c>
      <c r="GG138" s="1" t="str">
        <f>IFERROR(VLOOKUP(A138,[3]Москва_продажа_районы!$C$2:$F$149,3,0),"")</f>
        <v/>
      </c>
      <c r="GH138" s="13" t="s">
        <v>184</v>
      </c>
      <c r="GI138" s="1" t="s">
        <v>184</v>
      </c>
      <c r="GJ138" s="13" t="str">
        <f t="shared" si="386"/>
        <v/>
      </c>
      <c r="GK138" s="1" t="s">
        <v>184</v>
      </c>
      <c r="GL138" s="13" t="str">
        <f t="shared" si="387"/>
        <v/>
      </c>
      <c r="GM138" s="1" t="s">
        <v>184</v>
      </c>
      <c r="GN138" s="13" t="str">
        <f t="shared" si="388"/>
        <v/>
      </c>
      <c r="GO138" s="1" t="s">
        <v>184</v>
      </c>
      <c r="GP138" s="13" t="str">
        <f t="shared" si="389"/>
        <v/>
      </c>
      <c r="GQ138" s="1" t="s">
        <v>184</v>
      </c>
      <c r="GR138" s="13" t="str">
        <f t="shared" si="390"/>
        <v/>
      </c>
      <c r="GT138" s="13"/>
      <c r="GV138" s="13"/>
      <c r="GX138" s="13"/>
      <c r="GZ138" s="13"/>
      <c r="HB138" s="13"/>
      <c r="HD138" s="13"/>
      <c r="HE138" t="e">
        <v>#N/A</v>
      </c>
      <c r="HF138" s="13" t="e">
        <v>#N/A</v>
      </c>
      <c r="HG138" t="e">
        <v>#N/A</v>
      </c>
      <c r="HH138" s="13" t="e">
        <v>#N/A</v>
      </c>
      <c r="HI138" t="e">
        <f>VLOOKUP(A138,[4]Москва_продажа_районы!$C$4:$F$151,3,0)</f>
        <v>#N/A</v>
      </c>
      <c r="HJ138" s="13" t="e">
        <f t="shared" si="393"/>
        <v>#N/A</v>
      </c>
      <c r="HK138" t="e">
        <f>VLOOKUP(A138,[4]Москва_продажа_районы!$C$4:$F$151,2,0)</f>
        <v>#N/A</v>
      </c>
      <c r="HL138" s="13" t="e">
        <f t="shared" si="394"/>
        <v>#N/A</v>
      </c>
      <c r="HM138" s="1" t="e">
        <f>VLOOKUP(A138,Лист3!$C$4:$F$149,3,0)</f>
        <v>#N/A</v>
      </c>
      <c r="HN138" s="13" t="e">
        <f t="shared" si="395"/>
        <v>#N/A</v>
      </c>
      <c r="HO138" t="e">
        <f>VLOOKUP(A138,Лист3!$C$4:$F$149,2,0)</f>
        <v>#N/A</v>
      </c>
      <c r="HP138" s="13" t="e">
        <f t="shared" si="396"/>
        <v>#N/A</v>
      </c>
      <c r="HQ138" s="1" t="e">
        <v>#N/A</v>
      </c>
      <c r="HR138" s="13" t="e">
        <v>#N/A</v>
      </c>
      <c r="HS138" t="e">
        <v>#N/A</v>
      </c>
      <c r="HT138" s="13" t="e">
        <v>#N/A</v>
      </c>
      <c r="HU138" s="34" t="e">
        <v>#N/A</v>
      </c>
      <c r="HV138" s="13" t="e">
        <v>#N/A</v>
      </c>
      <c r="HW138" t="e">
        <v>#N/A</v>
      </c>
      <c r="HX138" s="13" t="e">
        <v>#N/A</v>
      </c>
      <c r="HY138" t="e">
        <v>#N/A</v>
      </c>
      <c r="HZ138" s="13" t="e">
        <v>#N/A</v>
      </c>
      <c r="IA138" t="e">
        <v>#N/A</v>
      </c>
      <c r="IB138" s="13" t="e">
        <v>#N/A</v>
      </c>
      <c r="IC138" s="34" t="e">
        <v>#N/A</v>
      </c>
      <c r="ID138" s="13" t="e">
        <v>#N/A</v>
      </c>
      <c r="IE138" t="e">
        <v>#N/A</v>
      </c>
      <c r="IF138" s="13" t="e">
        <v>#N/A</v>
      </c>
    </row>
    <row r="139" spans="1:240" ht="15" thickTop="1" x14ac:dyDescent="0.3">
      <c r="A139" s="24" t="s">
        <v>140</v>
      </c>
      <c r="B139" s="25">
        <v>152451.71110800965</v>
      </c>
      <c r="C139" s="26">
        <v>412</v>
      </c>
      <c r="D139" s="25">
        <v>156925.27087136588</v>
      </c>
      <c r="E139" s="26">
        <v>410</v>
      </c>
      <c r="F139" s="25">
        <v>159421.44500761907</v>
      </c>
      <c r="G139" s="26">
        <v>273</v>
      </c>
      <c r="H139" s="25">
        <v>158055.19322620286</v>
      </c>
      <c r="I139" s="26">
        <v>290</v>
      </c>
      <c r="J139" s="25">
        <v>158088.07747540181</v>
      </c>
      <c r="K139" s="26">
        <v>341</v>
      </c>
      <c r="L139" s="25">
        <v>159642.138057526</v>
      </c>
      <c r="M139" s="26">
        <v>331</v>
      </c>
      <c r="N139" s="25">
        <v>157590.14946854493</v>
      </c>
      <c r="O139" s="27">
        <v>322</v>
      </c>
      <c r="P139" s="38">
        <v>162911.41481640615</v>
      </c>
      <c r="Q139" s="27">
        <v>306</v>
      </c>
      <c r="R139" s="38">
        <v>171095.85475186803</v>
      </c>
      <c r="S139" s="26">
        <v>260</v>
      </c>
      <c r="T139" s="50">
        <v>175922.13887570854</v>
      </c>
      <c r="U139" s="45">
        <v>245</v>
      </c>
      <c r="V139" s="55">
        <v>180919.5785644649</v>
      </c>
      <c r="W139" s="45">
        <v>213</v>
      </c>
      <c r="X139" s="55">
        <v>186703.4360574091</v>
      </c>
      <c r="Y139" s="45">
        <v>191</v>
      </c>
      <c r="Z139" s="34">
        <v>187088.32522863001</v>
      </c>
      <c r="AA139" s="81">
        <v>240</v>
      </c>
      <c r="AB139" s="1">
        <v>193882.2284499589</v>
      </c>
      <c r="AC139" s="1">
        <v>266</v>
      </c>
      <c r="AD139" s="1">
        <v>200162.86173420559</v>
      </c>
      <c r="AE139">
        <v>248</v>
      </c>
      <c r="AF139" s="13">
        <f t="shared" si="341"/>
        <v>7.2089865944716003E-2</v>
      </c>
      <c r="AG139" s="85">
        <f>AE139/$AJ$139</f>
        <v>6.6882416396979505E-2</v>
      </c>
      <c r="AH139" s="35">
        <f>$AK$138*AG139</f>
        <v>13.376483279395901</v>
      </c>
      <c r="AI139" s="86">
        <f>AH139+AE139</f>
        <v>261.37648327939593</v>
      </c>
      <c r="AJ139">
        <f>SUM(AE139:AE154)</f>
        <v>3708</v>
      </c>
      <c r="AK139">
        <v>3908</v>
      </c>
      <c r="AL139" s="1">
        <v>200944.51647938939</v>
      </c>
      <c r="AM139">
        <v>270</v>
      </c>
      <c r="AN139" s="13">
        <f>AM139/SUM($AM$139:$AM$154)</f>
        <v>6.8702290076335881E-2</v>
      </c>
      <c r="AO139">
        <f>SUM(AM139:AM154)</f>
        <v>3930</v>
      </c>
      <c r="AP139">
        <v>176</v>
      </c>
      <c r="AQ139">
        <f>ROUNDDOWN($AP$139*AN139,0)</f>
        <v>12</v>
      </c>
      <c r="AR139" s="89">
        <f>AQ139+AM139</f>
        <v>282</v>
      </c>
      <c r="AS139">
        <v>286</v>
      </c>
      <c r="AT139" s="1">
        <v>202912.54611142681</v>
      </c>
      <c r="AU139" s="13">
        <f>AT139/AL139-1</f>
        <v>9.7938956808472089E-3</v>
      </c>
      <c r="AV139" s="35">
        <v>290</v>
      </c>
      <c r="AW139" s="1">
        <v>204862.87593202211</v>
      </c>
      <c r="AX139" s="35">
        <v>316.88888888888891</v>
      </c>
      <c r="AY139" s="119">
        <v>205944.10161812289</v>
      </c>
      <c r="AZ139" s="120">
        <v>253</v>
      </c>
      <c r="BA139" s="119">
        <v>210571.54341555911</v>
      </c>
      <c r="BB139">
        <v>246</v>
      </c>
      <c r="BC139" s="13">
        <f>BA139/AY139-1</f>
        <v>2.2469406800573299E-2</v>
      </c>
      <c r="BD139">
        <v>301</v>
      </c>
      <c r="BE139" s="1">
        <v>213926.88014155641</v>
      </c>
      <c r="BF139" s="13">
        <f t="shared" ref="BF139:BF154" si="397">BE139/BA139-1</f>
        <v>1.5934426236196675E-2</v>
      </c>
      <c r="BG139">
        <v>306</v>
      </c>
      <c r="BH139" s="1">
        <v>217135.22225647871</v>
      </c>
      <c r="BI139" s="13">
        <f t="shared" si="267"/>
        <v>1.4997377201029227E-2</v>
      </c>
      <c r="BJ139">
        <v>287</v>
      </c>
      <c r="BK139" s="1">
        <v>220997.35257110849</v>
      </c>
      <c r="BL139" s="13">
        <f t="shared" ref="BL139:BL154" si="398">BK139/BH139-1</f>
        <v>1.7786751842904014E-2</v>
      </c>
      <c r="BM139" s="1">
        <v>225582.94635034169</v>
      </c>
      <c r="BN139" s="109">
        <f t="shared" ref="BN139:BN154" si="399">BM139/BK139-1</f>
        <v>2.0749541684024209E-2</v>
      </c>
      <c r="BO139">
        <v>240</v>
      </c>
      <c r="BP139" s="13">
        <f t="shared" ref="BP139:BP154" si="400">BO139/BJ139-1</f>
        <v>-0.16376306620209058</v>
      </c>
      <c r="BQ139" s="1">
        <v>228708.342441983</v>
      </c>
      <c r="BR139" s="13">
        <f t="shared" si="339"/>
        <v>1.3854753394289876E-2</v>
      </c>
      <c r="BS139">
        <v>245</v>
      </c>
      <c r="BT139" s="13">
        <f t="shared" si="340"/>
        <v>2.0833333333333259E-2</v>
      </c>
      <c r="BU139" s="1">
        <v>236714.94225384391</v>
      </c>
      <c r="BV139" s="13">
        <f t="shared" ref="BV139:BV154" si="401">BU139/BQ139-1</f>
        <v>3.5007904505678367E-2</v>
      </c>
      <c r="BW139">
        <v>213</v>
      </c>
      <c r="BX139" s="13">
        <f t="shared" ref="BX139:BX154" si="402">BW139/BS139-1</f>
        <v>-0.1306122448979592</v>
      </c>
      <c r="BY139" s="1">
        <v>242128.11781543301</v>
      </c>
      <c r="BZ139" s="13">
        <f t="shared" ref="BZ139:BZ154" si="403">BY139/BU139-1</f>
        <v>2.2867908168569429E-2</v>
      </c>
      <c r="CA139">
        <v>190</v>
      </c>
      <c r="CB139" s="13">
        <f t="shared" ref="CB139:CB154" si="404">CA139/BW139-1</f>
        <v>-0.107981220657277</v>
      </c>
      <c r="CC139" s="1">
        <v>238488.6816379879</v>
      </c>
      <c r="CD139" s="13">
        <f t="shared" ref="CD139:CD154" si="405">CC139/BY139-1</f>
        <v>-1.5031034851637259E-2</v>
      </c>
      <c r="CE139">
        <v>235</v>
      </c>
      <c r="CF139" s="13">
        <f t="shared" ref="CF139:CF154" si="406">CE139/CA139-1</f>
        <v>0.23684210526315796</v>
      </c>
      <c r="CG139" s="1">
        <v>234601.09073523781</v>
      </c>
      <c r="CH139" s="13">
        <f t="shared" ref="CH139:CH154" si="407">CG139/CC139-1</f>
        <v>-1.630094508489599E-2</v>
      </c>
      <c r="CI139">
        <v>244</v>
      </c>
      <c r="CJ139" s="13">
        <f t="shared" ref="CJ139:CJ154" si="408">CI139/CE139-1</f>
        <v>3.8297872340425476E-2</v>
      </c>
      <c r="CK139" s="1">
        <v>233094.03034330171</v>
      </c>
      <c r="CL139" s="13">
        <f t="shared" ref="CL139:CL154" si="409">CK139/CG139-1</f>
        <v>-6.4239274728561391E-3</v>
      </c>
      <c r="CM139">
        <v>297</v>
      </c>
      <c r="CN139" s="13">
        <f t="shared" ref="CN139:CN154" si="410">CM139/CI139-1</f>
        <v>0.21721311475409832</v>
      </c>
      <c r="CO139" s="1">
        <v>230620.44851175381</v>
      </c>
      <c r="CP139" s="13">
        <v>-1.0611948439455121E-2</v>
      </c>
      <c r="CQ139">
        <v>316</v>
      </c>
      <c r="CR139" s="13">
        <v>6.3973063973064015E-2</v>
      </c>
      <c r="CS139" s="1">
        <v>228154.8687092425</v>
      </c>
      <c r="CT139" s="13">
        <f t="shared" si="342"/>
        <v>-1.0691071925417961E-2</v>
      </c>
      <c r="CU139">
        <v>325</v>
      </c>
      <c r="CV139" s="13">
        <f t="shared" si="343"/>
        <v>2.8481012658227778E-2</v>
      </c>
      <c r="CW139" s="1">
        <v>222339.96530040001</v>
      </c>
      <c r="CX139" s="13">
        <f t="shared" si="344"/>
        <v>-2.5486650544604084E-2</v>
      </c>
      <c r="CY139">
        <v>330</v>
      </c>
      <c r="CZ139" s="13">
        <f t="shared" si="345"/>
        <v>1.538461538461533E-2</v>
      </c>
      <c r="DA139" s="1">
        <v>219646.027394665</v>
      </c>
      <c r="DB139" s="13">
        <f t="shared" si="346"/>
        <v>-1.2116300828307169E-2</v>
      </c>
      <c r="DC139">
        <v>334</v>
      </c>
      <c r="DD139" s="13">
        <f t="shared" si="347"/>
        <v>1.2121212121212199E-2</v>
      </c>
      <c r="DE139" s="1">
        <v>217349.28189236301</v>
      </c>
      <c r="DF139" s="13">
        <f t="shared" si="348"/>
        <v>-1.04565765634137E-2</v>
      </c>
      <c r="DG139" s="1">
        <v>301</v>
      </c>
      <c r="DH139" s="13">
        <f t="shared" si="349"/>
        <v>-9.8802395209580784E-2</v>
      </c>
      <c r="DI139" s="1">
        <v>220301.92948896429</v>
      </c>
      <c r="DJ139" s="13">
        <f t="shared" si="350"/>
        <v>1.3584804931922934E-2</v>
      </c>
      <c r="DK139" s="1">
        <v>300</v>
      </c>
      <c r="DL139" s="13">
        <f t="shared" si="351"/>
        <v>-3.3222591362126463E-3</v>
      </c>
      <c r="DM139" s="1">
        <v>221070.2980826686</v>
      </c>
      <c r="DN139" s="13">
        <f t="shared" si="352"/>
        <v>3.4877978394773912E-3</v>
      </c>
      <c r="DO139" s="1">
        <v>324</v>
      </c>
      <c r="DP139" s="13">
        <f t="shared" si="353"/>
        <v>8.0000000000000071E-2</v>
      </c>
      <c r="DQ139" s="1">
        <v>222513.94862867179</v>
      </c>
      <c r="DR139" s="13">
        <f t="shared" si="354"/>
        <v>6.5302781898965989E-3</v>
      </c>
      <c r="DS139">
        <v>333</v>
      </c>
      <c r="DT139" s="13">
        <f t="shared" si="355"/>
        <v>2.7777777777777679E-2</v>
      </c>
      <c r="DU139" s="1">
        <v>222622.0601021671</v>
      </c>
      <c r="DV139" s="13">
        <f t="shared" si="356"/>
        <v>4.858638038720553E-4</v>
      </c>
      <c r="DW139">
        <v>309</v>
      </c>
      <c r="DX139" s="13">
        <f t="shared" si="357"/>
        <v>-7.2072072072072113E-2</v>
      </c>
      <c r="DY139" s="1">
        <v>225525.4692806986</v>
      </c>
      <c r="DZ139" s="13">
        <f t="shared" si="358"/>
        <v>1.3041875442168838E-2</v>
      </c>
      <c r="EA139" s="1">
        <v>303</v>
      </c>
      <c r="EB139" s="13">
        <f t="shared" si="359"/>
        <v>-1.9417475728155331E-2</v>
      </c>
      <c r="EC139" s="1">
        <v>223892.7537556302</v>
      </c>
      <c r="ED139" s="13">
        <f t="shared" si="360"/>
        <v>-7.2396059313205585E-3</v>
      </c>
      <c r="EE139" s="1">
        <f>IFERROR(VLOOKUP($A139,[1]Москва_продажа_районы!$C$2:$F$148,2,0),"")</f>
        <v>328</v>
      </c>
      <c r="EF139" s="13">
        <v>8.2508250825082508E-2</v>
      </c>
      <c r="EG139" s="1">
        <v>225937.04338689399</v>
      </c>
      <c r="EH139" s="13">
        <f t="shared" si="361"/>
        <v>9.1306645569022571E-3</v>
      </c>
      <c r="EI139" s="1">
        <f>IFERROR(VLOOKUP($A139,[2]Москва_продажа_районы!$C$2:$F$150,2,0),"")</f>
        <v>305</v>
      </c>
      <c r="EJ139" s="13">
        <v>-7.0121951219512146E-2</v>
      </c>
      <c r="EK139" s="1">
        <v>229264.16105982021</v>
      </c>
      <c r="EL139" s="13">
        <f t="shared" si="362"/>
        <v>1.4725861784554262E-2</v>
      </c>
      <c r="EM139">
        <v>293</v>
      </c>
      <c r="EN139" s="13">
        <f t="shared" si="363"/>
        <v>-3.9344262295081922E-2</v>
      </c>
      <c r="EO139" s="1">
        <v>231352.5572146234</v>
      </c>
      <c r="EP139" s="13">
        <f t="shared" si="364"/>
        <v>9.1091261065365803E-3</v>
      </c>
      <c r="EQ139">
        <v>288</v>
      </c>
      <c r="ER139" s="13">
        <f t="shared" si="365"/>
        <v>-1.7064846416382284E-2</v>
      </c>
      <c r="ES139" s="183">
        <v>231003.36300638571</v>
      </c>
      <c r="ET139" s="13">
        <f t="shared" si="366"/>
        <v>-1.509359621703843E-3</v>
      </c>
      <c r="EU139">
        <v>286</v>
      </c>
      <c r="EV139" s="13">
        <f t="shared" si="367"/>
        <v>-6.9444444444444198E-3</v>
      </c>
      <c r="EW139" s="183">
        <v>231758.46233801349</v>
      </c>
      <c r="EX139" s="13">
        <f t="shared" si="368"/>
        <v>3.268780687001982E-3</v>
      </c>
      <c r="EY139">
        <v>299</v>
      </c>
      <c r="EZ139" s="13">
        <f t="shared" si="369"/>
        <v>4.5454545454545414E-2</v>
      </c>
      <c r="FA139" s="1">
        <v>232549.99090064119</v>
      </c>
      <c r="FB139" s="13">
        <f t="shared" si="370"/>
        <v>3.4153167683399488E-3</v>
      </c>
      <c r="FC139" s="1">
        <v>284</v>
      </c>
      <c r="FD139" s="13">
        <f t="shared" si="371"/>
        <v>-5.0167224080267525E-2</v>
      </c>
      <c r="FE139" s="1">
        <v>235788.1980291447</v>
      </c>
      <c r="FF139" s="13">
        <f t="shared" si="372"/>
        <v>1.3924778564653018E-2</v>
      </c>
      <c r="FG139" s="1">
        <v>287</v>
      </c>
      <c r="FH139" s="13">
        <f t="shared" si="373"/>
        <v>1.0563380281690238E-2</v>
      </c>
      <c r="FI139" s="1">
        <v>237052.02934880549</v>
      </c>
      <c r="FJ139" s="13">
        <f t="shared" si="374"/>
        <v>5.3600278988712446E-3</v>
      </c>
      <c r="FK139" s="1">
        <v>305</v>
      </c>
      <c r="FL139" s="13">
        <f t="shared" si="375"/>
        <v>6.2717770034843134E-2</v>
      </c>
      <c r="FM139" s="1">
        <v>236986.73876173719</v>
      </c>
      <c r="FN139" s="13">
        <f t="shared" si="376"/>
        <v>-2.7542724374751693E-4</v>
      </c>
      <c r="FO139" s="1">
        <v>330</v>
      </c>
      <c r="FP139" s="13">
        <f t="shared" si="377"/>
        <v>8.1967213114754189E-2</v>
      </c>
      <c r="FQ139" s="1">
        <v>237095.71464002569</v>
      </c>
      <c r="FR139" s="13">
        <f t="shared" si="378"/>
        <v>4.598395625758922E-4</v>
      </c>
      <c r="FS139">
        <v>311</v>
      </c>
      <c r="FT139" s="13">
        <f t="shared" si="379"/>
        <v>-5.7575757575757613E-2</v>
      </c>
      <c r="FU139" s="1">
        <v>237217.33217608009</v>
      </c>
      <c r="FV139" s="13">
        <f t="shared" si="380"/>
        <v>5.1294700218029732E-4</v>
      </c>
      <c r="FW139" s="1">
        <v>285</v>
      </c>
      <c r="FX139" s="13">
        <f t="shared" si="381"/>
        <v>-8.3601286173633493E-2</v>
      </c>
      <c r="FY139" s="1">
        <v>237871.18268636349</v>
      </c>
      <c r="FZ139" s="13">
        <f t="shared" si="382"/>
        <v>2.7563353161650372E-3</v>
      </c>
      <c r="GA139" s="1">
        <v>266</v>
      </c>
      <c r="GB139" s="13">
        <f t="shared" si="383"/>
        <v>-6.6666666666666652E-2</v>
      </c>
      <c r="GC139" s="1">
        <v>241169.86187533801</v>
      </c>
      <c r="GD139" s="13">
        <f t="shared" si="384"/>
        <v>1.3867502367127305E-2</v>
      </c>
      <c r="GE139" s="1">
        <v>286</v>
      </c>
      <c r="GF139" s="13">
        <f t="shared" si="385"/>
        <v>7.5187969924812137E-2</v>
      </c>
      <c r="GG139" s="1">
        <f>IFERROR(VLOOKUP(A139,[3]Москва_продажа_районы!$C$2:$F$149,3,0),"")</f>
        <v>240658.39593170639</v>
      </c>
      <c r="GH139" s="13">
        <v>-2.1207705625174711E-3</v>
      </c>
      <c r="GI139" s="1">
        <v>293</v>
      </c>
      <c r="GJ139" s="13">
        <f t="shared" si="386"/>
        <v>2.4475524475524368E-2</v>
      </c>
      <c r="GK139" s="1">
        <v>237049.75166073861</v>
      </c>
      <c r="GL139" s="13">
        <f t="shared" si="387"/>
        <v>-1.4994882090013761E-2</v>
      </c>
      <c r="GM139" s="1">
        <v>311</v>
      </c>
      <c r="GN139" s="13">
        <f t="shared" si="388"/>
        <v>6.1433447098976135E-2</v>
      </c>
      <c r="GO139" s="1">
        <v>239919.61851801159</v>
      </c>
      <c r="GP139" s="13">
        <f t="shared" si="389"/>
        <v>1.2106601408215178E-2</v>
      </c>
      <c r="GQ139" s="1">
        <v>324.21000000000004</v>
      </c>
      <c r="GR139" s="13">
        <f t="shared" si="390"/>
        <v>4.2475884244373097E-2</v>
      </c>
      <c r="GS139" s="1">
        <v>239614.69354713731</v>
      </c>
      <c r="GT139" s="13">
        <f t="shared" ref="GT139:GT154" si="411">GS139/GO139-1</f>
        <v>-1.2709463809496002E-3</v>
      </c>
      <c r="GU139">
        <v>319</v>
      </c>
      <c r="GV139" s="13">
        <f t="shared" ref="GV139:GV154" si="412">GU139/GQ139-1</f>
        <v>-1.6069831282193747E-2</v>
      </c>
      <c r="GW139">
        <v>239700.5809766044</v>
      </c>
      <c r="GX139" s="13">
        <f t="shared" si="391"/>
        <v>3.5843974422289371E-4</v>
      </c>
      <c r="GY139">
        <v>274</v>
      </c>
      <c r="GZ139" s="13">
        <f t="shared" si="392"/>
        <v>-0.14106583072100309</v>
      </c>
      <c r="HA139">
        <v>242058.62962909931</v>
      </c>
      <c r="HB139" s="13">
        <v>9.8374757494854581E-3</v>
      </c>
      <c r="HC139">
        <v>233</v>
      </c>
      <c r="HD139" s="13">
        <v>-0.14963503649635035</v>
      </c>
      <c r="HE139">
        <v>245293.21130247589</v>
      </c>
      <c r="HF139" s="13">
        <v>1.3362802550493047E-2</v>
      </c>
      <c r="HG139">
        <v>259</v>
      </c>
      <c r="HH139" s="13">
        <v>0.11158798283261806</v>
      </c>
      <c r="HI139">
        <f>VLOOKUP(A139,[4]Москва_продажа_районы!$C$4:$F$151,3,0)</f>
        <v>245037.1970089259</v>
      </c>
      <c r="HJ139" s="13">
        <f t="shared" si="393"/>
        <v>-1.0437072114249935E-3</v>
      </c>
      <c r="HK139">
        <f>VLOOKUP(A139,[4]Москва_продажа_районы!$C$4:$F$151,2,0)</f>
        <v>249</v>
      </c>
      <c r="HL139" s="13">
        <f t="shared" si="394"/>
        <v>-3.8610038610038644E-2</v>
      </c>
      <c r="HM139" s="1">
        <f>VLOOKUP(A139,Лист3!$C$4:$F$149,3,0)</f>
        <v>243946.55291590129</v>
      </c>
      <c r="HN139" s="13">
        <f t="shared" si="395"/>
        <v>-4.4509327821966593E-3</v>
      </c>
      <c r="HO139">
        <f>VLOOKUP(A139,Лист3!$C$4:$F$149,2,0)</f>
        <v>258</v>
      </c>
      <c r="HP139" s="13">
        <f t="shared" si="396"/>
        <v>3.6144578313253017E-2</v>
      </c>
      <c r="HQ139" s="1">
        <v>242104.83769750519</v>
      </c>
      <c r="HR139" s="13">
        <v>-7.5496669101572378E-3</v>
      </c>
      <c r="HS139">
        <v>273</v>
      </c>
      <c r="HT139" s="13">
        <v>5.8139534883721034E-2</v>
      </c>
      <c r="HU139" s="34">
        <v>245793.02492837459</v>
      </c>
      <c r="HV139" s="13">
        <v>1.5233843594143925E-2</v>
      </c>
      <c r="HW139">
        <v>262</v>
      </c>
      <c r="HX139" s="13">
        <v>-4.0293040293040261E-2</v>
      </c>
      <c r="HY139">
        <v>250218.47879228319</v>
      </c>
      <c r="HZ139" s="13">
        <v>1.8004798407921463E-2</v>
      </c>
      <c r="IA139">
        <v>261</v>
      </c>
      <c r="IB139" s="13">
        <v>-3.8167938931297218E-3</v>
      </c>
      <c r="IC139" s="34">
        <v>250583.85395615539</v>
      </c>
      <c r="ID139" s="13">
        <v>1.4602245431103444E-3</v>
      </c>
      <c r="IE139">
        <v>278</v>
      </c>
      <c r="IF139" s="13">
        <v>6.5134099616858343E-2</v>
      </c>
    </row>
    <row r="140" spans="1:240" x14ac:dyDescent="0.3">
      <c r="A140" s="23" t="s">
        <v>141</v>
      </c>
      <c r="B140" s="22">
        <v>149714.62057013577</v>
      </c>
      <c r="C140">
        <v>221</v>
      </c>
      <c r="D140" s="22">
        <v>147879.59097305933</v>
      </c>
      <c r="E140">
        <v>219</v>
      </c>
      <c r="F140" s="22">
        <v>149819.53375192307</v>
      </c>
      <c r="G140">
        <v>156</v>
      </c>
      <c r="H140" s="22">
        <v>151751.19150182526</v>
      </c>
      <c r="I140">
        <v>182</v>
      </c>
      <c r="J140" s="22">
        <v>151240.83554645322</v>
      </c>
      <c r="K140">
        <v>209</v>
      </c>
      <c r="L140" s="22">
        <v>150529.22188767188</v>
      </c>
      <c r="M140">
        <v>175</v>
      </c>
      <c r="N140" s="22">
        <v>154161.17358609792</v>
      </c>
      <c r="O140" s="28">
        <v>179</v>
      </c>
      <c r="P140" s="39">
        <v>154972.45402561466</v>
      </c>
      <c r="Q140" s="28">
        <v>177</v>
      </c>
      <c r="R140" s="39">
        <v>162179.4968496128</v>
      </c>
      <c r="S140">
        <v>180</v>
      </c>
      <c r="T140" s="46">
        <v>167680.0933637789</v>
      </c>
      <c r="U140" s="47">
        <v>170</v>
      </c>
      <c r="V140" s="56">
        <v>169028.37313310479</v>
      </c>
      <c r="W140" s="47">
        <v>119</v>
      </c>
      <c r="X140" s="56">
        <v>174859.6430898621</v>
      </c>
      <c r="Y140" s="47">
        <v>104</v>
      </c>
      <c r="Z140" s="34">
        <v>169988.31621650001</v>
      </c>
      <c r="AA140" s="81">
        <v>114</v>
      </c>
      <c r="AB140" s="1">
        <v>179237.461477062</v>
      </c>
      <c r="AC140" s="1">
        <v>133</v>
      </c>
      <c r="AD140" s="1">
        <v>197921.39663694319</v>
      </c>
      <c r="AE140">
        <v>137</v>
      </c>
      <c r="AF140" s="13">
        <f t="shared" si="341"/>
        <v>0.13188722760476757</v>
      </c>
      <c r="AG140" s="85">
        <f t="shared" ref="AG140:AG154" si="413">AE140/$AJ$139</f>
        <v>3.6947141316073358E-2</v>
      </c>
      <c r="AH140" s="35">
        <f t="shared" ref="AH140:AH154" si="414">$AK$138*AG140</f>
        <v>7.3894282632146719</v>
      </c>
      <c r="AI140" s="87">
        <f t="shared" ref="AI140:AI154" si="415">AH140+AE140</f>
        <v>144.38942826321468</v>
      </c>
      <c r="AL140" s="1">
        <v>197943.17071511081</v>
      </c>
      <c r="AM140">
        <v>145</v>
      </c>
      <c r="AN140" s="13">
        <f t="shared" ref="AN140:AN154" si="416">AM140/SUM($AM$139:$AM$154)</f>
        <v>3.689567430025445E-2</v>
      </c>
      <c r="AQ140">
        <f t="shared" ref="AQ140:AQ154" si="417">ROUNDDOWN($AP$139*AN140,0)</f>
        <v>6</v>
      </c>
      <c r="AR140" s="90">
        <f t="shared" ref="AR140:AR154" si="418">AQ140+AM140</f>
        <v>151</v>
      </c>
      <c r="AS140">
        <v>145</v>
      </c>
      <c r="AT140" s="1">
        <v>202468.798761635</v>
      </c>
      <c r="AU140" s="13">
        <f t="shared" ref="AU140:AU154" si="419">AT140/AL140-1</f>
        <v>2.2863269443317513E-2</v>
      </c>
      <c r="AV140" s="35">
        <v>150</v>
      </c>
      <c r="AW140" s="1">
        <v>205089.56610459759</v>
      </c>
      <c r="AX140" s="35">
        <v>163.90804597701148</v>
      </c>
      <c r="AY140" s="121">
        <v>208236.16711666121</v>
      </c>
      <c r="AZ140" s="122">
        <v>203</v>
      </c>
      <c r="BA140" s="119">
        <v>206261.30928192841</v>
      </c>
      <c r="BB140">
        <v>185</v>
      </c>
      <c r="BC140" s="13">
        <f t="shared" ref="BC140:BC154" si="420">BA140/AY140-1</f>
        <v>-9.4837408029433412E-3</v>
      </c>
      <c r="BD140">
        <v>216</v>
      </c>
      <c r="BE140" s="1">
        <v>210390.18229663241</v>
      </c>
      <c r="BF140" s="13">
        <f t="shared" si="397"/>
        <v>2.0017680625989076E-2</v>
      </c>
      <c r="BG140">
        <v>181</v>
      </c>
      <c r="BH140" s="1">
        <v>214287.45096797851</v>
      </c>
      <c r="BI140" s="13">
        <f t="shared" si="267"/>
        <v>1.8524004441667685E-2</v>
      </c>
      <c r="BJ140">
        <v>161</v>
      </c>
      <c r="BK140" s="1">
        <v>224108.35168968601</v>
      </c>
      <c r="BL140" s="13">
        <f t="shared" si="398"/>
        <v>4.5830498600569314E-2</v>
      </c>
      <c r="BM140" s="1">
        <v>226528.50436813361</v>
      </c>
      <c r="BN140" s="109">
        <f t="shared" si="399"/>
        <v>1.0799029398951943E-2</v>
      </c>
      <c r="BO140">
        <v>142</v>
      </c>
      <c r="BP140" s="13">
        <f t="shared" si="400"/>
        <v>-0.11801242236024845</v>
      </c>
      <c r="BQ140" s="1">
        <v>231201.03127172761</v>
      </c>
      <c r="BR140" s="13">
        <f t="shared" si="339"/>
        <v>2.0626662046912436E-2</v>
      </c>
      <c r="BS140">
        <v>153</v>
      </c>
      <c r="BT140" s="13">
        <f t="shared" si="340"/>
        <v>7.7464788732394263E-2</v>
      </c>
      <c r="BU140" s="1">
        <v>235138.41115613969</v>
      </c>
      <c r="BV140" s="13">
        <f t="shared" si="401"/>
        <v>1.7030113848343964E-2</v>
      </c>
      <c r="BW140">
        <v>155</v>
      </c>
      <c r="BX140" s="13">
        <f t="shared" si="402"/>
        <v>1.3071895424836555E-2</v>
      </c>
      <c r="BY140" s="1">
        <v>235214.675059645</v>
      </c>
      <c r="BZ140" s="13">
        <f t="shared" si="403"/>
        <v>3.2433622023009256E-4</v>
      </c>
      <c r="CA140">
        <v>137</v>
      </c>
      <c r="CB140" s="13">
        <f t="shared" si="404"/>
        <v>-0.11612903225806448</v>
      </c>
      <c r="CC140" s="1">
        <v>229328.56725499401</v>
      </c>
      <c r="CD140" s="13">
        <f t="shared" si="405"/>
        <v>-2.5024407185301745E-2</v>
      </c>
      <c r="CE140">
        <v>153</v>
      </c>
      <c r="CF140" s="13">
        <f t="shared" si="406"/>
        <v>0.11678832116788329</v>
      </c>
      <c r="CG140" s="1">
        <v>225164.760633367</v>
      </c>
      <c r="CH140" s="13">
        <f t="shared" si="407"/>
        <v>-1.8156510858925001E-2</v>
      </c>
      <c r="CI140">
        <v>190</v>
      </c>
      <c r="CJ140" s="13">
        <f t="shared" si="408"/>
        <v>0.24183006535947715</v>
      </c>
      <c r="CK140" s="1">
        <v>221480.41511599059</v>
      </c>
      <c r="CL140" s="13">
        <f t="shared" si="409"/>
        <v>-1.6362886923391939E-2</v>
      </c>
      <c r="CM140">
        <v>210</v>
      </c>
      <c r="CN140" s="13">
        <f t="shared" si="410"/>
        <v>0.10526315789473695</v>
      </c>
      <c r="CO140" s="1">
        <v>228413.0945460496</v>
      </c>
      <c r="CP140" s="13">
        <v>3.1301546127355362E-2</v>
      </c>
      <c r="CQ140">
        <v>245</v>
      </c>
      <c r="CR140" s="13">
        <v>0.16666666666666674</v>
      </c>
      <c r="CS140" s="1">
        <v>228348.55268006609</v>
      </c>
      <c r="CT140" s="13">
        <f t="shared" si="342"/>
        <v>-2.8256640063384353E-4</v>
      </c>
      <c r="CU140">
        <v>272</v>
      </c>
      <c r="CV140" s="13">
        <f t="shared" si="343"/>
        <v>0.11020408163265305</v>
      </c>
      <c r="CW140" s="1">
        <v>221669.7503710665</v>
      </c>
      <c r="CX140" s="13">
        <f t="shared" si="344"/>
        <v>-2.9248279573539038E-2</v>
      </c>
      <c r="CY140">
        <v>248</v>
      </c>
      <c r="CZ140" s="13">
        <f t="shared" si="345"/>
        <v>-8.8235294117647078E-2</v>
      </c>
      <c r="DA140" s="1">
        <v>219116.24419105309</v>
      </c>
      <c r="DB140" s="13">
        <f t="shared" si="346"/>
        <v>-1.1519416500171742E-2</v>
      </c>
      <c r="DC140">
        <v>256</v>
      </c>
      <c r="DD140" s="13">
        <f t="shared" si="347"/>
        <v>3.2258064516129004E-2</v>
      </c>
      <c r="DE140" s="1">
        <v>214202.37504375109</v>
      </c>
      <c r="DF140" s="13">
        <f t="shared" si="348"/>
        <v>-2.242585512289752E-2</v>
      </c>
      <c r="DG140" s="1">
        <v>227</v>
      </c>
      <c r="DH140" s="13">
        <f t="shared" si="349"/>
        <v>-0.11328125</v>
      </c>
      <c r="DI140" s="1">
        <v>214820.84538711829</v>
      </c>
      <c r="DJ140" s="13">
        <f t="shared" si="350"/>
        <v>2.887317861162142E-3</v>
      </c>
      <c r="DK140" s="1">
        <v>213</v>
      </c>
      <c r="DL140" s="13">
        <f t="shared" si="351"/>
        <v>-6.1674008810572722E-2</v>
      </c>
      <c r="DM140" s="1">
        <v>215394.85989968551</v>
      </c>
      <c r="DN140" s="13">
        <f t="shared" si="352"/>
        <v>2.6720615102915346E-3</v>
      </c>
      <c r="DO140" s="1">
        <v>208</v>
      </c>
      <c r="DP140" s="13">
        <f t="shared" si="353"/>
        <v>-2.3474178403755874E-2</v>
      </c>
      <c r="DQ140" s="1">
        <v>213924.0565966868</v>
      </c>
      <c r="DR140" s="13">
        <f t="shared" si="354"/>
        <v>-6.8284048360471861E-3</v>
      </c>
      <c r="DS140">
        <v>241</v>
      </c>
      <c r="DT140" s="13">
        <f t="shared" si="355"/>
        <v>0.15865384615384626</v>
      </c>
      <c r="DU140" s="1">
        <v>213466.3646196753</v>
      </c>
      <c r="DV140" s="13">
        <f t="shared" si="356"/>
        <v>-2.1395068151423002E-3</v>
      </c>
      <c r="DW140">
        <v>247</v>
      </c>
      <c r="DX140" s="13">
        <f t="shared" si="357"/>
        <v>2.4896265560165887E-2</v>
      </c>
      <c r="DY140" s="1">
        <v>213997.41712642161</v>
      </c>
      <c r="DZ140" s="13">
        <f t="shared" si="358"/>
        <v>2.4877572993406982E-3</v>
      </c>
      <c r="EA140" s="1">
        <v>236</v>
      </c>
      <c r="EB140" s="13">
        <f t="shared" si="359"/>
        <v>-4.4534412955465563E-2</v>
      </c>
      <c r="EC140" s="1">
        <v>213860.51884503529</v>
      </c>
      <c r="ED140" s="13">
        <f t="shared" si="360"/>
        <v>-6.3971931635720125E-4</v>
      </c>
      <c r="EE140" s="1">
        <f>IFERROR(VLOOKUP($A140,[1]Москва_продажа_районы!$C$2:$F$148,2,0),"")</f>
        <v>207</v>
      </c>
      <c r="EF140" s="13">
        <v>-0.1228813559322034</v>
      </c>
      <c r="EG140" s="1">
        <v>226544.00335798829</v>
      </c>
      <c r="EH140" s="13">
        <f t="shared" si="361"/>
        <v>5.9307274579949665E-2</v>
      </c>
      <c r="EI140" s="1">
        <f>IFERROR(VLOOKUP($A140,[2]Москва_продажа_районы!$C$2:$F$150,2,0),"")</f>
        <v>209</v>
      </c>
      <c r="EJ140" s="13">
        <v>9.6618357487923134E-3</v>
      </c>
      <c r="EK140" s="1">
        <v>232336.7406269467</v>
      </c>
      <c r="EL140" s="13">
        <f t="shared" si="362"/>
        <v>2.5570031354150036E-2</v>
      </c>
      <c r="EM140">
        <v>218</v>
      </c>
      <c r="EN140" s="13">
        <f t="shared" si="363"/>
        <v>4.3062200956937691E-2</v>
      </c>
      <c r="EO140" s="1">
        <v>225268.79935333959</v>
      </c>
      <c r="EP140" s="13">
        <f t="shared" si="364"/>
        <v>-3.0421108837692667E-2</v>
      </c>
      <c r="EQ140">
        <v>191</v>
      </c>
      <c r="ER140" s="13">
        <f t="shared" si="365"/>
        <v>-0.12385321100917435</v>
      </c>
      <c r="ES140" s="183">
        <v>229824.41909188579</v>
      </c>
      <c r="ET140" s="13">
        <f t="shared" si="366"/>
        <v>2.0223039105387253E-2</v>
      </c>
      <c r="EU140">
        <v>164</v>
      </c>
      <c r="EV140" s="13">
        <f t="shared" si="367"/>
        <v>-0.1413612565445026</v>
      </c>
      <c r="EW140" s="183">
        <v>230528.67386207689</v>
      </c>
      <c r="EX140" s="13">
        <f t="shared" si="368"/>
        <v>3.0643165464045996E-3</v>
      </c>
      <c r="EY140">
        <v>176</v>
      </c>
      <c r="EZ140" s="13">
        <f t="shared" si="369"/>
        <v>7.3170731707317138E-2</v>
      </c>
      <c r="FA140" s="1">
        <v>228939.53466650369</v>
      </c>
      <c r="FB140" s="13">
        <f t="shared" si="370"/>
        <v>-6.8934556771187427E-3</v>
      </c>
      <c r="FC140" s="1">
        <v>167</v>
      </c>
      <c r="FD140" s="13">
        <f t="shared" si="371"/>
        <v>-5.1136363636363646E-2</v>
      </c>
      <c r="FE140" s="1">
        <v>229216.15612509829</v>
      </c>
      <c r="FF140" s="13">
        <f t="shared" si="372"/>
        <v>1.2082730009805864E-3</v>
      </c>
      <c r="FG140" s="1">
        <v>153</v>
      </c>
      <c r="FH140" s="13">
        <f t="shared" si="373"/>
        <v>-8.3832335329341312E-2</v>
      </c>
      <c r="FI140" s="1">
        <v>229540.8426436978</v>
      </c>
      <c r="FJ140" s="13">
        <f t="shared" si="374"/>
        <v>1.4165079987742413E-3</v>
      </c>
      <c r="FK140" s="1">
        <v>151</v>
      </c>
      <c r="FL140" s="13">
        <f t="shared" si="375"/>
        <v>-1.3071895424836555E-2</v>
      </c>
      <c r="FM140" s="1">
        <v>233014.58579256639</v>
      </c>
      <c r="FN140" s="13">
        <f t="shared" si="376"/>
        <v>1.5133442523170837E-2</v>
      </c>
      <c r="FO140" s="1">
        <v>192</v>
      </c>
      <c r="FP140" s="13">
        <f t="shared" si="377"/>
        <v>0.27152317880794707</v>
      </c>
      <c r="FQ140" s="1">
        <v>230948.78918266439</v>
      </c>
      <c r="FR140" s="13">
        <f t="shared" si="378"/>
        <v>-8.8655248892488547E-3</v>
      </c>
      <c r="FS140">
        <v>208</v>
      </c>
      <c r="FT140" s="13">
        <f t="shared" si="379"/>
        <v>8.3333333333333259E-2</v>
      </c>
      <c r="FU140" s="1">
        <v>230576.9768088983</v>
      </c>
      <c r="FV140" s="13">
        <f t="shared" si="380"/>
        <v>-1.6099342849207332E-3</v>
      </c>
      <c r="FW140" s="1">
        <v>215</v>
      </c>
      <c r="FX140" s="13">
        <f t="shared" si="381"/>
        <v>3.3653846153846256E-2</v>
      </c>
      <c r="FY140" s="1">
        <v>230007.2712115717</v>
      </c>
      <c r="FZ140" s="13">
        <f t="shared" si="382"/>
        <v>-2.4707826653428411E-3</v>
      </c>
      <c r="GA140" s="1">
        <v>215</v>
      </c>
      <c r="GB140" s="13">
        <f t="shared" si="383"/>
        <v>0</v>
      </c>
      <c r="GC140" s="1">
        <v>227912.47842756711</v>
      </c>
      <c r="GD140" s="13">
        <f t="shared" si="384"/>
        <v>-9.1075067886775551E-3</v>
      </c>
      <c r="GE140" s="1">
        <v>218</v>
      </c>
      <c r="GF140" s="13">
        <f t="shared" si="385"/>
        <v>1.3953488372093092E-2</v>
      </c>
      <c r="GG140" s="1">
        <f>IFERROR(VLOOKUP(A140,[3]Москва_продажа_районы!$C$2:$F$149,3,0),"")</f>
        <v>226348.4853878259</v>
      </c>
      <c r="GH140" s="13">
        <v>-6.8622527846287085E-3</v>
      </c>
      <c r="GI140" s="1">
        <v>218</v>
      </c>
      <c r="GJ140" s="13">
        <f t="shared" si="386"/>
        <v>0</v>
      </c>
      <c r="GK140" s="1">
        <v>227604.9816412217</v>
      </c>
      <c r="GL140" s="13">
        <f t="shared" si="387"/>
        <v>5.5511582118294989E-3</v>
      </c>
      <c r="GM140" s="1">
        <v>235</v>
      </c>
      <c r="GN140" s="13">
        <f t="shared" si="388"/>
        <v>7.7981651376146877E-2</v>
      </c>
      <c r="GO140" s="1">
        <v>227291.58961531959</v>
      </c>
      <c r="GP140" s="13">
        <f t="shared" si="389"/>
        <v>-1.3769119798797691E-3</v>
      </c>
      <c r="GQ140" s="1">
        <v>226.84</v>
      </c>
      <c r="GR140" s="13">
        <f t="shared" si="390"/>
        <v>-3.4723404255319168E-2</v>
      </c>
      <c r="GS140" s="1">
        <v>230102.24756346329</v>
      </c>
      <c r="GT140" s="13">
        <f t="shared" si="411"/>
        <v>1.2365868675126013E-2</v>
      </c>
      <c r="GU140">
        <v>218</v>
      </c>
      <c r="GV140" s="13">
        <f t="shared" si="412"/>
        <v>-3.8970199259389937E-2</v>
      </c>
      <c r="GW140">
        <v>226151.55187976081</v>
      </c>
      <c r="GX140" s="13">
        <f t="shared" si="391"/>
        <v>-1.7169305061276563E-2</v>
      </c>
      <c r="GY140">
        <v>205</v>
      </c>
      <c r="GZ140" s="13">
        <f t="shared" si="392"/>
        <v>-5.9633027522935755E-2</v>
      </c>
      <c r="HA140">
        <v>226531.15328400431</v>
      </c>
      <c r="HB140" s="13">
        <v>1.6785266388326114E-3</v>
      </c>
      <c r="HC140">
        <v>194</v>
      </c>
      <c r="HD140" s="13">
        <v>-5.3658536585365901E-2</v>
      </c>
      <c r="HE140">
        <v>230853.6495613814</v>
      </c>
      <c r="HF140" s="13">
        <v>1.9081244300018785E-2</v>
      </c>
      <c r="HG140">
        <v>169</v>
      </c>
      <c r="HH140" s="13">
        <v>-0.12886597938144329</v>
      </c>
      <c r="HI140">
        <f>VLOOKUP(A140,[4]Москва_продажа_районы!$C$4:$F$151,3,0)</f>
        <v>229002.89556224929</v>
      </c>
      <c r="HJ140" s="13">
        <f t="shared" si="393"/>
        <v>-8.017001258799783E-3</v>
      </c>
      <c r="HK140">
        <f>VLOOKUP(A140,[4]Москва_продажа_районы!$C$4:$F$151,2,0)</f>
        <v>157</v>
      </c>
      <c r="HL140" s="13">
        <f t="shared" si="394"/>
        <v>-7.1005917159763343E-2</v>
      </c>
      <c r="HM140" s="1">
        <f>VLOOKUP(A140,Лист3!$C$4:$F$149,3,0)</f>
        <v>232173.61214364349</v>
      </c>
      <c r="HN140" s="13">
        <f t="shared" si="395"/>
        <v>1.3845748865355834E-2</v>
      </c>
      <c r="HO140">
        <f>VLOOKUP(A140,Лист3!$C$4:$F$149,2,0)</f>
        <v>151</v>
      </c>
      <c r="HP140" s="13">
        <f t="shared" si="396"/>
        <v>-3.8216560509554132E-2</v>
      </c>
      <c r="HQ140" s="1">
        <v>233326.4967293776</v>
      </c>
      <c r="HR140" s="13">
        <v>4.9656142017586724E-3</v>
      </c>
      <c r="HS140">
        <v>143</v>
      </c>
      <c r="HT140" s="13">
        <v>-5.2980132450331174E-2</v>
      </c>
      <c r="HU140" s="34">
        <v>234916.38818075071</v>
      </c>
      <c r="HV140" s="13">
        <v>6.8140201548438917E-3</v>
      </c>
      <c r="HW140">
        <v>132</v>
      </c>
      <c r="HX140" s="13">
        <v>-7.6923076923076872E-2</v>
      </c>
      <c r="HY140">
        <v>231694.32160110839</v>
      </c>
      <c r="HZ140" s="13">
        <v>-1.3715801628804147E-2</v>
      </c>
      <c r="IA140">
        <v>164</v>
      </c>
      <c r="IB140" s="13">
        <v>0.24242424242424243</v>
      </c>
      <c r="IC140" s="34">
        <v>233430.61534009501</v>
      </c>
      <c r="ID140" s="13">
        <v>7.4938985426491467E-3</v>
      </c>
      <c r="IE140">
        <v>159</v>
      </c>
      <c r="IF140" s="13">
        <v>-3.0487804878048808E-2</v>
      </c>
    </row>
    <row r="141" spans="1:240" x14ac:dyDescent="0.3">
      <c r="A141" s="23" t="s">
        <v>142</v>
      </c>
      <c r="B141" s="22">
        <v>171547.25367027026</v>
      </c>
      <c r="C141">
        <v>333</v>
      </c>
      <c r="D141" s="22">
        <v>172282.85591304343</v>
      </c>
      <c r="E141">
        <v>322</v>
      </c>
      <c r="F141" s="22">
        <v>172648.81398578436</v>
      </c>
      <c r="G141">
        <v>204</v>
      </c>
      <c r="H141" s="22">
        <v>173153.55453007552</v>
      </c>
      <c r="I141">
        <v>213</v>
      </c>
      <c r="J141" s="22">
        <v>172202.41750114475</v>
      </c>
      <c r="K141">
        <v>269</v>
      </c>
      <c r="L141" s="22">
        <v>174690.80676734299</v>
      </c>
      <c r="M141">
        <v>264</v>
      </c>
      <c r="N141" s="22">
        <v>177666.08897013488</v>
      </c>
      <c r="O141" s="28">
        <v>246</v>
      </c>
      <c r="P141" s="39">
        <v>179048.89014520906</v>
      </c>
      <c r="Q141" s="28">
        <v>241</v>
      </c>
      <c r="R141" s="39">
        <v>184088.75490824704</v>
      </c>
      <c r="S141">
        <v>225</v>
      </c>
      <c r="T141" s="46">
        <v>192202.7265901971</v>
      </c>
      <c r="U141" s="47">
        <v>175</v>
      </c>
      <c r="V141" s="56">
        <v>199361.01741822739</v>
      </c>
      <c r="W141" s="47">
        <v>156</v>
      </c>
      <c r="X141" s="56">
        <v>203045.17936932191</v>
      </c>
      <c r="Y141" s="47">
        <v>155</v>
      </c>
      <c r="Z141" s="34">
        <v>196750.15572217878</v>
      </c>
      <c r="AA141" s="81">
        <v>163</v>
      </c>
      <c r="AB141" s="1">
        <v>208943.75875996429</v>
      </c>
      <c r="AC141" s="1">
        <v>184</v>
      </c>
      <c r="AD141" s="1">
        <v>216422.7278886165</v>
      </c>
      <c r="AE141">
        <v>154</v>
      </c>
      <c r="AF141" s="13">
        <f t="shared" si="341"/>
        <v>6.5884590615973071E-2</v>
      </c>
      <c r="AG141" s="85">
        <f t="shared" si="413"/>
        <v>4.1531823085221145E-2</v>
      </c>
      <c r="AH141" s="35">
        <f t="shared" si="414"/>
        <v>8.3063646170442293</v>
      </c>
      <c r="AI141" s="87">
        <f t="shared" si="415"/>
        <v>162.30636461704424</v>
      </c>
      <c r="AL141" s="1">
        <v>224049.75573267741</v>
      </c>
      <c r="AM141">
        <v>170</v>
      </c>
      <c r="AN141" s="13">
        <f t="shared" si="416"/>
        <v>4.3256997455470736E-2</v>
      </c>
      <c r="AQ141">
        <f t="shared" si="417"/>
        <v>7</v>
      </c>
      <c r="AR141" s="90">
        <f t="shared" si="418"/>
        <v>177</v>
      </c>
      <c r="AS141">
        <v>184</v>
      </c>
      <c r="AT141" s="1">
        <v>224814.5360159686</v>
      </c>
      <c r="AU141" s="13">
        <f t="shared" si="419"/>
        <v>3.4134394870917184E-3</v>
      </c>
      <c r="AV141" s="35">
        <v>184</v>
      </c>
      <c r="AW141" s="1">
        <v>226913.16527907859</v>
      </c>
      <c r="AX141" s="35">
        <v>201.06053639846743</v>
      </c>
      <c r="AY141" s="121">
        <v>231388.08801327669</v>
      </c>
      <c r="AZ141" s="122">
        <v>191</v>
      </c>
      <c r="BA141" s="119">
        <v>233398.78534490461</v>
      </c>
      <c r="BB141">
        <v>196</v>
      </c>
      <c r="BC141" s="13">
        <f t="shared" si="420"/>
        <v>8.6897184245393611E-3</v>
      </c>
      <c r="BD141">
        <v>189</v>
      </c>
      <c r="BE141" s="1">
        <v>236438.26155641259</v>
      </c>
      <c r="BF141" s="13">
        <f t="shared" si="397"/>
        <v>1.3022673648521277E-2</v>
      </c>
      <c r="BG141">
        <v>180</v>
      </c>
      <c r="BH141" s="1">
        <v>245740.10618394791</v>
      </c>
      <c r="BI141" s="13">
        <f t="shared" si="267"/>
        <v>3.934153705201382E-2</v>
      </c>
      <c r="BJ141">
        <v>192</v>
      </c>
      <c r="BK141" s="1">
        <v>253054.2989328666</v>
      </c>
      <c r="BL141" s="13">
        <f t="shared" si="398"/>
        <v>2.9763935820242837E-2</v>
      </c>
      <c r="BM141" s="1">
        <v>254148.5947070843</v>
      </c>
      <c r="BN141" s="109">
        <f t="shared" si="399"/>
        <v>4.3243516463951082E-3</v>
      </c>
      <c r="BO141">
        <v>178</v>
      </c>
      <c r="BP141" s="13">
        <f t="shared" si="400"/>
        <v>-7.291666666666663E-2</v>
      </c>
      <c r="BQ141" s="1">
        <v>257522.48508180529</v>
      </c>
      <c r="BR141" s="13">
        <f t="shared" si="339"/>
        <v>1.3275266694311449E-2</v>
      </c>
      <c r="BS141">
        <v>208</v>
      </c>
      <c r="BT141" s="13">
        <f t="shared" si="340"/>
        <v>0.1685393258426966</v>
      </c>
      <c r="BU141" s="1">
        <v>265400.63744679227</v>
      </c>
      <c r="BV141" s="13">
        <f t="shared" si="401"/>
        <v>3.0592095142621734E-2</v>
      </c>
      <c r="BW141">
        <v>187</v>
      </c>
      <c r="BX141" s="13">
        <f t="shared" si="402"/>
        <v>-0.10096153846153844</v>
      </c>
      <c r="BY141" s="1">
        <v>273236.64503345708</v>
      </c>
      <c r="BZ141" s="13">
        <f t="shared" si="403"/>
        <v>2.9525202584472998E-2</v>
      </c>
      <c r="CA141">
        <v>175</v>
      </c>
      <c r="CB141" s="13">
        <f t="shared" si="404"/>
        <v>-6.4171122994652441E-2</v>
      </c>
      <c r="CC141" s="1">
        <v>270128.29664555838</v>
      </c>
      <c r="CD141" s="13">
        <f t="shared" si="405"/>
        <v>-1.1376030427829642E-2</v>
      </c>
      <c r="CE141">
        <v>185</v>
      </c>
      <c r="CF141" s="13">
        <f t="shared" si="406"/>
        <v>5.7142857142857162E-2</v>
      </c>
      <c r="CG141" s="1">
        <v>266710.94759173621</v>
      </c>
      <c r="CH141" s="13">
        <f t="shared" si="407"/>
        <v>-1.2650837014332339E-2</v>
      </c>
      <c r="CI141">
        <v>208</v>
      </c>
      <c r="CJ141" s="13">
        <f t="shared" si="408"/>
        <v>0.12432432432432439</v>
      </c>
      <c r="CK141" s="1">
        <v>259839.69682615931</v>
      </c>
      <c r="CL141" s="13">
        <f t="shared" si="409"/>
        <v>-2.5762912349945877E-2</v>
      </c>
      <c r="CM141">
        <v>229</v>
      </c>
      <c r="CN141" s="13">
        <f t="shared" si="410"/>
        <v>0.10096153846153855</v>
      </c>
      <c r="CO141" s="1">
        <v>258932.7107156163</v>
      </c>
      <c r="CP141" s="13">
        <v>-3.4905602247135015E-3</v>
      </c>
      <c r="CQ141">
        <v>223</v>
      </c>
      <c r="CR141" s="13">
        <v>-2.6200873362445365E-2</v>
      </c>
      <c r="CS141" s="1">
        <v>256038.6976645207</v>
      </c>
      <c r="CT141" s="13">
        <f t="shared" si="342"/>
        <v>-1.1176699317352989E-2</v>
      </c>
      <c r="CU141">
        <v>231</v>
      </c>
      <c r="CV141" s="13">
        <f t="shared" si="343"/>
        <v>3.5874439461883512E-2</v>
      </c>
      <c r="CW141" s="1">
        <v>250413.86085622691</v>
      </c>
      <c r="CX141" s="13">
        <f t="shared" si="344"/>
        <v>-2.1968697933559378E-2</v>
      </c>
      <c r="CY141">
        <v>243</v>
      </c>
      <c r="CZ141" s="13">
        <f t="shared" si="345"/>
        <v>5.1948051948051965E-2</v>
      </c>
      <c r="DA141" s="1">
        <v>247260.59349957379</v>
      </c>
      <c r="DB141" s="13">
        <f t="shared" si="346"/>
        <v>-1.2592223712662332E-2</v>
      </c>
      <c r="DC141">
        <v>240</v>
      </c>
      <c r="DD141" s="13">
        <f t="shared" si="347"/>
        <v>-1.2345679012345734E-2</v>
      </c>
      <c r="DE141" s="1">
        <v>245959.06989818209</v>
      </c>
      <c r="DF141" s="13">
        <f t="shared" si="348"/>
        <v>-5.2637728599237432E-3</v>
      </c>
      <c r="DG141" s="1">
        <v>200</v>
      </c>
      <c r="DH141" s="13">
        <f t="shared" si="349"/>
        <v>-0.16666666666666663</v>
      </c>
      <c r="DI141" s="1">
        <v>242721.63417139871</v>
      </c>
      <c r="DJ141" s="13">
        <f t="shared" si="350"/>
        <v>-1.3162497842114762E-2</v>
      </c>
      <c r="DK141" s="1">
        <v>198</v>
      </c>
      <c r="DL141" s="13">
        <f t="shared" si="351"/>
        <v>-1.0000000000000009E-2</v>
      </c>
      <c r="DM141" s="1">
        <v>245103.0162109948</v>
      </c>
      <c r="DN141" s="13">
        <f t="shared" si="352"/>
        <v>9.811165155201973E-3</v>
      </c>
      <c r="DO141" s="1">
        <v>218</v>
      </c>
      <c r="DP141" s="13">
        <f t="shared" si="353"/>
        <v>0.10101010101010099</v>
      </c>
      <c r="DQ141" s="1">
        <v>242460.27650620369</v>
      </c>
      <c r="DR141" s="13">
        <f t="shared" si="354"/>
        <v>-1.0782159051507256E-2</v>
      </c>
      <c r="DS141">
        <v>246</v>
      </c>
      <c r="DT141" s="13">
        <f t="shared" si="355"/>
        <v>0.12844036697247696</v>
      </c>
      <c r="DU141" s="1">
        <v>245772.16436510309</v>
      </c>
      <c r="DV141" s="13">
        <f t="shared" si="356"/>
        <v>1.3659507060797438E-2</v>
      </c>
      <c r="DW141">
        <v>238</v>
      </c>
      <c r="DX141" s="13">
        <f t="shared" si="357"/>
        <v>-3.2520325203251987E-2</v>
      </c>
      <c r="DY141" s="1">
        <v>249582.49849488531</v>
      </c>
      <c r="DZ141" s="13">
        <f t="shared" si="358"/>
        <v>1.55035218883528E-2</v>
      </c>
      <c r="EA141" s="1">
        <v>231</v>
      </c>
      <c r="EB141" s="13">
        <f t="shared" si="359"/>
        <v>-2.9411764705882359E-2</v>
      </c>
      <c r="EC141" s="1">
        <v>251081.8859033979</v>
      </c>
      <c r="ED141" s="13">
        <f t="shared" si="360"/>
        <v>6.0075823327143674E-3</v>
      </c>
      <c r="EE141" s="1">
        <f>IFERROR(VLOOKUP($A141,[1]Москва_продажа_районы!$C$2:$F$148,2,0),"")</f>
        <v>231</v>
      </c>
      <c r="EF141" s="13">
        <v>0</v>
      </c>
      <c r="EG141" s="1">
        <v>250044.09535652961</v>
      </c>
      <c r="EH141" s="13">
        <f t="shared" si="361"/>
        <v>-4.1332752585249155E-3</v>
      </c>
      <c r="EI141" s="1">
        <f>IFERROR(VLOOKUP($A141,[2]Москва_продажа_районы!$C$2:$F$150,2,0),"")</f>
        <v>198</v>
      </c>
      <c r="EJ141" s="13">
        <v>-0.1428571428571429</v>
      </c>
      <c r="EK141" s="1">
        <v>256076.56978778521</v>
      </c>
      <c r="EL141" s="13">
        <f t="shared" si="362"/>
        <v>2.412564240980819E-2</v>
      </c>
      <c r="EM141">
        <v>209</v>
      </c>
      <c r="EN141" s="13">
        <f t="shared" si="363"/>
        <v>5.555555555555558E-2</v>
      </c>
      <c r="EO141" s="1">
        <v>259155.3781282386</v>
      </c>
      <c r="EP141" s="13">
        <f t="shared" si="364"/>
        <v>1.2022998992078149E-2</v>
      </c>
      <c r="EQ141">
        <v>162</v>
      </c>
      <c r="ER141" s="13">
        <f t="shared" si="365"/>
        <v>-0.22488038277511957</v>
      </c>
      <c r="ES141" s="183">
        <v>264366.83910468582</v>
      </c>
      <c r="ET141" s="13">
        <f t="shared" si="366"/>
        <v>2.0109407005508562E-2</v>
      </c>
      <c r="EU141">
        <v>147</v>
      </c>
      <c r="EV141" s="13">
        <f t="shared" si="367"/>
        <v>-9.259259259259256E-2</v>
      </c>
      <c r="EW141" s="183">
        <v>264531.42214655288</v>
      </c>
      <c r="EX141" s="13">
        <f t="shared" si="368"/>
        <v>6.2255554601486907E-4</v>
      </c>
      <c r="EY141">
        <v>158</v>
      </c>
      <c r="EZ141" s="13">
        <f t="shared" si="369"/>
        <v>7.4829931972789199E-2</v>
      </c>
      <c r="FA141" s="1">
        <v>266100.71010465408</v>
      </c>
      <c r="FB141" s="13">
        <f t="shared" si="370"/>
        <v>5.9323310076631053E-3</v>
      </c>
      <c r="FC141" s="1">
        <v>142</v>
      </c>
      <c r="FD141" s="13">
        <f t="shared" si="371"/>
        <v>-0.10126582278481011</v>
      </c>
      <c r="FE141" s="1">
        <v>270103.33906371618</v>
      </c>
      <c r="FF141" s="13">
        <f t="shared" si="372"/>
        <v>1.5041782329283881E-2</v>
      </c>
      <c r="FG141" s="1">
        <v>150</v>
      </c>
      <c r="FH141" s="13">
        <f t="shared" si="373"/>
        <v>5.6338028169014009E-2</v>
      </c>
      <c r="FI141" s="1">
        <v>272389.30265774921</v>
      </c>
      <c r="FJ141" s="13">
        <f t="shared" si="374"/>
        <v>8.4632926122167884E-3</v>
      </c>
      <c r="FK141" s="1">
        <v>160</v>
      </c>
      <c r="FL141" s="13">
        <f t="shared" si="375"/>
        <v>6.6666666666666652E-2</v>
      </c>
      <c r="FM141" s="1">
        <v>271336.87768876052</v>
      </c>
      <c r="FN141" s="13">
        <f t="shared" si="376"/>
        <v>-3.8636795157519499E-3</v>
      </c>
      <c r="FO141" s="1">
        <v>167</v>
      </c>
      <c r="FP141" s="13">
        <f t="shared" si="377"/>
        <v>4.3749999999999956E-2</v>
      </c>
      <c r="FQ141" s="1">
        <v>273910.24426446791</v>
      </c>
      <c r="FR141" s="13">
        <f t="shared" si="378"/>
        <v>9.4840281115757818E-3</v>
      </c>
      <c r="FS141">
        <v>175</v>
      </c>
      <c r="FT141" s="13">
        <f t="shared" si="379"/>
        <v>4.7904191616766401E-2</v>
      </c>
      <c r="FU141" s="1">
        <v>272865.11199231521</v>
      </c>
      <c r="FV141" s="13">
        <f t="shared" si="380"/>
        <v>-3.8156012563866915E-3</v>
      </c>
      <c r="FW141" s="1">
        <v>181</v>
      </c>
      <c r="FX141" s="13">
        <f t="shared" si="381"/>
        <v>3.4285714285714253E-2</v>
      </c>
      <c r="FY141" s="1">
        <v>272523.99339782633</v>
      </c>
      <c r="FZ141" s="13">
        <f t="shared" si="382"/>
        <v>-1.2501363475829752E-3</v>
      </c>
      <c r="GA141" s="1">
        <v>196</v>
      </c>
      <c r="GB141" s="13">
        <f t="shared" si="383"/>
        <v>8.287292817679548E-2</v>
      </c>
      <c r="GC141" s="1">
        <v>273238.13786777708</v>
      </c>
      <c r="GD141" s="13">
        <f t="shared" si="384"/>
        <v>2.6204829198588353E-3</v>
      </c>
      <c r="GE141" s="1">
        <v>188</v>
      </c>
      <c r="GF141" s="13">
        <f t="shared" si="385"/>
        <v>-4.081632653061229E-2</v>
      </c>
      <c r="GG141" s="1">
        <f>IFERROR(VLOOKUP(A141,[3]Москва_продажа_районы!$C$2:$F$149,3,0),"")</f>
        <v>271347.92345200467</v>
      </c>
      <c r="GH141" s="13">
        <v>-6.9178279083687011E-3</v>
      </c>
      <c r="GI141" s="1">
        <v>201</v>
      </c>
      <c r="GJ141" s="13">
        <f t="shared" si="386"/>
        <v>6.9148936170212671E-2</v>
      </c>
      <c r="GK141" s="1">
        <v>272528.21894359658</v>
      </c>
      <c r="GL141" s="13">
        <f t="shared" si="387"/>
        <v>4.3497494897934974E-3</v>
      </c>
      <c r="GM141" s="1">
        <v>196</v>
      </c>
      <c r="GN141" s="13">
        <f t="shared" si="388"/>
        <v>-2.4875621890547261E-2</v>
      </c>
      <c r="GO141" s="1">
        <v>270960.91449430143</v>
      </c>
      <c r="GP141" s="13">
        <f t="shared" si="389"/>
        <v>-5.7509804135899012E-3</v>
      </c>
      <c r="GQ141" s="1">
        <v>202.23</v>
      </c>
      <c r="GR141" s="13">
        <f t="shared" si="390"/>
        <v>3.1785714285714306E-2</v>
      </c>
      <c r="GS141" s="1">
        <v>269413.68624189141</v>
      </c>
      <c r="GT141" s="13">
        <f t="shared" si="411"/>
        <v>-5.7101529026709619E-3</v>
      </c>
      <c r="GU141">
        <v>212</v>
      </c>
      <c r="GV141" s="13">
        <f t="shared" si="412"/>
        <v>4.8311328685160415E-2</v>
      </c>
      <c r="GW141">
        <v>268363.36894727271</v>
      </c>
      <c r="GX141" s="13">
        <f t="shared" si="391"/>
        <v>-3.8985298381452038E-3</v>
      </c>
      <c r="GY141">
        <v>194</v>
      </c>
      <c r="GZ141" s="13">
        <f t="shared" si="392"/>
        <v>-8.4905660377358472E-2</v>
      </c>
      <c r="HA141">
        <v>268142.60038259497</v>
      </c>
      <c r="HB141" s="13">
        <v>-8.2264791034547535E-4</v>
      </c>
      <c r="HC141">
        <v>171</v>
      </c>
      <c r="HD141" s="13">
        <v>-0.11855670103092786</v>
      </c>
      <c r="HE141">
        <v>269818.04867048608</v>
      </c>
      <c r="HF141" s="13">
        <v>6.2483480263879621E-3</v>
      </c>
      <c r="HG141">
        <v>186</v>
      </c>
      <c r="HH141" s="13">
        <v>8.7719298245614086E-2</v>
      </c>
      <c r="HI141">
        <f>VLOOKUP(A141,[4]Москва_продажа_районы!$C$4:$F$151,3,0)</f>
        <v>271859.57698113477</v>
      </c>
      <c r="HJ141" s="13">
        <f t="shared" si="393"/>
        <v>7.5663148581357476E-3</v>
      </c>
      <c r="HK141">
        <f>VLOOKUP(A141,[4]Москва_продажа_районы!$C$4:$F$151,2,0)</f>
        <v>195</v>
      </c>
      <c r="HL141" s="13">
        <f t="shared" si="394"/>
        <v>4.8387096774193505E-2</v>
      </c>
      <c r="HM141" s="1">
        <f>VLOOKUP(A141,Лист3!$C$4:$F$149,3,0)</f>
        <v>279041.05622526881</v>
      </c>
      <c r="HN141" s="13">
        <f t="shared" si="395"/>
        <v>2.6416134843880723E-2</v>
      </c>
      <c r="HO141">
        <f>VLOOKUP(A141,Лист3!$C$4:$F$149,2,0)</f>
        <v>171</v>
      </c>
      <c r="HP141" s="13">
        <f t="shared" si="396"/>
        <v>-0.12307692307692308</v>
      </c>
      <c r="HQ141" s="1">
        <v>282053.78275668732</v>
      </c>
      <c r="HR141" s="13">
        <v>1.0796714190281609E-2</v>
      </c>
      <c r="HS141">
        <v>180</v>
      </c>
      <c r="HT141" s="13">
        <v>5.2631578947368363E-2</v>
      </c>
      <c r="HU141" s="34">
        <v>278913.63268794637</v>
      </c>
      <c r="HV141" s="13">
        <v>-1.1133160626495719E-2</v>
      </c>
      <c r="HW141">
        <v>160</v>
      </c>
      <c r="HX141" s="13">
        <v>-0.11111111111111116</v>
      </c>
      <c r="HY141">
        <v>279953.70176462177</v>
      </c>
      <c r="HZ141" s="13">
        <v>3.7290005033172591E-3</v>
      </c>
      <c r="IA141">
        <v>148</v>
      </c>
      <c r="IB141" s="13">
        <v>-7.4999999999999956E-2</v>
      </c>
      <c r="IC141" s="34">
        <v>280541.16430147318</v>
      </c>
      <c r="ID141" s="13">
        <v>2.0984274655004853E-3</v>
      </c>
      <c r="IE141">
        <v>156</v>
      </c>
      <c r="IF141" s="13">
        <v>5.4054054054053946E-2</v>
      </c>
    </row>
    <row r="142" spans="1:240" x14ac:dyDescent="0.3">
      <c r="A142" s="23" t="s">
        <v>143</v>
      </c>
      <c r="B142" s="22">
        <v>248011.70451872979</v>
      </c>
      <c r="C142">
        <v>614</v>
      </c>
      <c r="D142" s="22">
        <v>247708.87720741928</v>
      </c>
      <c r="E142">
        <v>620</v>
      </c>
      <c r="F142" s="22">
        <v>248986.66837867489</v>
      </c>
      <c r="G142">
        <v>483</v>
      </c>
      <c r="H142" s="22">
        <v>250005.47366720764</v>
      </c>
      <c r="I142">
        <v>479</v>
      </c>
      <c r="J142" s="22">
        <v>249006.18325427247</v>
      </c>
      <c r="K142">
        <v>522</v>
      </c>
      <c r="L142" s="22">
        <v>249193.23258821646</v>
      </c>
      <c r="M142">
        <v>524</v>
      </c>
      <c r="N142" s="22">
        <v>255172.7092466396</v>
      </c>
      <c r="O142" s="28">
        <v>522</v>
      </c>
      <c r="P142" s="39">
        <v>261216.12162217623</v>
      </c>
      <c r="Q142" s="28">
        <v>549</v>
      </c>
      <c r="R142" s="39">
        <v>264359.32306991861</v>
      </c>
      <c r="S142">
        <v>559</v>
      </c>
      <c r="T142" s="46">
        <v>269741.03962703131</v>
      </c>
      <c r="U142" s="47">
        <v>522</v>
      </c>
      <c r="V142" s="56">
        <v>274112.41986277403</v>
      </c>
      <c r="W142" s="47">
        <v>441</v>
      </c>
      <c r="X142" s="56">
        <v>277501.66310331132</v>
      </c>
      <c r="Y142" s="47">
        <v>432</v>
      </c>
      <c r="Z142" s="34">
        <v>271732.31980873575</v>
      </c>
      <c r="AA142" s="81">
        <v>455</v>
      </c>
      <c r="AB142" s="1">
        <v>288313.71967080649</v>
      </c>
      <c r="AC142" s="1">
        <v>454</v>
      </c>
      <c r="AD142" s="1">
        <v>290873.48923794483</v>
      </c>
      <c r="AE142">
        <v>407</v>
      </c>
      <c r="AF142" s="13">
        <f t="shared" si="341"/>
        <v>4.8186472056044316E-2</v>
      </c>
      <c r="AG142" s="85">
        <f t="shared" si="413"/>
        <v>0.10976267529665588</v>
      </c>
      <c r="AH142" s="35">
        <f t="shared" si="414"/>
        <v>21.952535059331176</v>
      </c>
      <c r="AI142" s="87">
        <f t="shared" si="415"/>
        <v>428.95253505933118</v>
      </c>
      <c r="AL142" s="1">
        <v>292386.85308113211</v>
      </c>
      <c r="AM142">
        <v>453</v>
      </c>
      <c r="AN142" s="13">
        <f t="shared" si="416"/>
        <v>0.11526717557251909</v>
      </c>
      <c r="AQ142">
        <f t="shared" si="417"/>
        <v>20</v>
      </c>
      <c r="AR142" s="90">
        <f t="shared" si="418"/>
        <v>473</v>
      </c>
      <c r="AS142">
        <v>447</v>
      </c>
      <c r="AT142" s="1">
        <v>298738.62586413062</v>
      </c>
      <c r="AU142" s="13">
        <f t="shared" si="419"/>
        <v>2.1723865885433735E-2</v>
      </c>
      <c r="AV142" s="35">
        <v>461</v>
      </c>
      <c r="AW142" s="1">
        <v>311019.91487219062</v>
      </c>
      <c r="AX142" s="35">
        <v>503.74406130268198</v>
      </c>
      <c r="AY142" s="121">
        <v>320220.64662243892</v>
      </c>
      <c r="AZ142" s="122">
        <v>461</v>
      </c>
      <c r="BA142" s="119">
        <v>319539.38684512483</v>
      </c>
      <c r="BB142">
        <v>440</v>
      </c>
      <c r="BC142" s="13">
        <f t="shared" si="420"/>
        <v>-2.1274698696032157E-3</v>
      </c>
      <c r="BD142">
        <v>463</v>
      </c>
      <c r="BE142" s="1">
        <v>324860.40824941092</v>
      </c>
      <c r="BF142" s="13">
        <f t="shared" si="397"/>
        <v>1.6652161277586508E-2</v>
      </c>
      <c r="BG142">
        <v>440</v>
      </c>
      <c r="BH142" s="1">
        <v>331872.64855432062</v>
      </c>
      <c r="BI142" s="13">
        <f t="shared" si="267"/>
        <v>2.1585395224665405E-2</v>
      </c>
      <c r="BJ142">
        <v>395</v>
      </c>
      <c r="BK142" s="1">
        <v>344559.69808506692</v>
      </c>
      <c r="BL142" s="13">
        <f t="shared" si="398"/>
        <v>3.8228668695696078E-2</v>
      </c>
      <c r="BM142" s="1">
        <v>346282.20699674613</v>
      </c>
      <c r="BN142" s="109">
        <f t="shared" si="399"/>
        <v>4.9991595687257639E-3</v>
      </c>
      <c r="BO142">
        <v>359</v>
      </c>
      <c r="BP142" s="13">
        <f t="shared" si="400"/>
        <v>-9.1139240506329156E-2</v>
      </c>
      <c r="BQ142" s="1">
        <v>345389.76060985558</v>
      </c>
      <c r="BR142" s="13">
        <f t="shared" si="339"/>
        <v>-2.5772227647230528E-3</v>
      </c>
      <c r="BS142">
        <v>407</v>
      </c>
      <c r="BT142" s="13">
        <f t="shared" si="340"/>
        <v>0.13370473537604455</v>
      </c>
      <c r="BU142" s="1">
        <v>362618.93549226859</v>
      </c>
      <c r="BV142" s="13">
        <f t="shared" si="401"/>
        <v>4.9883282156342412E-2</v>
      </c>
      <c r="BW142">
        <v>440</v>
      </c>
      <c r="BX142" s="13">
        <f t="shared" si="402"/>
        <v>8.1081081081081141E-2</v>
      </c>
      <c r="BY142" s="1">
        <v>369421.4161181224</v>
      </c>
      <c r="BZ142" s="13">
        <f t="shared" si="403"/>
        <v>1.8759308905419436E-2</v>
      </c>
      <c r="CA142">
        <v>424</v>
      </c>
      <c r="CB142" s="13">
        <f t="shared" si="404"/>
        <v>-3.6363636363636376E-2</v>
      </c>
      <c r="CC142" s="1">
        <v>371750.81037236197</v>
      </c>
      <c r="CD142" s="13">
        <f t="shared" si="405"/>
        <v>6.3055203423689754E-3</v>
      </c>
      <c r="CE142">
        <v>433</v>
      </c>
      <c r="CF142" s="13">
        <f t="shared" si="406"/>
        <v>2.1226415094339535E-2</v>
      </c>
      <c r="CG142" s="1">
        <v>375977.59898680751</v>
      </c>
      <c r="CH142" s="13">
        <f t="shared" si="407"/>
        <v>1.1369951312848015E-2</v>
      </c>
      <c r="CI142">
        <v>437</v>
      </c>
      <c r="CJ142" s="13">
        <f t="shared" si="408"/>
        <v>9.2378752886836946E-3</v>
      </c>
      <c r="CK142" s="1">
        <v>373546.10393453058</v>
      </c>
      <c r="CL142" s="13">
        <f t="shared" si="409"/>
        <v>-6.4671274534158218E-3</v>
      </c>
      <c r="CM142">
        <v>488</v>
      </c>
      <c r="CN142" s="13">
        <f t="shared" si="410"/>
        <v>0.1167048054919908</v>
      </c>
      <c r="CO142" s="1">
        <v>371912.48027377872</v>
      </c>
      <c r="CP142" s="13">
        <v>-4.3732852345266249E-3</v>
      </c>
      <c r="CQ142">
        <v>510</v>
      </c>
      <c r="CR142" s="13">
        <v>4.508196721311486E-2</v>
      </c>
      <c r="CS142" s="1">
        <v>377481.72866359941</v>
      </c>
      <c r="CT142" s="13">
        <f t="shared" si="342"/>
        <v>1.4974620872418631E-2</v>
      </c>
      <c r="CU142">
        <v>580</v>
      </c>
      <c r="CV142" s="13">
        <f t="shared" si="343"/>
        <v>0.13725490196078427</v>
      </c>
      <c r="CW142" s="1">
        <v>372473.59308890521</v>
      </c>
      <c r="CX142" s="13">
        <f t="shared" si="344"/>
        <v>-1.3267226449408587E-2</v>
      </c>
      <c r="CY142">
        <v>607</v>
      </c>
      <c r="CZ142" s="13">
        <f t="shared" si="345"/>
        <v>4.6551724137930961E-2</v>
      </c>
      <c r="DA142" s="1">
        <v>372699.53461953159</v>
      </c>
      <c r="DB142" s="13">
        <f t="shared" si="346"/>
        <v>6.065974469562363E-4</v>
      </c>
      <c r="DC142">
        <v>594</v>
      </c>
      <c r="DD142" s="13">
        <f t="shared" si="347"/>
        <v>-2.1416803953871466E-2</v>
      </c>
      <c r="DE142" s="1">
        <v>369118.34836021758</v>
      </c>
      <c r="DF142" s="13">
        <f t="shared" si="348"/>
        <v>-9.6087757742167046E-3</v>
      </c>
      <c r="DG142" s="1">
        <v>586</v>
      </c>
      <c r="DH142" s="13">
        <f t="shared" si="349"/>
        <v>-1.3468013468013518E-2</v>
      </c>
      <c r="DI142" s="1">
        <v>369128.07702897053</v>
      </c>
      <c r="DJ142" s="13">
        <f t="shared" si="350"/>
        <v>2.6356502720981112E-5</v>
      </c>
      <c r="DK142" s="1">
        <v>571</v>
      </c>
      <c r="DL142" s="13">
        <f t="shared" si="351"/>
        <v>-2.5597269624573427E-2</v>
      </c>
      <c r="DM142" s="1">
        <v>369760.79744294059</v>
      </c>
      <c r="DN142" s="13">
        <f t="shared" si="352"/>
        <v>1.7140945198823587E-3</v>
      </c>
      <c r="DO142" s="1">
        <v>595</v>
      </c>
      <c r="DP142" s="13">
        <f t="shared" si="353"/>
        <v>4.2031523642731994E-2</v>
      </c>
      <c r="DQ142" s="1">
        <v>364958.22669316252</v>
      </c>
      <c r="DR142" s="13">
        <f t="shared" si="354"/>
        <v>-1.2988317807052452E-2</v>
      </c>
      <c r="DS142">
        <v>621</v>
      </c>
      <c r="DT142" s="13">
        <f t="shared" si="355"/>
        <v>4.3697478991596705E-2</v>
      </c>
      <c r="DU142" s="1">
        <v>362452.21590208181</v>
      </c>
      <c r="DV142" s="13">
        <f t="shared" si="356"/>
        <v>-6.8665688503238842E-3</v>
      </c>
      <c r="DW142">
        <v>607</v>
      </c>
      <c r="DX142" s="13">
        <f t="shared" si="357"/>
        <v>-2.254428341384862E-2</v>
      </c>
      <c r="DY142" s="1">
        <v>358798.0992319581</v>
      </c>
      <c r="DZ142" s="13">
        <f t="shared" si="358"/>
        <v>-1.008165079368939E-2</v>
      </c>
      <c r="EA142" s="1">
        <v>565</v>
      </c>
      <c r="EB142" s="13">
        <f t="shared" si="359"/>
        <v>-6.9192751235584882E-2</v>
      </c>
      <c r="EC142" s="1">
        <v>358154.89971579832</v>
      </c>
      <c r="ED142" s="13">
        <f t="shared" si="360"/>
        <v>-1.7926502886626006E-3</v>
      </c>
      <c r="EE142" s="1">
        <f>IFERROR(VLOOKUP($A142,[1]Москва_продажа_районы!$C$2:$F$148,2,0),"")</f>
        <v>559</v>
      </c>
      <c r="EF142" s="13">
        <v>-1.0619469026548645E-2</v>
      </c>
      <c r="EG142" s="1">
        <v>369720.66422249941</v>
      </c>
      <c r="EH142" s="13">
        <f t="shared" si="361"/>
        <v>3.2292632366271334E-2</v>
      </c>
      <c r="EI142" s="1">
        <f>IFERROR(VLOOKUP($A142,[2]Москва_продажа_районы!$C$2:$F$150,2,0),"")</f>
        <v>574</v>
      </c>
      <c r="EJ142" s="13">
        <v>2.683363148479434E-2</v>
      </c>
      <c r="EK142" s="1">
        <v>383474.83560065803</v>
      </c>
      <c r="EL142" s="13">
        <f t="shared" si="362"/>
        <v>3.7201521876205623E-2</v>
      </c>
      <c r="EM142">
        <v>571</v>
      </c>
      <c r="EN142" s="13">
        <f t="shared" si="363"/>
        <v>-5.2264808362368909E-3</v>
      </c>
      <c r="EO142" s="1">
        <v>390311.66617497132</v>
      </c>
      <c r="EP142" s="13">
        <f t="shared" si="364"/>
        <v>1.782862899883475E-2</v>
      </c>
      <c r="EQ142">
        <v>541</v>
      </c>
      <c r="ER142" s="13">
        <f t="shared" si="365"/>
        <v>-5.2539404553415103E-2</v>
      </c>
      <c r="ES142" s="183">
        <v>400635.72754897189</v>
      </c>
      <c r="ET142" s="13">
        <f t="shared" si="366"/>
        <v>2.64508142305242E-2</v>
      </c>
      <c r="EU142">
        <v>568</v>
      </c>
      <c r="EV142" s="13">
        <f t="shared" si="367"/>
        <v>4.9907578558225474E-2</v>
      </c>
      <c r="EW142" s="183">
        <v>411944.4010288415</v>
      </c>
      <c r="EX142" s="13">
        <f t="shared" si="368"/>
        <v>2.8226822278318409E-2</v>
      </c>
      <c r="EY142">
        <v>579</v>
      </c>
      <c r="EZ142" s="13">
        <f t="shared" si="369"/>
        <v>1.936619718309851E-2</v>
      </c>
      <c r="FA142" s="1">
        <v>407164.53289643372</v>
      </c>
      <c r="FB142" s="13">
        <f t="shared" si="370"/>
        <v>-1.1603187518679503E-2</v>
      </c>
      <c r="FC142" s="1">
        <v>547</v>
      </c>
      <c r="FD142" s="13">
        <f t="shared" si="371"/>
        <v>-5.526770293609673E-2</v>
      </c>
      <c r="FE142" s="1">
        <v>404539.45264655002</v>
      </c>
      <c r="FF142" s="13">
        <f t="shared" si="372"/>
        <v>-6.4472222843422466E-3</v>
      </c>
      <c r="FG142" s="1">
        <v>525</v>
      </c>
      <c r="FH142" s="13">
        <f t="shared" si="373"/>
        <v>-4.0219378427787889E-2</v>
      </c>
      <c r="FI142" s="1">
        <v>410309.3684921388</v>
      </c>
      <c r="FJ142" s="13">
        <f t="shared" si="374"/>
        <v>1.4262924933133858E-2</v>
      </c>
      <c r="FK142" s="1">
        <v>610</v>
      </c>
      <c r="FL142" s="13">
        <f t="shared" si="375"/>
        <v>0.161904761904762</v>
      </c>
      <c r="FM142" s="1">
        <v>407577.04204162891</v>
      </c>
      <c r="FN142" s="13">
        <f t="shared" si="376"/>
        <v>-6.6591861174192246E-3</v>
      </c>
      <c r="FO142" s="1">
        <v>631</v>
      </c>
      <c r="FP142" s="13">
        <f t="shared" si="377"/>
        <v>3.4426229508196737E-2</v>
      </c>
      <c r="FQ142" s="1">
        <v>400874.81147343788</v>
      </c>
      <c r="FR142" s="13">
        <f t="shared" si="378"/>
        <v>-1.644408265641828E-2</v>
      </c>
      <c r="FS142">
        <v>592</v>
      </c>
      <c r="FT142" s="13">
        <f t="shared" si="379"/>
        <v>-6.1806656101426327E-2</v>
      </c>
      <c r="FU142" s="1">
        <v>403200.37350866938</v>
      </c>
      <c r="FV142" s="13">
        <f t="shared" si="380"/>
        <v>5.8012176586594855E-3</v>
      </c>
      <c r="FW142" s="1">
        <v>552</v>
      </c>
      <c r="FX142" s="13">
        <f t="shared" si="381"/>
        <v>-6.7567567567567544E-2</v>
      </c>
      <c r="FY142" s="1">
        <v>404633.09577296319</v>
      </c>
      <c r="FZ142" s="13">
        <f t="shared" si="382"/>
        <v>3.5533753399734636E-3</v>
      </c>
      <c r="GA142" s="1">
        <v>599</v>
      </c>
      <c r="GB142" s="13">
        <f t="shared" si="383"/>
        <v>8.5144927536231929E-2</v>
      </c>
      <c r="GC142" s="1">
        <v>411538.2548269711</v>
      </c>
      <c r="GD142" s="13">
        <f t="shared" si="384"/>
        <v>1.7065235459341466E-2</v>
      </c>
      <c r="GE142" s="1">
        <v>575</v>
      </c>
      <c r="GF142" s="13">
        <f t="shared" si="385"/>
        <v>-4.0066777963272071E-2</v>
      </c>
      <c r="GG142" s="1">
        <f>IFERROR(VLOOKUP(A142,[3]Москва_продажа_районы!$C$2:$F$149,3,0),"")</f>
        <v>406246.68579912209</v>
      </c>
      <c r="GH142" s="13">
        <v>-1.2858024656963729E-2</v>
      </c>
      <c r="GI142" s="1">
        <v>576</v>
      </c>
      <c r="GJ142" s="13">
        <f t="shared" si="386"/>
        <v>1.7391304347826875E-3</v>
      </c>
      <c r="GK142" s="1">
        <v>405747.89590674551</v>
      </c>
      <c r="GL142" s="13">
        <f t="shared" si="387"/>
        <v>-1.2278005207486675E-3</v>
      </c>
      <c r="GM142" s="1">
        <v>567</v>
      </c>
      <c r="GN142" s="13">
        <f t="shared" si="388"/>
        <v>-1.5625E-2</v>
      </c>
      <c r="GO142" s="1">
        <v>402179.94688761141</v>
      </c>
      <c r="GP142" s="13">
        <f t="shared" si="389"/>
        <v>-8.793512067784448E-3</v>
      </c>
      <c r="GQ142" s="1">
        <v>561.75</v>
      </c>
      <c r="GR142" s="13">
        <f t="shared" si="390"/>
        <v>-9.2592592592593004E-3</v>
      </c>
      <c r="GS142" s="1">
        <v>403996.28412342048</v>
      </c>
      <c r="GT142" s="13">
        <f t="shared" si="411"/>
        <v>4.5162302344146088E-3</v>
      </c>
      <c r="GU142">
        <v>562</v>
      </c>
      <c r="GV142" s="13">
        <f t="shared" si="412"/>
        <v>4.4503782821547766E-4</v>
      </c>
      <c r="GW142">
        <v>403926.71829993388</v>
      </c>
      <c r="GX142" s="13">
        <f t="shared" si="391"/>
        <v>-1.7219421618575037E-4</v>
      </c>
      <c r="GY142">
        <v>487</v>
      </c>
      <c r="GZ142" s="13">
        <f t="shared" si="392"/>
        <v>-0.13345195729537362</v>
      </c>
      <c r="HA142">
        <v>403124.1637361109</v>
      </c>
      <c r="HB142" s="13">
        <v>-1.9868815987237332E-3</v>
      </c>
      <c r="HC142">
        <v>422</v>
      </c>
      <c r="HD142" s="13">
        <v>-0.13347022587268997</v>
      </c>
      <c r="HE142">
        <v>405555.65226348123</v>
      </c>
      <c r="HF142" s="13">
        <v>6.0316119600363205E-3</v>
      </c>
      <c r="HG142">
        <v>440</v>
      </c>
      <c r="HH142" s="13">
        <v>4.2654028436019065E-2</v>
      </c>
      <c r="HI142">
        <f>VLOOKUP(A142,[4]Москва_продажа_районы!$C$4:$F$151,3,0)</f>
        <v>415363.19670073461</v>
      </c>
      <c r="HJ142" s="13">
        <f t="shared" si="393"/>
        <v>2.4182980517015729E-2</v>
      </c>
      <c r="HK142">
        <f>VLOOKUP(A142,[4]Москва_продажа_районы!$C$4:$F$151,2,0)</f>
        <v>436</v>
      </c>
      <c r="HL142" s="13">
        <f t="shared" si="394"/>
        <v>-9.0909090909090384E-3</v>
      </c>
      <c r="HM142" s="1">
        <f>VLOOKUP(A142,Лист3!$C$4:$F$149,3,0)</f>
        <v>421396.57953855558</v>
      </c>
      <c r="HN142" s="13">
        <f t="shared" si="395"/>
        <v>1.4525559524157794E-2</v>
      </c>
      <c r="HO142">
        <f>VLOOKUP(A142,Лист3!$C$4:$F$149,2,0)</f>
        <v>438</v>
      </c>
      <c r="HP142" s="13">
        <f t="shared" si="396"/>
        <v>4.5871559633028358E-3</v>
      </c>
      <c r="HQ142" s="1">
        <v>425507.14580552332</v>
      </c>
      <c r="HR142" s="13">
        <v>9.7546265597812098E-3</v>
      </c>
      <c r="HS142">
        <v>477</v>
      </c>
      <c r="HT142" s="13">
        <v>8.9041095890410871E-2</v>
      </c>
      <c r="HU142" s="34">
        <v>420241.40237418149</v>
      </c>
      <c r="HV142" s="13">
        <v>-1.2375217392350257E-2</v>
      </c>
      <c r="HW142">
        <v>453</v>
      </c>
      <c r="HX142" s="13">
        <v>-5.031446540880502E-2</v>
      </c>
      <c r="HY142">
        <v>425136.35511282942</v>
      </c>
      <c r="HZ142" s="13">
        <v>1.1647954511367908E-2</v>
      </c>
      <c r="IA142">
        <v>475</v>
      </c>
      <c r="IB142" s="13">
        <v>4.8565121412803558E-2</v>
      </c>
      <c r="IC142" s="34">
        <v>420012.77336394222</v>
      </c>
      <c r="ID142" s="13">
        <v>-1.2051619879761666E-2</v>
      </c>
      <c r="IE142">
        <v>463</v>
      </c>
      <c r="IF142" s="13">
        <v>-2.5263157894736876E-2</v>
      </c>
    </row>
    <row r="143" spans="1:240" x14ac:dyDescent="0.3">
      <c r="A143" s="23" t="s">
        <v>144</v>
      </c>
      <c r="B143" s="22">
        <v>254133.30524192177</v>
      </c>
      <c r="C143">
        <v>307</v>
      </c>
      <c r="D143" s="22">
        <v>257468.97546975283</v>
      </c>
      <c r="E143">
        <v>324</v>
      </c>
      <c r="F143" s="22">
        <v>258838.72113713089</v>
      </c>
      <c r="G143">
        <v>237</v>
      </c>
      <c r="H143" s="22">
        <v>261324.87747378185</v>
      </c>
      <c r="I143">
        <v>230</v>
      </c>
      <c r="J143" s="22">
        <v>265967.83613205963</v>
      </c>
      <c r="K143">
        <v>276</v>
      </c>
      <c r="L143" s="22">
        <v>261752.84636155274</v>
      </c>
      <c r="M143">
        <v>273</v>
      </c>
      <c r="N143" s="22">
        <v>267260.5945497108</v>
      </c>
      <c r="O143" s="28">
        <v>252</v>
      </c>
      <c r="P143" s="39">
        <v>270868.34365089901</v>
      </c>
      <c r="Q143" s="28">
        <v>232</v>
      </c>
      <c r="R143" s="39">
        <v>285456.08863399364</v>
      </c>
      <c r="S143">
        <v>240</v>
      </c>
      <c r="T143" s="46">
        <v>286423.7828086447</v>
      </c>
      <c r="U143" s="47">
        <v>210</v>
      </c>
      <c r="V143" s="56">
        <v>283112.61482118431</v>
      </c>
      <c r="W143" s="47">
        <v>203</v>
      </c>
      <c r="X143" s="56">
        <v>295232.47875572892</v>
      </c>
      <c r="Y143" s="47">
        <v>168</v>
      </c>
      <c r="Z143" s="34">
        <v>296672</v>
      </c>
      <c r="AA143" s="81">
        <v>201</v>
      </c>
      <c r="AB143" s="1">
        <v>301040.96625988121</v>
      </c>
      <c r="AC143" s="1">
        <v>204</v>
      </c>
      <c r="AD143" s="1">
        <v>310037.71794443548</v>
      </c>
      <c r="AE143">
        <v>186</v>
      </c>
      <c r="AF143" s="13">
        <f t="shared" si="341"/>
        <v>5.0147731886085012E-2</v>
      </c>
      <c r="AG143" s="85">
        <f t="shared" si="413"/>
        <v>5.0161812297734629E-2</v>
      </c>
      <c r="AH143" s="35">
        <f t="shared" si="414"/>
        <v>10.032362459546926</v>
      </c>
      <c r="AI143" s="87">
        <f t="shared" si="415"/>
        <v>196.03236245954693</v>
      </c>
      <c r="AL143" s="1">
        <v>317960.57022540399</v>
      </c>
      <c r="AM143">
        <v>200</v>
      </c>
      <c r="AN143" s="13">
        <f t="shared" si="416"/>
        <v>5.0890585241730277E-2</v>
      </c>
      <c r="AQ143">
        <f t="shared" si="417"/>
        <v>8</v>
      </c>
      <c r="AR143" s="90">
        <f t="shared" si="418"/>
        <v>208</v>
      </c>
      <c r="AS143">
        <v>203</v>
      </c>
      <c r="AT143" s="1">
        <v>322473.0415036222</v>
      </c>
      <c r="AU143" s="13">
        <f t="shared" si="419"/>
        <v>1.4191920951139636E-2</v>
      </c>
      <c r="AV143" s="35">
        <v>186</v>
      </c>
      <c r="AW143" s="1">
        <v>324968.15353173937</v>
      </c>
      <c r="AX143" s="35">
        <v>203.24597701149426</v>
      </c>
      <c r="AY143" s="121">
        <v>327594.58488218632</v>
      </c>
      <c r="AZ143" s="122">
        <v>205</v>
      </c>
      <c r="BA143" s="119">
        <v>326294.6782363024</v>
      </c>
      <c r="BB143">
        <v>181</v>
      </c>
      <c r="BC143" s="13">
        <f t="shared" si="420"/>
        <v>-3.9680345948068796E-3</v>
      </c>
      <c r="BD143">
        <v>198</v>
      </c>
      <c r="BE143" s="1">
        <v>332352.47198044357</v>
      </c>
      <c r="BF143" s="13">
        <f t="shared" si="397"/>
        <v>1.8565407737830553E-2</v>
      </c>
      <c r="BG143">
        <v>188</v>
      </c>
      <c r="BH143" s="1">
        <v>336438.56102066138</v>
      </c>
      <c r="BI143" s="13">
        <f t="shared" si="267"/>
        <v>1.2294444557217732E-2</v>
      </c>
      <c r="BJ143">
        <v>185</v>
      </c>
      <c r="BK143" s="1">
        <v>345245.96794865932</v>
      </c>
      <c r="BL143" s="13">
        <f t="shared" si="398"/>
        <v>2.6178351557796242E-2</v>
      </c>
      <c r="BM143" s="1">
        <v>350170.73613035999</v>
      </c>
      <c r="BN143" s="109">
        <f t="shared" si="399"/>
        <v>1.4264520483648457E-2</v>
      </c>
      <c r="BO143">
        <v>157</v>
      </c>
      <c r="BP143" s="13">
        <f t="shared" si="400"/>
        <v>-0.15135135135135136</v>
      </c>
      <c r="BQ143" s="1">
        <v>351145.06941794627</v>
      </c>
      <c r="BR143" s="13">
        <f t="shared" si="339"/>
        <v>2.7824520642512063E-3</v>
      </c>
      <c r="BS143">
        <v>186</v>
      </c>
      <c r="BT143" s="13">
        <f t="shared" si="340"/>
        <v>0.1847133757961783</v>
      </c>
      <c r="BU143" s="1">
        <v>369517.18039795308</v>
      </c>
      <c r="BV143" s="13">
        <f t="shared" si="401"/>
        <v>5.2320572265076137E-2</v>
      </c>
      <c r="BW143">
        <v>178</v>
      </c>
      <c r="BX143" s="13">
        <f t="shared" si="402"/>
        <v>-4.3010752688172005E-2</v>
      </c>
      <c r="BY143" s="1">
        <v>362727.01415512658</v>
      </c>
      <c r="BZ143" s="13">
        <f t="shared" si="403"/>
        <v>-1.8375779538894021E-2</v>
      </c>
      <c r="CA143">
        <v>168</v>
      </c>
      <c r="CB143" s="13">
        <f t="shared" si="404"/>
        <v>-5.6179775280898903E-2</v>
      </c>
      <c r="CC143" s="1">
        <v>372365.47657528811</v>
      </c>
      <c r="CD143" s="13">
        <f t="shared" si="405"/>
        <v>2.6572221103001281E-2</v>
      </c>
      <c r="CE143">
        <v>177</v>
      </c>
      <c r="CF143" s="13">
        <f t="shared" si="406"/>
        <v>5.3571428571428603E-2</v>
      </c>
      <c r="CG143" s="1">
        <v>373809.00513845799</v>
      </c>
      <c r="CH143" s="13">
        <f t="shared" si="407"/>
        <v>3.8766444635154329E-3</v>
      </c>
      <c r="CI143">
        <v>191</v>
      </c>
      <c r="CJ143" s="13">
        <f t="shared" si="408"/>
        <v>7.909604519774005E-2</v>
      </c>
      <c r="CK143" s="1">
        <v>377782.23808528448</v>
      </c>
      <c r="CL143" s="13">
        <f t="shared" si="409"/>
        <v>1.062904556126143E-2</v>
      </c>
      <c r="CM143">
        <v>194</v>
      </c>
      <c r="CN143" s="13">
        <f t="shared" si="410"/>
        <v>1.5706806282722585E-2</v>
      </c>
      <c r="CO143" s="1">
        <v>379625.03110287432</v>
      </c>
      <c r="CP143" s="13">
        <v>4.8779239249829853E-3</v>
      </c>
      <c r="CQ143">
        <v>216</v>
      </c>
      <c r="CR143" s="13">
        <v>0.11340206185567014</v>
      </c>
      <c r="CS143" s="1">
        <v>375618.21637812961</v>
      </c>
      <c r="CT143" s="13">
        <f t="shared" si="342"/>
        <v>-1.0554664198786479E-2</v>
      </c>
      <c r="CU143">
        <v>267</v>
      </c>
      <c r="CV143" s="13">
        <f t="shared" si="343"/>
        <v>0.23611111111111116</v>
      </c>
      <c r="CW143" s="1">
        <v>360349.82472511311</v>
      </c>
      <c r="CX143" s="13">
        <f t="shared" si="344"/>
        <v>-4.0648698564837549E-2</v>
      </c>
      <c r="CY143">
        <v>277</v>
      </c>
      <c r="CZ143" s="13">
        <f t="shared" si="345"/>
        <v>3.7453183520599342E-2</v>
      </c>
      <c r="DA143" s="1">
        <v>349145.00233692297</v>
      </c>
      <c r="DB143" s="13">
        <f t="shared" si="346"/>
        <v>-3.109429121198426E-2</v>
      </c>
      <c r="DC143">
        <v>266</v>
      </c>
      <c r="DD143" s="13">
        <f t="shared" si="347"/>
        <v>-3.9711191335740081E-2</v>
      </c>
      <c r="DE143" s="1">
        <v>340729.55707076809</v>
      </c>
      <c r="DF143" s="13">
        <f t="shared" si="348"/>
        <v>-2.4103009379564444E-2</v>
      </c>
      <c r="DG143" s="1">
        <v>242</v>
      </c>
      <c r="DH143" s="13">
        <f t="shared" si="349"/>
        <v>-9.0225563909774431E-2</v>
      </c>
      <c r="DI143" s="1">
        <v>337686.14989586768</v>
      </c>
      <c r="DJ143" s="13">
        <f t="shared" si="350"/>
        <v>-8.9320316120045096E-3</v>
      </c>
      <c r="DK143" s="1">
        <v>232</v>
      </c>
      <c r="DL143" s="13">
        <f t="shared" si="351"/>
        <v>-4.132231404958675E-2</v>
      </c>
      <c r="DM143" s="1">
        <v>341804.75989774452</v>
      </c>
      <c r="DN143" s="13">
        <f t="shared" si="352"/>
        <v>1.2196561816784302E-2</v>
      </c>
      <c r="DO143" s="1">
        <v>244</v>
      </c>
      <c r="DP143" s="13">
        <f t="shared" si="353"/>
        <v>5.1724137931034475E-2</v>
      </c>
      <c r="DQ143" s="1">
        <v>342807.62248064292</v>
      </c>
      <c r="DR143" s="13">
        <f t="shared" si="354"/>
        <v>2.934021700570888E-3</v>
      </c>
      <c r="DS143">
        <v>257</v>
      </c>
      <c r="DT143" s="13">
        <f t="shared" si="355"/>
        <v>5.3278688524590168E-2</v>
      </c>
      <c r="DU143" s="1">
        <v>339660.81998894009</v>
      </c>
      <c r="DV143" s="13">
        <f t="shared" si="356"/>
        <v>-9.1794997699635728E-3</v>
      </c>
      <c r="DW143">
        <v>232</v>
      </c>
      <c r="DX143" s="13">
        <f t="shared" si="357"/>
        <v>-9.7276264591439676E-2</v>
      </c>
      <c r="DY143" s="1">
        <v>339626.42261441081</v>
      </c>
      <c r="DZ143" s="13">
        <f t="shared" si="358"/>
        <v>-1.0126977415414462E-4</v>
      </c>
      <c r="EA143" s="1">
        <v>219</v>
      </c>
      <c r="EB143" s="13">
        <f t="shared" si="359"/>
        <v>-5.6034482758620663E-2</v>
      </c>
      <c r="EC143" s="1">
        <v>338549.00473854481</v>
      </c>
      <c r="ED143" s="13">
        <f t="shared" si="360"/>
        <v>-3.1723617602309462E-3</v>
      </c>
      <c r="EE143" s="1">
        <f>IFERROR(VLOOKUP($A143,[1]Москва_продажа_районы!$C$2:$F$148,2,0),"")</f>
        <v>218</v>
      </c>
      <c r="EF143" s="13">
        <v>-4.5662100456621557E-3</v>
      </c>
      <c r="EG143" s="1">
        <v>347858.9916940055</v>
      </c>
      <c r="EH143" s="13">
        <f t="shared" si="361"/>
        <v>2.7499673090608079E-2</v>
      </c>
      <c r="EI143" s="1">
        <f>IFERROR(VLOOKUP($A143,[2]Москва_продажа_районы!$C$2:$F$150,2,0),"")</f>
        <v>203</v>
      </c>
      <c r="EJ143" s="13">
        <v>-6.8807339449541316E-2</v>
      </c>
      <c r="EK143" s="1">
        <v>360944.94908705621</v>
      </c>
      <c r="EL143" s="13">
        <f t="shared" si="362"/>
        <v>3.7618568746274672E-2</v>
      </c>
      <c r="EM143">
        <v>204</v>
      </c>
      <c r="EN143" s="13">
        <f t="shared" si="363"/>
        <v>4.9261083743843415E-3</v>
      </c>
      <c r="EO143" s="1">
        <v>360852.00294812239</v>
      </c>
      <c r="EP143" s="13">
        <f t="shared" si="364"/>
        <v>-2.5750779770961074E-4</v>
      </c>
      <c r="EQ143">
        <v>200</v>
      </c>
      <c r="ER143" s="13">
        <f t="shared" si="365"/>
        <v>-1.9607843137254943E-2</v>
      </c>
      <c r="ES143" s="183">
        <v>373404.09692902892</v>
      </c>
      <c r="ET143" s="13">
        <f t="shared" si="366"/>
        <v>3.4784603877371589E-2</v>
      </c>
      <c r="EU143">
        <v>199</v>
      </c>
      <c r="EV143" s="13">
        <f t="shared" si="367"/>
        <v>-5.0000000000000044E-3</v>
      </c>
      <c r="EW143" s="183">
        <v>375227.64289140562</v>
      </c>
      <c r="EX143" s="13">
        <f t="shared" si="368"/>
        <v>4.8835724550801984E-3</v>
      </c>
      <c r="EY143">
        <v>194</v>
      </c>
      <c r="EZ143" s="13">
        <f t="shared" si="369"/>
        <v>-2.5125628140703515E-2</v>
      </c>
      <c r="FA143" s="1">
        <v>372899.37597010512</v>
      </c>
      <c r="FB143" s="13">
        <f t="shared" si="370"/>
        <v>-6.2049450924230865E-3</v>
      </c>
      <c r="FC143" s="1">
        <v>184</v>
      </c>
      <c r="FD143" s="13">
        <f t="shared" si="371"/>
        <v>-5.1546391752577359E-2</v>
      </c>
      <c r="FE143" s="1">
        <v>372177.29033533903</v>
      </c>
      <c r="FF143" s="13">
        <f t="shared" si="372"/>
        <v>-1.9364088043525296E-3</v>
      </c>
      <c r="FG143" s="1">
        <v>175</v>
      </c>
      <c r="FH143" s="13">
        <f t="shared" si="373"/>
        <v>-4.8913043478260865E-2</v>
      </c>
      <c r="FI143" s="1">
        <v>380369.42653341847</v>
      </c>
      <c r="FJ143" s="13">
        <f t="shared" si="374"/>
        <v>2.2011381163794752E-2</v>
      </c>
      <c r="FK143" s="1">
        <v>205</v>
      </c>
      <c r="FL143" s="13">
        <f t="shared" si="375"/>
        <v>0.17142857142857149</v>
      </c>
      <c r="FM143" s="1">
        <v>389106.95325528452</v>
      </c>
      <c r="FN143" s="13">
        <f t="shared" si="376"/>
        <v>2.2971159384437057E-2</v>
      </c>
      <c r="FO143" s="1">
        <v>212</v>
      </c>
      <c r="FP143" s="13">
        <f t="shared" si="377"/>
        <v>3.4146341463414664E-2</v>
      </c>
      <c r="FQ143" s="1">
        <v>399484.01882113912</v>
      </c>
      <c r="FR143" s="13">
        <f t="shared" si="378"/>
        <v>2.6668928630135369E-2</v>
      </c>
      <c r="FS143">
        <v>210</v>
      </c>
      <c r="FT143" s="13">
        <f t="shared" si="379"/>
        <v>-9.4339622641509413E-3</v>
      </c>
      <c r="FU143" s="1">
        <v>392916.18816188251</v>
      </c>
      <c r="FV143" s="13">
        <f t="shared" si="380"/>
        <v>-1.6440784486543403E-2</v>
      </c>
      <c r="FW143" s="1">
        <v>228</v>
      </c>
      <c r="FX143" s="13">
        <f t="shared" si="381"/>
        <v>8.5714285714285632E-2</v>
      </c>
      <c r="FY143" s="1">
        <v>388488.01407708903</v>
      </c>
      <c r="FZ143" s="13">
        <f t="shared" si="382"/>
        <v>-1.1270022000134716E-2</v>
      </c>
      <c r="GA143" s="1">
        <v>220</v>
      </c>
      <c r="GB143" s="13">
        <f t="shared" si="383"/>
        <v>-3.5087719298245612E-2</v>
      </c>
      <c r="GC143" s="1">
        <v>393921.59547354252</v>
      </c>
      <c r="GD143" s="13">
        <f t="shared" si="384"/>
        <v>1.3986484008681188E-2</v>
      </c>
      <c r="GE143" s="1">
        <v>194</v>
      </c>
      <c r="GF143" s="13">
        <f t="shared" si="385"/>
        <v>-0.11818181818181817</v>
      </c>
      <c r="GG143" s="1">
        <f>IFERROR(VLOOKUP(A143,[3]Москва_продажа_районы!$C$2:$F$149,3,0),"")</f>
        <v>405808.36485275353</v>
      </c>
      <c r="GH143" s="13">
        <v>3.0175470235191515E-2</v>
      </c>
      <c r="GI143" s="1">
        <v>206</v>
      </c>
      <c r="GJ143" s="13">
        <f t="shared" si="386"/>
        <v>6.1855670103092786E-2</v>
      </c>
      <c r="GK143" s="1">
        <v>400200.62691863539</v>
      </c>
      <c r="GL143" s="13">
        <f t="shared" si="387"/>
        <v>-1.3818684925710922E-2</v>
      </c>
      <c r="GM143" s="1">
        <v>207</v>
      </c>
      <c r="GN143" s="13">
        <f t="shared" si="388"/>
        <v>4.8543689320388328E-3</v>
      </c>
      <c r="GO143" s="1">
        <v>394765.11540311488</v>
      </c>
      <c r="GP143" s="13">
        <f t="shared" si="389"/>
        <v>-1.3581966518572242E-2</v>
      </c>
      <c r="GQ143" s="1">
        <v>219.35000000000002</v>
      </c>
      <c r="GR143" s="13">
        <f t="shared" si="390"/>
        <v>5.9661835748792358E-2</v>
      </c>
      <c r="GS143" s="1">
        <v>403217.43224907678</v>
      </c>
      <c r="GT143" s="13">
        <f t="shared" si="411"/>
        <v>2.1411002431992454E-2</v>
      </c>
      <c r="GU143">
        <v>202</v>
      </c>
      <c r="GV143" s="13">
        <f t="shared" si="412"/>
        <v>-7.9097333029405137E-2</v>
      </c>
      <c r="GW143">
        <v>407777.06013308238</v>
      </c>
      <c r="GX143" s="13">
        <f t="shared" si="391"/>
        <v>1.1308111999456028E-2</v>
      </c>
      <c r="GY143">
        <v>204</v>
      </c>
      <c r="GZ143" s="13">
        <f t="shared" si="392"/>
        <v>9.9009900990099098E-3</v>
      </c>
      <c r="HA143">
        <v>411044.15176601819</v>
      </c>
      <c r="HB143" s="13">
        <v>8.0119554343482946E-3</v>
      </c>
      <c r="HC143">
        <v>195</v>
      </c>
      <c r="HD143" s="13">
        <v>-4.4117647058823484E-2</v>
      </c>
      <c r="HE143">
        <v>409391.4932582429</v>
      </c>
      <c r="HF143" s="13">
        <v>-4.0206350112871325E-3</v>
      </c>
      <c r="HG143">
        <v>188</v>
      </c>
      <c r="HH143" s="13">
        <v>-3.5897435897435881E-2</v>
      </c>
      <c r="HI143">
        <f>VLOOKUP(A143,[4]Москва_продажа_районы!$C$4:$F$151,3,0)</f>
        <v>405694.12886078958</v>
      </c>
      <c r="HJ143" s="13">
        <f t="shared" si="393"/>
        <v>-9.0313659622649478E-3</v>
      </c>
      <c r="HK143">
        <f>VLOOKUP(A143,[4]Москва_продажа_районы!$C$4:$F$151,2,0)</f>
        <v>205</v>
      </c>
      <c r="HL143" s="13">
        <f t="shared" si="394"/>
        <v>9.0425531914893664E-2</v>
      </c>
      <c r="HM143" s="1">
        <f>VLOOKUP(A143,Лист3!$C$4:$F$149,3,0)</f>
        <v>414251.97288548457</v>
      </c>
      <c r="HN143" s="13">
        <f t="shared" si="395"/>
        <v>2.1094325542067471E-2</v>
      </c>
      <c r="HO143">
        <f>VLOOKUP(A143,Лист3!$C$4:$F$149,2,0)</f>
        <v>182</v>
      </c>
      <c r="HP143" s="13">
        <f t="shared" si="396"/>
        <v>-0.1121951219512195</v>
      </c>
      <c r="HQ143" s="1">
        <v>411132.22508146038</v>
      </c>
      <c r="HR143" s="13">
        <v>-7.5310390975171781E-3</v>
      </c>
      <c r="HS143">
        <v>195</v>
      </c>
      <c r="HT143" s="13">
        <v>7.1428571428571397E-2</v>
      </c>
      <c r="HU143" s="34">
        <v>412672.0120691568</v>
      </c>
      <c r="HV143" s="13">
        <v>3.7452354589604386E-3</v>
      </c>
      <c r="HW143">
        <v>187</v>
      </c>
      <c r="HX143" s="13">
        <v>-4.1025641025640991E-2</v>
      </c>
      <c r="HY143">
        <v>425619.16584964353</v>
      </c>
      <c r="HZ143" s="13">
        <v>3.1373956560729832E-2</v>
      </c>
      <c r="IA143">
        <v>202</v>
      </c>
      <c r="IB143" s="13">
        <v>8.0213903743315607E-2</v>
      </c>
      <c r="IC143" s="34">
        <v>429611.51047582872</v>
      </c>
      <c r="ID143" s="13">
        <v>9.3800865809590128E-3</v>
      </c>
      <c r="IE143">
        <v>216</v>
      </c>
      <c r="IF143" s="13">
        <v>6.9306930693069368E-2</v>
      </c>
    </row>
    <row r="144" spans="1:240" x14ac:dyDescent="0.3">
      <c r="A144" s="23" t="s">
        <v>145</v>
      </c>
      <c r="B144" s="22">
        <v>169093.48611410247</v>
      </c>
      <c r="C144">
        <v>312</v>
      </c>
      <c r="D144" s="22">
        <v>168763.37392862534</v>
      </c>
      <c r="E144">
        <v>291</v>
      </c>
      <c r="F144" s="22">
        <v>169595.0609091525</v>
      </c>
      <c r="G144">
        <v>177</v>
      </c>
      <c r="H144" s="22">
        <v>175302.7901908457</v>
      </c>
      <c r="I144">
        <v>180</v>
      </c>
      <c r="J144" s="22">
        <v>172209.33117184791</v>
      </c>
      <c r="K144">
        <v>220</v>
      </c>
      <c r="L144" s="22">
        <v>174099.89192539602</v>
      </c>
      <c r="M144">
        <v>231</v>
      </c>
      <c r="N144" s="22">
        <v>175320.80008057508</v>
      </c>
      <c r="O144" s="28">
        <v>225</v>
      </c>
      <c r="P144" s="39">
        <v>181163.18898754538</v>
      </c>
      <c r="Q144" s="28">
        <v>226</v>
      </c>
      <c r="R144" s="39">
        <v>185989.96875439506</v>
      </c>
      <c r="S144">
        <v>202</v>
      </c>
      <c r="T144" s="46">
        <v>195178.37199839394</v>
      </c>
      <c r="U144" s="47">
        <v>178</v>
      </c>
      <c r="V144" s="56">
        <v>202136.8254635972</v>
      </c>
      <c r="W144" s="47">
        <v>165</v>
      </c>
      <c r="X144" s="56">
        <v>206672.83708459139</v>
      </c>
      <c r="Y144" s="47">
        <v>165</v>
      </c>
      <c r="Z144" s="1">
        <v>209044.18166081401</v>
      </c>
      <c r="AA144" s="81">
        <v>192</v>
      </c>
      <c r="AB144" s="1">
        <v>213868.78774612729</v>
      </c>
      <c r="AC144" s="1">
        <v>241</v>
      </c>
      <c r="AD144" s="1">
        <v>219507.41405340409</v>
      </c>
      <c r="AE144">
        <v>222</v>
      </c>
      <c r="AF144" s="13">
        <f t="shared" si="341"/>
        <v>6.2100937645518828E-2</v>
      </c>
      <c r="AG144" s="85">
        <f t="shared" si="413"/>
        <v>5.9870550161812294E-2</v>
      </c>
      <c r="AH144" s="35">
        <f t="shared" si="414"/>
        <v>11.974110032362459</v>
      </c>
      <c r="AI144" s="87">
        <f t="shared" si="415"/>
        <v>233.97411003236246</v>
      </c>
      <c r="AL144" s="1">
        <v>222490.7145785341</v>
      </c>
      <c r="AM144">
        <v>240</v>
      </c>
      <c r="AN144" s="13">
        <f t="shared" si="416"/>
        <v>6.1068702290076333E-2</v>
      </c>
      <c r="AQ144">
        <f t="shared" si="417"/>
        <v>10</v>
      </c>
      <c r="AR144" s="90">
        <f t="shared" si="418"/>
        <v>250</v>
      </c>
      <c r="AS144">
        <v>231</v>
      </c>
      <c r="AT144" s="1">
        <v>224514.75291093689</v>
      </c>
      <c r="AU144" s="13">
        <f t="shared" si="419"/>
        <v>9.0971811396127755E-3</v>
      </c>
      <c r="AV144" s="35">
        <v>196</v>
      </c>
      <c r="AW144" s="1">
        <v>224620.28262027499</v>
      </c>
      <c r="AX144" s="35">
        <v>214.17318007662834</v>
      </c>
      <c r="AY144" s="121">
        <v>230569.21166095411</v>
      </c>
      <c r="AZ144" s="122">
        <v>212</v>
      </c>
      <c r="BA144" s="119">
        <v>235670.43176741959</v>
      </c>
      <c r="BB144">
        <v>187</v>
      </c>
      <c r="BC144" s="13">
        <f t="shared" si="420"/>
        <v>2.212446349500774E-2</v>
      </c>
      <c r="BD144">
        <v>190</v>
      </c>
      <c r="BE144" s="1">
        <v>237874.6739581658</v>
      </c>
      <c r="BF144" s="13">
        <f t="shared" si="397"/>
        <v>9.3530706173676759E-3</v>
      </c>
      <c r="BG144">
        <v>190</v>
      </c>
      <c r="BH144" s="1">
        <v>244914.3287231159</v>
      </c>
      <c r="BI144" s="13">
        <f t="shared" si="267"/>
        <v>2.9593964955630936E-2</v>
      </c>
      <c r="BJ144">
        <v>194</v>
      </c>
      <c r="BK144" s="1">
        <v>247462.32024572781</v>
      </c>
      <c r="BL144" s="13">
        <f t="shared" si="398"/>
        <v>1.0403603316702981E-2</v>
      </c>
      <c r="BM144" s="1">
        <v>254904.4128682783</v>
      </c>
      <c r="BN144" s="109">
        <f t="shared" si="399"/>
        <v>3.0073639555147524E-2</v>
      </c>
      <c r="BO144">
        <v>182</v>
      </c>
      <c r="BP144" s="13">
        <f t="shared" si="400"/>
        <v>-6.1855670103092786E-2</v>
      </c>
      <c r="BQ144" s="1">
        <v>257057.55492309309</v>
      </c>
      <c r="BR144" s="13">
        <f t="shared" si="339"/>
        <v>8.4468606509664479E-3</v>
      </c>
      <c r="BS144">
        <v>227</v>
      </c>
      <c r="BT144" s="13">
        <f t="shared" si="340"/>
        <v>0.24725274725274726</v>
      </c>
      <c r="BU144" s="1">
        <v>264497.84904077061</v>
      </c>
      <c r="BV144" s="13">
        <f t="shared" si="401"/>
        <v>2.8944078768287973E-2</v>
      </c>
      <c r="BW144">
        <v>207</v>
      </c>
      <c r="BX144" s="13">
        <f t="shared" si="402"/>
        <v>-8.8105726872246715E-2</v>
      </c>
      <c r="BY144" s="1">
        <v>263316.48595795169</v>
      </c>
      <c r="BZ144" s="13">
        <f t="shared" si="403"/>
        <v>-4.4664373910913158E-3</v>
      </c>
      <c r="CA144">
        <v>171</v>
      </c>
      <c r="CB144" s="13">
        <f t="shared" si="404"/>
        <v>-0.17391304347826086</v>
      </c>
      <c r="CC144" s="1">
        <v>259771.63970263221</v>
      </c>
      <c r="CD144" s="13">
        <f t="shared" si="405"/>
        <v>-1.3462302758686984E-2</v>
      </c>
      <c r="CE144">
        <v>204</v>
      </c>
      <c r="CF144" s="13">
        <f t="shared" si="406"/>
        <v>0.19298245614035081</v>
      </c>
      <c r="CG144" s="1">
        <v>256475.63225883411</v>
      </c>
      <c r="CH144" s="13">
        <f t="shared" si="407"/>
        <v>-1.2688095773546015E-2</v>
      </c>
      <c r="CI144">
        <v>218</v>
      </c>
      <c r="CJ144" s="13">
        <f t="shared" si="408"/>
        <v>6.8627450980392135E-2</v>
      </c>
      <c r="CK144" s="1">
        <v>251947.69794445051</v>
      </c>
      <c r="CL144" s="13">
        <f t="shared" si="409"/>
        <v>-1.7654442546861659E-2</v>
      </c>
      <c r="CM144">
        <v>222</v>
      </c>
      <c r="CN144" s="13">
        <f t="shared" si="410"/>
        <v>1.8348623853210899E-2</v>
      </c>
      <c r="CO144" s="1">
        <v>251941.79400485981</v>
      </c>
      <c r="CP144" s="13">
        <v>-2.3433195218136582E-5</v>
      </c>
      <c r="CQ144">
        <v>240</v>
      </c>
      <c r="CR144" s="13">
        <v>8.1081081081081141E-2</v>
      </c>
      <c r="CS144" s="1">
        <v>249493.2629398056</v>
      </c>
      <c r="CT144" s="13">
        <f t="shared" si="342"/>
        <v>-9.7186378890632419E-3</v>
      </c>
      <c r="CU144">
        <v>286</v>
      </c>
      <c r="CV144" s="13">
        <f t="shared" si="343"/>
        <v>0.19166666666666665</v>
      </c>
      <c r="CW144" s="1">
        <v>245947.4034920889</v>
      </c>
      <c r="CX144" s="13">
        <f t="shared" si="344"/>
        <v>-1.4212245276427393E-2</v>
      </c>
      <c r="CY144">
        <v>298</v>
      </c>
      <c r="CZ144" s="13">
        <f t="shared" si="345"/>
        <v>4.195804195804187E-2</v>
      </c>
      <c r="DA144" s="1">
        <v>244916.0261808481</v>
      </c>
      <c r="DB144" s="13">
        <f t="shared" si="346"/>
        <v>-4.1934872927982259E-3</v>
      </c>
      <c r="DC144">
        <v>302</v>
      </c>
      <c r="DD144" s="13">
        <f t="shared" si="347"/>
        <v>1.3422818791946289E-2</v>
      </c>
      <c r="DE144" s="1">
        <v>245651.16990777801</v>
      </c>
      <c r="DF144" s="13">
        <f t="shared" si="348"/>
        <v>3.0016154450711596E-3</v>
      </c>
      <c r="DG144" s="1">
        <v>284</v>
      </c>
      <c r="DH144" s="13">
        <f t="shared" si="349"/>
        <v>-5.9602649006622488E-2</v>
      </c>
      <c r="DI144" s="1">
        <v>243201.11764513911</v>
      </c>
      <c r="DJ144" s="13">
        <f t="shared" si="350"/>
        <v>-9.9737048415389218E-3</v>
      </c>
      <c r="DK144" s="1">
        <v>278</v>
      </c>
      <c r="DL144" s="13">
        <f t="shared" si="351"/>
        <v>-2.1126760563380254E-2</v>
      </c>
      <c r="DM144" s="1">
        <v>240450.83195391699</v>
      </c>
      <c r="DN144" s="13">
        <f t="shared" si="352"/>
        <v>-1.1308688536683209E-2</v>
      </c>
      <c r="DO144" s="1">
        <v>288</v>
      </c>
      <c r="DP144" s="13">
        <f t="shared" si="353"/>
        <v>3.5971223021582732E-2</v>
      </c>
      <c r="DQ144" s="1">
        <v>240800.9573005639</v>
      </c>
      <c r="DR144" s="13">
        <f t="shared" si="354"/>
        <v>1.4561203377911891E-3</v>
      </c>
      <c r="DS144">
        <v>297</v>
      </c>
      <c r="DT144" s="13">
        <f t="shared" si="355"/>
        <v>3.125E-2</v>
      </c>
      <c r="DU144" s="1">
        <v>241751.73607308281</v>
      </c>
      <c r="DV144" s="13">
        <f t="shared" si="356"/>
        <v>3.948401132526147E-3</v>
      </c>
      <c r="DW144">
        <v>290</v>
      </c>
      <c r="DX144" s="13">
        <f t="shared" si="357"/>
        <v>-2.3569023569023573E-2</v>
      </c>
      <c r="DY144" s="1">
        <v>242544.8389793302</v>
      </c>
      <c r="DZ144" s="13">
        <f t="shared" si="358"/>
        <v>3.2806503032005718E-3</v>
      </c>
      <c r="EA144" s="1">
        <v>292</v>
      </c>
      <c r="EB144" s="13">
        <f t="shared" si="359"/>
        <v>6.8965517241379448E-3</v>
      </c>
      <c r="EC144" s="1">
        <v>242168.61750858411</v>
      </c>
      <c r="ED144" s="13">
        <f t="shared" si="360"/>
        <v>-1.5511419345358712E-3</v>
      </c>
      <c r="EE144" s="1">
        <f>IFERROR(VLOOKUP($A144,[1]Москва_продажа_районы!$C$2:$F$148,2,0),"")</f>
        <v>287</v>
      </c>
      <c r="EF144" s="13">
        <v>-1.7123287671232834E-2</v>
      </c>
      <c r="EG144" s="1">
        <v>246792.00572331159</v>
      </c>
      <c r="EH144" s="13">
        <f t="shared" si="361"/>
        <v>1.9091607584387438E-2</v>
      </c>
      <c r="EI144" s="1">
        <f>IFERROR(VLOOKUP($A144,[2]Москва_продажа_районы!$C$2:$F$150,2,0),"")</f>
        <v>262</v>
      </c>
      <c r="EJ144" s="13">
        <v>-8.710801393728218E-2</v>
      </c>
      <c r="EK144" s="1">
        <v>250019.55542698951</v>
      </c>
      <c r="EL144" s="13">
        <f t="shared" si="362"/>
        <v>1.3078015611641902E-2</v>
      </c>
      <c r="EM144">
        <v>238</v>
      </c>
      <c r="EN144" s="13">
        <f t="shared" si="363"/>
        <v>-9.1603053435114545E-2</v>
      </c>
      <c r="EO144" s="1">
        <v>254351.1011106995</v>
      </c>
      <c r="EP144" s="13">
        <f t="shared" si="364"/>
        <v>1.7324827557238409E-2</v>
      </c>
      <c r="EQ144">
        <v>210</v>
      </c>
      <c r="ER144" s="13">
        <f t="shared" si="365"/>
        <v>-0.11764705882352944</v>
      </c>
      <c r="ES144" s="183">
        <v>255967.50273210151</v>
      </c>
      <c r="ET144" s="13">
        <f t="shared" si="366"/>
        <v>6.3550014697932866E-3</v>
      </c>
      <c r="EU144">
        <v>205</v>
      </c>
      <c r="EV144" s="13">
        <f t="shared" si="367"/>
        <v>-2.3809523809523836E-2</v>
      </c>
      <c r="EW144" s="183">
        <v>262871.55418195907</v>
      </c>
      <c r="EX144" s="13">
        <f t="shared" si="368"/>
        <v>2.6972374915433805E-2</v>
      </c>
      <c r="EY144">
        <v>193</v>
      </c>
      <c r="EZ144" s="13">
        <f t="shared" si="369"/>
        <v>-5.8536585365853711E-2</v>
      </c>
      <c r="FA144" s="1">
        <v>261527.72630923241</v>
      </c>
      <c r="FB144" s="13">
        <f t="shared" si="370"/>
        <v>-5.1121083713624449E-3</v>
      </c>
      <c r="FC144" s="1">
        <v>190</v>
      </c>
      <c r="FD144" s="13">
        <f t="shared" si="371"/>
        <v>-1.5544041450777257E-2</v>
      </c>
      <c r="FE144" s="1">
        <v>266586.09688291769</v>
      </c>
      <c r="FF144" s="13">
        <f t="shared" si="372"/>
        <v>1.9341622569318817E-2</v>
      </c>
      <c r="FG144" s="1">
        <v>186</v>
      </c>
      <c r="FH144" s="13">
        <f t="shared" si="373"/>
        <v>-2.1052631578947323E-2</v>
      </c>
      <c r="FI144" s="1">
        <v>266070.71715539438</v>
      </c>
      <c r="FJ144" s="13">
        <f t="shared" si="374"/>
        <v>-1.9332580864097615E-3</v>
      </c>
      <c r="FK144" s="1">
        <v>210</v>
      </c>
      <c r="FL144" s="13">
        <f t="shared" si="375"/>
        <v>0.12903225806451624</v>
      </c>
      <c r="FM144" s="1">
        <v>264164.78974787053</v>
      </c>
      <c r="FN144" s="13">
        <f t="shared" si="376"/>
        <v>-7.1632362550093642E-3</v>
      </c>
      <c r="FO144" s="1">
        <v>214</v>
      </c>
      <c r="FP144" s="13">
        <f t="shared" si="377"/>
        <v>1.904761904761898E-2</v>
      </c>
      <c r="FQ144" s="1">
        <v>266037.591333649</v>
      </c>
      <c r="FR144" s="13">
        <f t="shared" si="378"/>
        <v>7.0895200967773242E-3</v>
      </c>
      <c r="FS144">
        <v>239</v>
      </c>
      <c r="FT144" s="13">
        <f t="shared" si="379"/>
        <v>0.11682242990654212</v>
      </c>
      <c r="FU144" s="1">
        <v>263314.34927648079</v>
      </c>
      <c r="FV144" s="13">
        <f t="shared" si="380"/>
        <v>-1.0236305491703512E-2</v>
      </c>
      <c r="FW144" s="1">
        <v>232</v>
      </c>
      <c r="FX144" s="13">
        <f t="shared" si="381"/>
        <v>-2.9288702928870314E-2</v>
      </c>
      <c r="FY144" s="1">
        <v>266544.83262670232</v>
      </c>
      <c r="FZ144" s="13">
        <f t="shared" si="382"/>
        <v>1.2268542747852829E-2</v>
      </c>
      <c r="GA144" s="1">
        <v>249</v>
      </c>
      <c r="GB144" s="13">
        <f t="shared" si="383"/>
        <v>7.3275862068965525E-2</v>
      </c>
      <c r="GC144" s="1">
        <v>266788.03681923781</v>
      </c>
      <c r="GD144" s="13">
        <f t="shared" si="384"/>
        <v>9.1243259206641447E-4</v>
      </c>
      <c r="GE144" s="1">
        <v>273</v>
      </c>
      <c r="GF144" s="13">
        <f t="shared" si="385"/>
        <v>9.6385542168674787E-2</v>
      </c>
      <c r="GG144" s="1">
        <f>IFERROR(VLOOKUP(A144,[3]Москва_продажа_районы!$C$2:$F$149,3,0),"")</f>
        <v>267738.02686491219</v>
      </c>
      <c r="GH144" s="13">
        <v>3.5608419965174054E-3</v>
      </c>
      <c r="GI144" s="1">
        <v>269</v>
      </c>
      <c r="GJ144" s="13">
        <f t="shared" si="386"/>
        <v>-1.46520146520146E-2</v>
      </c>
      <c r="GK144" s="1">
        <v>267049.50999888632</v>
      </c>
      <c r="GL144" s="13">
        <f t="shared" si="387"/>
        <v>-2.5716065591731008E-3</v>
      </c>
      <c r="GM144" s="1">
        <v>276</v>
      </c>
      <c r="GN144" s="13">
        <f t="shared" si="388"/>
        <v>2.6022304832713727E-2</v>
      </c>
      <c r="GO144" s="1">
        <v>266771.55097384832</v>
      </c>
      <c r="GP144" s="13">
        <f t="shared" si="389"/>
        <v>-1.0408520316669279E-3</v>
      </c>
      <c r="GQ144" s="1">
        <v>262.14999999999998</v>
      </c>
      <c r="GR144" s="13">
        <f t="shared" si="390"/>
        <v>-5.0181159420289889E-2</v>
      </c>
      <c r="GS144" s="1">
        <v>266293.48284710891</v>
      </c>
      <c r="GT144" s="13">
        <f t="shared" si="411"/>
        <v>-1.7920506328138464E-3</v>
      </c>
      <c r="GU144">
        <v>278</v>
      </c>
      <c r="GV144" s="13">
        <f t="shared" si="412"/>
        <v>6.0461567804692029E-2</v>
      </c>
      <c r="GW144">
        <v>266573.08922347438</v>
      </c>
      <c r="GX144" s="13">
        <f t="shared" si="391"/>
        <v>1.0499933133023553E-3</v>
      </c>
      <c r="GY144">
        <v>252</v>
      </c>
      <c r="GZ144" s="13">
        <f t="shared" si="392"/>
        <v>-9.3525179856115082E-2</v>
      </c>
      <c r="HA144">
        <v>270479.67774693941</v>
      </c>
      <c r="HB144" s="13">
        <v>1.4654849575570061E-2</v>
      </c>
      <c r="HC144">
        <v>222</v>
      </c>
      <c r="HD144" s="13">
        <v>-0.11904761904761907</v>
      </c>
      <c r="HE144">
        <v>270710.70632200089</v>
      </c>
      <c r="HF144" s="13">
        <v>8.5414393046434611E-4</v>
      </c>
      <c r="HG144">
        <v>245</v>
      </c>
      <c r="HH144" s="13">
        <v>0.10360360360360366</v>
      </c>
      <c r="HI144">
        <f>VLOOKUP(A144,[4]Москва_продажа_районы!$C$4:$F$151,3,0)</f>
        <v>276498.32560118352</v>
      </c>
      <c r="HJ144" s="13">
        <f t="shared" si="393"/>
        <v>2.1379351255869761E-2</v>
      </c>
      <c r="HK144">
        <f>VLOOKUP(A144,[4]Москва_продажа_районы!$C$4:$F$151,2,0)</f>
        <v>215</v>
      </c>
      <c r="HL144" s="13">
        <f t="shared" si="394"/>
        <v>-0.12244897959183676</v>
      </c>
      <c r="HM144" s="1">
        <f>VLOOKUP(A144,Лист3!$C$4:$F$149,3,0)</f>
        <v>272547.47661016311</v>
      </c>
      <c r="HN144" s="13">
        <f t="shared" si="395"/>
        <v>-1.4288871306653239E-2</v>
      </c>
      <c r="HO144">
        <f>VLOOKUP(A144,Лист3!$C$4:$F$149,2,0)</f>
        <v>201</v>
      </c>
      <c r="HP144" s="13">
        <f t="shared" si="396"/>
        <v>-6.5116279069767469E-2</v>
      </c>
      <c r="HQ144" s="1">
        <v>271185.49549396063</v>
      </c>
      <c r="HR144" s="13">
        <v>-4.9972251922574262E-3</v>
      </c>
      <c r="HS144">
        <v>214</v>
      </c>
      <c r="HT144" s="13">
        <v>6.4676616915422924E-2</v>
      </c>
      <c r="HU144" s="34">
        <v>271414.65288339742</v>
      </c>
      <c r="HV144" s="13">
        <v>8.4502081875492685E-4</v>
      </c>
      <c r="HW144">
        <v>187</v>
      </c>
      <c r="HX144" s="13">
        <v>-0.12616822429906538</v>
      </c>
      <c r="HY144">
        <v>275024.18649184413</v>
      </c>
      <c r="HZ144" s="13">
        <v>1.3298963670901776E-2</v>
      </c>
      <c r="IA144">
        <v>208</v>
      </c>
      <c r="IB144" s="13">
        <v>0.11229946524064172</v>
      </c>
      <c r="IC144" s="34">
        <v>278820.55434555851</v>
      </c>
      <c r="ID144" s="13">
        <v>1.3803759960678841E-2</v>
      </c>
      <c r="IE144">
        <v>202</v>
      </c>
      <c r="IF144" s="13">
        <v>-2.8846153846153855E-2</v>
      </c>
    </row>
    <row r="145" spans="1:240" x14ac:dyDescent="0.3">
      <c r="A145" s="23" t="s">
        <v>146</v>
      </c>
      <c r="B145" s="22">
        <v>185448.80216907631</v>
      </c>
      <c r="C145">
        <v>249</v>
      </c>
      <c r="D145" s="22">
        <v>187875.61891185193</v>
      </c>
      <c r="E145">
        <v>270</v>
      </c>
      <c r="F145" s="22">
        <v>190603.06777371131</v>
      </c>
      <c r="G145">
        <v>194</v>
      </c>
      <c r="H145" s="22">
        <v>190045.71816695385</v>
      </c>
      <c r="I145">
        <v>200</v>
      </c>
      <c r="J145" s="22">
        <v>186875.88564167474</v>
      </c>
      <c r="K145">
        <v>244</v>
      </c>
      <c r="L145" s="22">
        <v>187371.64128752073</v>
      </c>
      <c r="M145">
        <v>228</v>
      </c>
      <c r="N145" s="22">
        <v>190854.85245374165</v>
      </c>
      <c r="O145" s="28">
        <v>216</v>
      </c>
      <c r="P145" s="39">
        <v>196907.06295659157</v>
      </c>
      <c r="Q145" s="28">
        <v>215</v>
      </c>
      <c r="R145" s="39">
        <v>201547.88259949736</v>
      </c>
      <c r="S145">
        <v>179</v>
      </c>
      <c r="T145" s="46">
        <v>206898.06588821858</v>
      </c>
      <c r="U145" s="47">
        <v>167</v>
      </c>
      <c r="V145" s="56">
        <v>209814.32198103459</v>
      </c>
      <c r="W145" s="47">
        <v>142</v>
      </c>
      <c r="X145" s="56">
        <v>211246.25501476531</v>
      </c>
      <c r="Y145" s="47">
        <v>107</v>
      </c>
      <c r="Z145" s="34">
        <v>210785.29848066653</v>
      </c>
      <c r="AA145" s="81">
        <v>119</v>
      </c>
      <c r="AB145" s="1">
        <v>215850.56233438</v>
      </c>
      <c r="AC145" s="1">
        <v>136</v>
      </c>
      <c r="AD145" s="1">
        <v>229195.04695222119</v>
      </c>
      <c r="AE145">
        <v>160</v>
      </c>
      <c r="AF145" s="13">
        <f t="shared" si="341"/>
        <v>8.4966201820720233E-2</v>
      </c>
      <c r="AG145" s="85">
        <f t="shared" si="413"/>
        <v>4.3149946062567425E-2</v>
      </c>
      <c r="AH145" s="35">
        <f t="shared" si="414"/>
        <v>8.6299892125134843</v>
      </c>
      <c r="AI145" s="87">
        <f t="shared" si="415"/>
        <v>168.62998921251349</v>
      </c>
      <c r="AL145" s="1">
        <v>231996.56758720949</v>
      </c>
      <c r="AM145">
        <v>181</v>
      </c>
      <c r="AN145" s="13">
        <f t="shared" si="416"/>
        <v>4.6055979643765906E-2</v>
      </c>
      <c r="AQ145">
        <f t="shared" si="417"/>
        <v>8</v>
      </c>
      <c r="AR145" s="90">
        <f t="shared" si="418"/>
        <v>189</v>
      </c>
      <c r="AS145">
        <v>172</v>
      </c>
      <c r="AT145" s="1">
        <v>237338.8746233866</v>
      </c>
      <c r="AU145" s="13">
        <f t="shared" si="419"/>
        <v>2.3027526190312564E-2</v>
      </c>
      <c r="AV145" s="35">
        <v>163</v>
      </c>
      <c r="AW145" s="1">
        <v>240741.73640854229</v>
      </c>
      <c r="AX145" s="35">
        <v>178.11340996168582</v>
      </c>
      <c r="AY145" s="121">
        <v>241719.8891280375</v>
      </c>
      <c r="AZ145" s="122">
        <v>187</v>
      </c>
      <c r="BA145" s="119">
        <v>244514.06158401471</v>
      </c>
      <c r="BB145">
        <v>158</v>
      </c>
      <c r="BC145" s="13">
        <f t="shared" si="420"/>
        <v>1.1559547152105276E-2</v>
      </c>
      <c r="BD145">
        <v>182</v>
      </c>
      <c r="BE145" s="1">
        <v>246037.27066759521</v>
      </c>
      <c r="BF145" s="13">
        <f t="shared" si="397"/>
        <v>6.2295357318626898E-3</v>
      </c>
      <c r="BG145">
        <v>178</v>
      </c>
      <c r="BH145" s="1">
        <v>252621.36719255871</v>
      </c>
      <c r="BI145" s="13">
        <f t="shared" si="267"/>
        <v>2.6760565613080711E-2</v>
      </c>
      <c r="BJ145">
        <v>170</v>
      </c>
      <c r="BK145" s="1">
        <v>251251.8058111908</v>
      </c>
      <c r="BL145" s="13">
        <f t="shared" si="398"/>
        <v>-5.4213996091786454E-3</v>
      </c>
      <c r="BM145" s="1">
        <v>258401.87807843811</v>
      </c>
      <c r="BN145" s="109">
        <f t="shared" si="399"/>
        <v>2.8457794538680359E-2</v>
      </c>
      <c r="BO145">
        <v>142</v>
      </c>
      <c r="BP145" s="13">
        <f t="shared" si="400"/>
        <v>-0.16470588235294115</v>
      </c>
      <c r="BQ145" s="1">
        <v>262271.33439360099</v>
      </c>
      <c r="BR145" s="13">
        <f t="shared" si="339"/>
        <v>1.4974567305537478E-2</v>
      </c>
      <c r="BS145">
        <v>163</v>
      </c>
      <c r="BT145" s="13">
        <f t="shared" si="340"/>
        <v>0.147887323943662</v>
      </c>
      <c r="BU145" s="1">
        <v>277370.37286746252</v>
      </c>
      <c r="BV145" s="13">
        <f t="shared" si="401"/>
        <v>5.7570296459474202E-2</v>
      </c>
      <c r="BW145">
        <v>163</v>
      </c>
      <c r="BX145" s="13">
        <f t="shared" si="402"/>
        <v>0</v>
      </c>
      <c r="BY145" s="1">
        <v>284059.90719825728</v>
      </c>
      <c r="BZ145" s="13">
        <f t="shared" si="403"/>
        <v>2.4117695994846811E-2</v>
      </c>
      <c r="CA145">
        <v>129</v>
      </c>
      <c r="CB145" s="13">
        <f t="shared" si="404"/>
        <v>-0.20858895705521474</v>
      </c>
      <c r="CC145" s="1">
        <v>273969.1605951534</v>
      </c>
      <c r="CD145" s="13">
        <f t="shared" si="405"/>
        <v>-3.5523304582582682E-2</v>
      </c>
      <c r="CE145">
        <v>131</v>
      </c>
      <c r="CF145" s="13">
        <f t="shared" si="406"/>
        <v>1.5503875968992276E-2</v>
      </c>
      <c r="CG145" s="1">
        <v>276197.04204101348</v>
      </c>
      <c r="CH145" s="13">
        <f t="shared" si="407"/>
        <v>8.1318694447958251E-3</v>
      </c>
      <c r="CI145">
        <v>160</v>
      </c>
      <c r="CJ145" s="13">
        <f t="shared" si="408"/>
        <v>0.22137404580152675</v>
      </c>
      <c r="CK145" s="1">
        <v>276112.62743909238</v>
      </c>
      <c r="CL145" s="13">
        <f t="shared" si="409"/>
        <v>-3.0563181016463048E-4</v>
      </c>
      <c r="CM145">
        <v>191</v>
      </c>
      <c r="CN145" s="13">
        <f t="shared" si="410"/>
        <v>0.19375000000000009</v>
      </c>
      <c r="CO145" s="1">
        <v>270107.06575910823</v>
      </c>
      <c r="CP145" s="13">
        <v>-2.1750405751757684E-2</v>
      </c>
      <c r="CQ145">
        <v>213</v>
      </c>
      <c r="CR145" s="13">
        <v>0.11518324607329844</v>
      </c>
      <c r="CS145" s="1">
        <v>267420.23730114399</v>
      </c>
      <c r="CT145" s="13">
        <f t="shared" si="342"/>
        <v>-9.9472720212379073E-3</v>
      </c>
      <c r="CU145">
        <v>248</v>
      </c>
      <c r="CV145" s="13">
        <f t="shared" si="343"/>
        <v>0.16431924882629101</v>
      </c>
      <c r="CW145" s="1">
        <v>263721.06449311803</v>
      </c>
      <c r="CX145" s="13">
        <f t="shared" si="344"/>
        <v>-1.3832808037861022E-2</v>
      </c>
      <c r="CY145">
        <v>244</v>
      </c>
      <c r="CZ145" s="13">
        <f t="shared" si="345"/>
        <v>-1.6129032258064502E-2</v>
      </c>
      <c r="DA145" s="1">
        <v>261607.85873000379</v>
      </c>
      <c r="DB145" s="13">
        <f t="shared" si="346"/>
        <v>-8.0130336466519569E-3</v>
      </c>
      <c r="DC145">
        <v>226</v>
      </c>
      <c r="DD145" s="13">
        <f t="shared" si="347"/>
        <v>-7.3770491803278659E-2</v>
      </c>
      <c r="DE145" s="1">
        <v>257548.34541374611</v>
      </c>
      <c r="DF145" s="13">
        <f t="shared" si="348"/>
        <v>-1.5517551100968086E-2</v>
      </c>
      <c r="DG145" s="1">
        <v>200</v>
      </c>
      <c r="DH145" s="13">
        <f t="shared" si="349"/>
        <v>-0.11504424778761058</v>
      </c>
      <c r="DI145" s="1">
        <v>256618.90556613961</v>
      </c>
      <c r="DJ145" s="13">
        <f t="shared" si="350"/>
        <v>-3.608797587549506E-3</v>
      </c>
      <c r="DK145" s="1">
        <v>182</v>
      </c>
      <c r="DL145" s="13">
        <f t="shared" si="351"/>
        <v>-8.9999999999999969E-2</v>
      </c>
      <c r="DM145" s="1">
        <v>253357.88093647361</v>
      </c>
      <c r="DN145" s="13">
        <f t="shared" si="352"/>
        <v>-1.2707655433537468E-2</v>
      </c>
      <c r="DO145" s="1">
        <v>199</v>
      </c>
      <c r="DP145" s="13">
        <f t="shared" si="353"/>
        <v>9.3406593406593297E-2</v>
      </c>
      <c r="DQ145" s="1">
        <v>256148.60937886339</v>
      </c>
      <c r="DR145" s="13">
        <f t="shared" si="354"/>
        <v>1.1014965992273584E-2</v>
      </c>
      <c r="DS145">
        <v>207</v>
      </c>
      <c r="DT145" s="13">
        <f t="shared" si="355"/>
        <v>4.020100502512558E-2</v>
      </c>
      <c r="DU145" s="1">
        <v>257472.63889694511</v>
      </c>
      <c r="DV145" s="13">
        <f t="shared" si="356"/>
        <v>5.1689896786570877E-3</v>
      </c>
      <c r="DW145">
        <v>203</v>
      </c>
      <c r="DX145" s="13">
        <f t="shared" si="357"/>
        <v>-1.9323671497584516E-2</v>
      </c>
      <c r="DY145" s="1">
        <v>261906.72040150169</v>
      </c>
      <c r="DZ145" s="13">
        <f t="shared" si="358"/>
        <v>1.7221563905015058E-2</v>
      </c>
      <c r="EA145" s="1">
        <v>224</v>
      </c>
      <c r="EB145" s="13">
        <f t="shared" si="359"/>
        <v>0.10344827586206895</v>
      </c>
      <c r="EC145" s="1">
        <v>273892.4545623982</v>
      </c>
      <c r="ED145" s="13">
        <f t="shared" si="360"/>
        <v>4.5763370036944639E-2</v>
      </c>
      <c r="EE145" s="1">
        <f>IFERROR(VLOOKUP($A145,[1]Москва_продажа_районы!$C$2:$F$148,2,0),"")</f>
        <v>232</v>
      </c>
      <c r="EF145" s="13">
        <v>3.5714285714285809E-2</v>
      </c>
      <c r="EG145" s="1">
        <v>273449.68389473378</v>
      </c>
      <c r="EH145" s="13">
        <f t="shared" si="361"/>
        <v>-1.6165858543706335E-3</v>
      </c>
      <c r="EI145" s="1">
        <f>IFERROR(VLOOKUP($A145,[2]Москва_продажа_районы!$C$2:$F$150,2,0),"")</f>
        <v>224</v>
      </c>
      <c r="EJ145" s="13">
        <v>-3.4482758620689613E-2</v>
      </c>
      <c r="EK145" s="1">
        <v>269355.74286233762</v>
      </c>
      <c r="EL145" s="13">
        <f t="shared" si="362"/>
        <v>-1.4971460102225387E-2</v>
      </c>
      <c r="EM145">
        <v>212</v>
      </c>
      <c r="EN145" s="13">
        <f t="shared" si="363"/>
        <v>-5.3571428571428603E-2</v>
      </c>
      <c r="EO145" s="1">
        <v>272803.36037012161</v>
      </c>
      <c r="EP145" s="13">
        <f t="shared" si="364"/>
        <v>1.2799495088344992E-2</v>
      </c>
      <c r="EQ145">
        <v>198</v>
      </c>
      <c r="ER145" s="13">
        <f t="shared" si="365"/>
        <v>-6.6037735849056589E-2</v>
      </c>
      <c r="ES145" s="183">
        <v>277041.34637213399</v>
      </c>
      <c r="ET145" s="13">
        <f t="shared" si="366"/>
        <v>1.5534947942952737E-2</v>
      </c>
      <c r="EU145">
        <v>159</v>
      </c>
      <c r="EV145" s="13">
        <f t="shared" si="367"/>
        <v>-0.19696969696969702</v>
      </c>
      <c r="EW145" s="183">
        <v>283054.41368511639</v>
      </c>
      <c r="EX145" s="13">
        <f t="shared" si="368"/>
        <v>2.17045845023629E-2</v>
      </c>
      <c r="EY145">
        <v>155</v>
      </c>
      <c r="EZ145" s="13">
        <f t="shared" si="369"/>
        <v>-2.515723270440251E-2</v>
      </c>
      <c r="FA145" s="1">
        <v>285666.08765899407</v>
      </c>
      <c r="FB145" s="13">
        <f t="shared" si="370"/>
        <v>9.2267558731058408E-3</v>
      </c>
      <c r="FC145" s="1">
        <v>138</v>
      </c>
      <c r="FD145" s="13">
        <f t="shared" si="371"/>
        <v>-0.10967741935483866</v>
      </c>
      <c r="FE145" s="1">
        <v>283315.94716187852</v>
      </c>
      <c r="FF145" s="13">
        <f t="shared" si="372"/>
        <v>-8.2268795584898857E-3</v>
      </c>
      <c r="FG145" s="1">
        <v>144</v>
      </c>
      <c r="FH145" s="13">
        <f t="shared" si="373"/>
        <v>4.3478260869565188E-2</v>
      </c>
      <c r="FI145" s="1">
        <v>288108.67013722891</v>
      </c>
      <c r="FJ145" s="13">
        <f t="shared" si="374"/>
        <v>1.6916530902554516E-2</v>
      </c>
      <c r="FK145" s="1">
        <v>158</v>
      </c>
      <c r="FL145" s="13">
        <f t="shared" si="375"/>
        <v>9.7222222222222321E-2</v>
      </c>
      <c r="FM145" s="1">
        <v>291813.8949933938</v>
      </c>
      <c r="FN145" s="13">
        <f t="shared" si="376"/>
        <v>1.2860511467426727E-2</v>
      </c>
      <c r="FO145" s="1">
        <v>179</v>
      </c>
      <c r="FP145" s="13">
        <f t="shared" si="377"/>
        <v>0.13291139240506333</v>
      </c>
      <c r="FQ145" s="1">
        <v>293988.25108467182</v>
      </c>
      <c r="FR145" s="13">
        <f t="shared" si="378"/>
        <v>7.4511739453915204E-3</v>
      </c>
      <c r="FS145">
        <v>193</v>
      </c>
      <c r="FT145" s="13">
        <f t="shared" si="379"/>
        <v>7.8212290502793325E-2</v>
      </c>
      <c r="FU145" s="1">
        <v>292152.61320491222</v>
      </c>
      <c r="FV145" s="13">
        <f t="shared" si="380"/>
        <v>-6.2439157789027089E-3</v>
      </c>
      <c r="FW145" s="1">
        <v>194</v>
      </c>
      <c r="FX145" s="13">
        <f t="shared" si="381"/>
        <v>5.1813471502590858E-3</v>
      </c>
      <c r="FY145" s="1">
        <v>291094.44801606413</v>
      </c>
      <c r="FZ145" s="13">
        <f t="shared" si="382"/>
        <v>-3.6219603762569497E-3</v>
      </c>
      <c r="GA145" s="1">
        <v>196</v>
      </c>
      <c r="GB145" s="13">
        <f t="shared" si="383"/>
        <v>1.0309278350515427E-2</v>
      </c>
      <c r="GC145" s="1">
        <v>291351.24778261042</v>
      </c>
      <c r="GD145" s="13">
        <f t="shared" si="384"/>
        <v>8.8218709871146217E-4</v>
      </c>
      <c r="GE145" s="1">
        <v>189</v>
      </c>
      <c r="GF145" s="13">
        <f t="shared" si="385"/>
        <v>-3.5714285714285698E-2</v>
      </c>
      <c r="GG145" s="1">
        <f>IFERROR(VLOOKUP(A145,[3]Москва_продажа_районы!$C$2:$F$149,3,0),"")</f>
        <v>288970.1913711722</v>
      </c>
      <c r="GH145" s="13">
        <v>-8.1724599759216421E-3</v>
      </c>
      <c r="GI145" s="1">
        <v>187</v>
      </c>
      <c r="GJ145" s="13">
        <f t="shared" si="386"/>
        <v>-1.0582010582010581E-2</v>
      </c>
      <c r="GK145" s="1">
        <v>288006.75106175733</v>
      </c>
      <c r="GL145" s="13">
        <f t="shared" si="387"/>
        <v>-3.3340473799159387E-3</v>
      </c>
      <c r="GM145" s="1">
        <v>192</v>
      </c>
      <c r="GN145" s="13">
        <f t="shared" si="388"/>
        <v>2.673796791443861E-2</v>
      </c>
      <c r="GO145" s="1">
        <v>284554.72922779428</v>
      </c>
      <c r="GP145" s="13">
        <f t="shared" si="389"/>
        <v>-1.198590595962401E-2</v>
      </c>
      <c r="GQ145" s="1">
        <v>202.23</v>
      </c>
      <c r="GR145" s="13">
        <f t="shared" si="390"/>
        <v>5.3281249999999947E-2</v>
      </c>
      <c r="GS145" s="1">
        <v>290102.93035479198</v>
      </c>
      <c r="GT145" s="13">
        <f t="shared" si="411"/>
        <v>1.9497834887699961E-2</v>
      </c>
      <c r="GU145">
        <v>194</v>
      </c>
      <c r="GV145" s="13">
        <f t="shared" si="412"/>
        <v>-4.069623695791913E-2</v>
      </c>
      <c r="GW145">
        <v>294891.97130207648</v>
      </c>
      <c r="GX145" s="13">
        <f t="shared" si="391"/>
        <v>1.6508075052628968E-2</v>
      </c>
      <c r="GY145">
        <v>186</v>
      </c>
      <c r="GZ145" s="13">
        <f t="shared" si="392"/>
        <v>-4.123711340206182E-2</v>
      </c>
      <c r="HA145">
        <v>294892.67279691942</v>
      </c>
      <c r="HB145" s="13">
        <v>2.3788197414109646E-6</v>
      </c>
      <c r="HC145">
        <v>175</v>
      </c>
      <c r="HD145" s="13">
        <v>-5.9139784946236507E-2</v>
      </c>
      <c r="HE145">
        <v>297174.3341312948</v>
      </c>
      <c r="HF145" s="13">
        <v>7.7372601792200513E-3</v>
      </c>
      <c r="HG145">
        <v>179</v>
      </c>
      <c r="HH145" s="13">
        <v>2.2857142857142909E-2</v>
      </c>
      <c r="HI145">
        <f>VLOOKUP(A145,[4]Москва_продажа_районы!$C$4:$F$151,3,0)</f>
        <v>299846.24539179908</v>
      </c>
      <c r="HJ145" s="13">
        <f t="shared" si="393"/>
        <v>8.9910566076134568E-3</v>
      </c>
      <c r="HK145">
        <f>VLOOKUP(A145,[4]Москва_продажа_районы!$C$4:$F$151,2,0)</f>
        <v>174</v>
      </c>
      <c r="HL145" s="13">
        <f t="shared" si="394"/>
        <v>-2.7932960893854775E-2</v>
      </c>
      <c r="HM145" s="1">
        <f>VLOOKUP(A145,Лист3!$C$4:$F$149,3,0)</f>
        <v>292930.30233449809</v>
      </c>
      <c r="HN145" s="13">
        <f t="shared" si="395"/>
        <v>-2.3064964673024879E-2</v>
      </c>
      <c r="HO145">
        <f>VLOOKUP(A145,Лист3!$C$4:$F$149,2,0)</f>
        <v>167</v>
      </c>
      <c r="HP145" s="13">
        <f t="shared" si="396"/>
        <v>-4.0229885057471271E-2</v>
      </c>
      <c r="HQ145" s="1">
        <v>298018.18906628393</v>
      </c>
      <c r="HR145" s="13">
        <v>1.7368932784481927E-2</v>
      </c>
      <c r="HS145">
        <v>166</v>
      </c>
      <c r="HT145" s="13">
        <v>-5.9880239520958556E-3</v>
      </c>
      <c r="HU145" s="34">
        <v>295308.51789062878</v>
      </c>
      <c r="HV145" s="13">
        <v>-9.0923013261197116E-3</v>
      </c>
      <c r="HW145">
        <v>162</v>
      </c>
      <c r="HX145" s="13">
        <v>-2.4096385542168641E-2</v>
      </c>
      <c r="HY145">
        <v>292189.68784913019</v>
      </c>
      <c r="HZ145" s="13">
        <v>-1.0561260013006724E-2</v>
      </c>
      <c r="IA145">
        <v>181</v>
      </c>
      <c r="IB145" s="13">
        <v>0.11728395061728403</v>
      </c>
      <c r="IC145" s="34">
        <v>296956.42070697207</v>
      </c>
      <c r="ID145" s="13">
        <v>1.6313829871720698E-2</v>
      </c>
      <c r="IE145">
        <v>176</v>
      </c>
      <c r="IF145" s="13">
        <v>-2.7624309392265234E-2</v>
      </c>
    </row>
    <row r="146" spans="1:240" x14ac:dyDescent="0.3">
      <c r="A146" s="23" t="s">
        <v>147</v>
      </c>
      <c r="B146" s="22">
        <v>207221.83762849323</v>
      </c>
      <c r="C146">
        <v>365</v>
      </c>
      <c r="D146" s="22">
        <v>212413.35118638878</v>
      </c>
      <c r="E146">
        <v>360</v>
      </c>
      <c r="F146" s="22">
        <v>214459.39039015738</v>
      </c>
      <c r="G146">
        <v>254</v>
      </c>
      <c r="H146" s="22">
        <v>213316.8101745013</v>
      </c>
      <c r="I146">
        <v>252</v>
      </c>
      <c r="J146" s="22">
        <v>215295.78214594777</v>
      </c>
      <c r="K146">
        <v>299</v>
      </c>
      <c r="L146" s="22">
        <v>215764.36531892797</v>
      </c>
      <c r="M146">
        <v>290</v>
      </c>
      <c r="N146" s="22">
        <v>216136.64607153609</v>
      </c>
      <c r="O146" s="28">
        <v>305</v>
      </c>
      <c r="P146" s="39">
        <v>222263.40303912316</v>
      </c>
      <c r="Q146" s="28">
        <v>301</v>
      </c>
      <c r="R146" s="39">
        <v>225558.25950292993</v>
      </c>
      <c r="S146">
        <v>294</v>
      </c>
      <c r="T146" s="46">
        <v>232230.90589728436</v>
      </c>
      <c r="U146" s="47">
        <v>254</v>
      </c>
      <c r="V146" s="56">
        <v>227966.44545935091</v>
      </c>
      <c r="W146" s="47">
        <v>246</v>
      </c>
      <c r="X146" s="56">
        <v>237621.32747348989</v>
      </c>
      <c r="Y146" s="47">
        <v>237</v>
      </c>
      <c r="Z146" s="34">
        <v>228591.0417929907</v>
      </c>
      <c r="AA146" s="81">
        <v>276</v>
      </c>
      <c r="AB146" s="1">
        <v>247348.54769628361</v>
      </c>
      <c r="AC146" s="1">
        <v>300</v>
      </c>
      <c r="AD146" s="1">
        <v>247523.0360000052</v>
      </c>
      <c r="AE146">
        <v>272</v>
      </c>
      <c r="AF146" s="13">
        <f t="shared" si="341"/>
        <v>4.1670117037873933E-2</v>
      </c>
      <c r="AG146" s="85">
        <f t="shared" si="413"/>
        <v>7.3354908306364611E-2</v>
      </c>
      <c r="AH146" s="35">
        <f t="shared" si="414"/>
        <v>14.670981661272922</v>
      </c>
      <c r="AI146" s="87">
        <f t="shared" si="415"/>
        <v>286.67098166127295</v>
      </c>
      <c r="AL146" s="1">
        <v>252464.201524601</v>
      </c>
      <c r="AM146">
        <v>263</v>
      </c>
      <c r="AN146" s="13">
        <f t="shared" si="416"/>
        <v>6.6921119592875319E-2</v>
      </c>
      <c r="AQ146">
        <f t="shared" si="417"/>
        <v>11</v>
      </c>
      <c r="AR146" s="90">
        <f t="shared" si="418"/>
        <v>274</v>
      </c>
      <c r="AS146">
        <v>261</v>
      </c>
      <c r="AT146" s="1">
        <v>255940.01983008289</v>
      </c>
      <c r="AU146" s="13">
        <f t="shared" si="419"/>
        <v>1.3767568964200949E-2</v>
      </c>
      <c r="AV146" s="35">
        <v>258</v>
      </c>
      <c r="AW146" s="1">
        <v>260908.45238753851</v>
      </c>
      <c r="AX146" s="35">
        <v>281.92183908045979</v>
      </c>
      <c r="AY146" s="121">
        <v>268239.15539113549</v>
      </c>
      <c r="AZ146" s="122">
        <v>271</v>
      </c>
      <c r="BA146" s="119">
        <v>274670.66867694951</v>
      </c>
      <c r="BB146">
        <v>273</v>
      </c>
      <c r="BC146" s="13">
        <f t="shared" si="420"/>
        <v>2.3976787715558778E-2</v>
      </c>
      <c r="BD146">
        <v>281</v>
      </c>
      <c r="BE146" s="1">
        <v>281849.14169970137</v>
      </c>
      <c r="BF146" s="13">
        <f t="shared" si="397"/>
        <v>2.6134836520148141E-2</v>
      </c>
      <c r="BG146">
        <v>283</v>
      </c>
      <c r="BH146" s="1">
        <v>287015.04575706669</v>
      </c>
      <c r="BI146" s="13">
        <f t="shared" si="267"/>
        <v>1.83286137620009E-2</v>
      </c>
      <c r="BJ146">
        <v>280</v>
      </c>
      <c r="BK146" s="1">
        <v>293598.77197341272</v>
      </c>
      <c r="BL146" s="13">
        <f t="shared" si="398"/>
        <v>2.2938610061294717E-2</v>
      </c>
      <c r="BM146" s="1">
        <v>295781.80964942469</v>
      </c>
      <c r="BN146" s="109">
        <f t="shared" si="399"/>
        <v>7.435445527713691E-3</v>
      </c>
      <c r="BO146">
        <v>250</v>
      </c>
      <c r="BP146" s="13">
        <f t="shared" si="400"/>
        <v>-0.1071428571428571</v>
      </c>
      <c r="BQ146" s="1">
        <v>293456.78907999193</v>
      </c>
      <c r="BR146" s="13">
        <f t="shared" si="339"/>
        <v>-7.8605934969039337E-3</v>
      </c>
      <c r="BS146">
        <v>287</v>
      </c>
      <c r="BT146" s="13">
        <f t="shared" si="340"/>
        <v>0.14799999999999991</v>
      </c>
      <c r="BU146" s="1">
        <v>298409.47517176031</v>
      </c>
      <c r="BV146" s="13">
        <f t="shared" si="401"/>
        <v>1.6877054053836771E-2</v>
      </c>
      <c r="BW146">
        <v>269</v>
      </c>
      <c r="BX146" s="13">
        <f t="shared" si="402"/>
        <v>-6.2717770034843245E-2</v>
      </c>
      <c r="BY146" s="1">
        <v>310178.7924686686</v>
      </c>
      <c r="BZ146" s="13">
        <f t="shared" si="403"/>
        <v>3.9440159499406047E-2</v>
      </c>
      <c r="CA146">
        <v>220</v>
      </c>
      <c r="CB146" s="13">
        <f t="shared" si="404"/>
        <v>-0.18215613382899631</v>
      </c>
      <c r="CC146" s="1">
        <v>303987.16426717321</v>
      </c>
      <c r="CD146" s="13">
        <f t="shared" si="405"/>
        <v>-1.9961481415983084E-2</v>
      </c>
      <c r="CE146">
        <v>247</v>
      </c>
      <c r="CF146" s="13">
        <f t="shared" si="406"/>
        <v>0.1227272727272728</v>
      </c>
      <c r="CG146" s="1">
        <v>300329.69115369278</v>
      </c>
      <c r="CH146" s="13">
        <f t="shared" si="407"/>
        <v>-1.2031669568343673E-2</v>
      </c>
      <c r="CI146">
        <v>283</v>
      </c>
      <c r="CJ146" s="13">
        <f t="shared" si="408"/>
        <v>0.14574898785425106</v>
      </c>
      <c r="CK146" s="1">
        <v>299343.36194701528</v>
      </c>
      <c r="CL146" s="13">
        <f t="shared" si="409"/>
        <v>-3.2841548329390902E-3</v>
      </c>
      <c r="CM146">
        <v>288</v>
      </c>
      <c r="CN146" s="13">
        <f t="shared" si="410"/>
        <v>1.7667844522968101E-2</v>
      </c>
      <c r="CO146" s="1">
        <v>298595.42545153073</v>
      </c>
      <c r="CP146" s="13">
        <v>-2.4985905503959183E-3</v>
      </c>
      <c r="CQ146">
        <v>316</v>
      </c>
      <c r="CR146" s="13">
        <v>9.7222222222222321E-2</v>
      </c>
      <c r="CS146" s="1">
        <v>294789.67716702021</v>
      </c>
      <c r="CT146" s="13">
        <f t="shared" si="342"/>
        <v>-1.2745500969264745E-2</v>
      </c>
      <c r="CU146">
        <v>352</v>
      </c>
      <c r="CV146" s="13">
        <f t="shared" si="343"/>
        <v>0.11392405063291133</v>
      </c>
      <c r="CW146" s="1">
        <v>287197.46223033313</v>
      </c>
      <c r="CX146" s="13">
        <f t="shared" si="344"/>
        <v>-2.5754683846631266E-2</v>
      </c>
      <c r="CY146">
        <v>374</v>
      </c>
      <c r="CZ146" s="13">
        <f t="shared" si="345"/>
        <v>6.25E-2</v>
      </c>
      <c r="DA146" s="1">
        <v>285980.93317469239</v>
      </c>
      <c r="DB146" s="13">
        <f t="shared" si="346"/>
        <v>-4.2358628317721303E-3</v>
      </c>
      <c r="DC146">
        <v>359</v>
      </c>
      <c r="DD146" s="13">
        <f t="shared" si="347"/>
        <v>-4.0106951871657803E-2</v>
      </c>
      <c r="DE146" s="1">
        <v>278532.92503604823</v>
      </c>
      <c r="DF146" s="13">
        <f t="shared" si="348"/>
        <v>-2.6043722761386001E-2</v>
      </c>
      <c r="DG146" s="1">
        <v>374</v>
      </c>
      <c r="DH146" s="13">
        <f t="shared" si="349"/>
        <v>4.1782729805013963E-2</v>
      </c>
      <c r="DI146" s="1">
        <v>279812.42499250552</v>
      </c>
      <c r="DJ146" s="13">
        <f t="shared" si="350"/>
        <v>4.593711699583336E-3</v>
      </c>
      <c r="DK146" s="1">
        <v>363</v>
      </c>
      <c r="DL146" s="13">
        <f t="shared" si="351"/>
        <v>-2.9411764705882359E-2</v>
      </c>
      <c r="DM146" s="1">
        <v>282961.95962952188</v>
      </c>
      <c r="DN146" s="13">
        <f t="shared" si="352"/>
        <v>1.125587842319975E-2</v>
      </c>
      <c r="DO146" s="1">
        <v>333</v>
      </c>
      <c r="DP146" s="13">
        <f t="shared" si="353"/>
        <v>-8.2644628099173501E-2</v>
      </c>
      <c r="DQ146" s="1">
        <v>285208.00168171141</v>
      </c>
      <c r="DR146" s="13">
        <f t="shared" si="354"/>
        <v>7.9376113140092741E-3</v>
      </c>
      <c r="DS146">
        <v>367</v>
      </c>
      <c r="DT146" s="13">
        <f t="shared" si="355"/>
        <v>0.10210210210210202</v>
      </c>
      <c r="DU146" s="1">
        <v>285434.03175058862</v>
      </c>
      <c r="DV146" s="13">
        <f t="shared" si="356"/>
        <v>7.9250956335186196E-4</v>
      </c>
      <c r="DW146">
        <v>349</v>
      </c>
      <c r="DX146" s="13">
        <f t="shared" si="357"/>
        <v>-4.9046321525885506E-2</v>
      </c>
      <c r="DY146" s="1">
        <v>293446.25252898881</v>
      </c>
      <c r="DZ146" s="13">
        <f t="shared" si="358"/>
        <v>2.8070306575780801E-2</v>
      </c>
      <c r="EA146" s="1">
        <v>377</v>
      </c>
      <c r="EB146" s="13">
        <f t="shared" si="359"/>
        <v>8.022922636103158E-2</v>
      </c>
      <c r="EC146" s="1">
        <v>294800.23242148862</v>
      </c>
      <c r="ED146" s="13">
        <f t="shared" si="360"/>
        <v>4.6140643502203815E-3</v>
      </c>
      <c r="EE146" s="1">
        <f>IFERROR(VLOOKUP($A146,[1]Москва_продажа_районы!$C$2:$F$148,2,0),"")</f>
        <v>373</v>
      </c>
      <c r="EF146" s="13">
        <v>-1.0610079575596787E-2</v>
      </c>
      <c r="EG146" s="1">
        <v>299360.82905977429</v>
      </c>
      <c r="EH146" s="13">
        <f t="shared" si="361"/>
        <v>1.5470125653650024E-2</v>
      </c>
      <c r="EI146" s="1">
        <f>IFERROR(VLOOKUP($A146,[2]Москва_продажа_районы!$C$2:$F$150,2,0),"")</f>
        <v>336</v>
      </c>
      <c r="EJ146" s="13">
        <v>-9.919571045576403E-2</v>
      </c>
      <c r="EK146" s="1">
        <v>305537.50682593143</v>
      </c>
      <c r="EL146" s="13">
        <f t="shared" si="362"/>
        <v>2.0632885690344605E-2</v>
      </c>
      <c r="EM146">
        <v>317</v>
      </c>
      <c r="EN146" s="13">
        <f t="shared" si="363"/>
        <v>-5.6547619047619069E-2</v>
      </c>
      <c r="EO146" s="1">
        <v>312560.92712279299</v>
      </c>
      <c r="EP146" s="13">
        <f t="shared" si="364"/>
        <v>2.2987096968304144E-2</v>
      </c>
      <c r="EQ146">
        <v>306</v>
      </c>
      <c r="ER146" s="13">
        <f t="shared" si="365"/>
        <v>-3.4700315457413256E-2</v>
      </c>
      <c r="ES146" s="183">
        <v>320231.04317282978</v>
      </c>
      <c r="ET146" s="13">
        <f t="shared" si="366"/>
        <v>2.453958695554892E-2</v>
      </c>
      <c r="EU146">
        <v>279</v>
      </c>
      <c r="EV146" s="13">
        <f t="shared" si="367"/>
        <v>-8.8235294117647078E-2</v>
      </c>
      <c r="EW146" s="183">
        <v>332570.78027347522</v>
      </c>
      <c r="EX146" s="13">
        <f t="shared" si="368"/>
        <v>3.8533856612975592E-2</v>
      </c>
      <c r="EY146">
        <v>273</v>
      </c>
      <c r="EZ146" s="13">
        <f t="shared" si="369"/>
        <v>-2.1505376344086002E-2</v>
      </c>
      <c r="FA146" s="1">
        <v>331771.04990982328</v>
      </c>
      <c r="FB146" s="13">
        <f t="shared" si="370"/>
        <v>-2.4046922071575549E-3</v>
      </c>
      <c r="FC146" s="1">
        <v>241</v>
      </c>
      <c r="FD146" s="13">
        <f t="shared" si="371"/>
        <v>-0.11721611721611724</v>
      </c>
      <c r="FE146" s="1">
        <v>326597.84652800369</v>
      </c>
      <c r="FF146" s="13">
        <f t="shared" si="372"/>
        <v>-1.5592690752329608E-2</v>
      </c>
      <c r="FG146" s="1">
        <v>225</v>
      </c>
      <c r="FH146" s="13">
        <f t="shared" si="373"/>
        <v>-6.639004149377592E-2</v>
      </c>
      <c r="FI146" s="1">
        <v>319564.44089039718</v>
      </c>
      <c r="FJ146" s="13">
        <f t="shared" si="374"/>
        <v>-2.1535370524874087E-2</v>
      </c>
      <c r="FK146" s="1">
        <v>231</v>
      </c>
      <c r="FL146" s="13">
        <f t="shared" si="375"/>
        <v>2.6666666666666616E-2</v>
      </c>
      <c r="FM146" s="1">
        <v>314199.68127234519</v>
      </c>
      <c r="FN146" s="13">
        <f t="shared" si="376"/>
        <v>-1.6787723950462796E-2</v>
      </c>
      <c r="FO146" s="1">
        <v>257</v>
      </c>
      <c r="FP146" s="13">
        <f t="shared" si="377"/>
        <v>0.11255411255411252</v>
      </c>
      <c r="FQ146" s="1">
        <v>315697.83914267761</v>
      </c>
      <c r="FR146" s="13">
        <f t="shared" si="378"/>
        <v>4.7681711969460583E-3</v>
      </c>
      <c r="FS146">
        <v>273</v>
      </c>
      <c r="FT146" s="13">
        <f t="shared" si="379"/>
        <v>6.2256809338521402E-2</v>
      </c>
      <c r="FU146" s="1">
        <v>318856.57900788082</v>
      </c>
      <c r="FV146" s="13">
        <f t="shared" si="380"/>
        <v>1.000557961936388E-2</v>
      </c>
      <c r="FW146" s="1">
        <v>282</v>
      </c>
      <c r="FX146" s="13">
        <f t="shared" si="381"/>
        <v>3.2967032967033072E-2</v>
      </c>
      <c r="FY146" s="1">
        <v>332910.18482908339</v>
      </c>
      <c r="FZ146" s="13">
        <f t="shared" si="382"/>
        <v>4.4075006590518662E-2</v>
      </c>
      <c r="GA146" s="1">
        <v>296</v>
      </c>
      <c r="GB146" s="13">
        <f t="shared" si="383"/>
        <v>4.9645390070921946E-2</v>
      </c>
      <c r="GC146" s="1">
        <v>330966.77465085313</v>
      </c>
      <c r="GD146" s="13">
        <f t="shared" si="384"/>
        <v>-5.8376411019926966E-3</v>
      </c>
      <c r="GE146" s="1">
        <v>280</v>
      </c>
      <c r="GF146" s="13">
        <f t="shared" si="385"/>
        <v>-5.4054054054054057E-2</v>
      </c>
      <c r="GG146" s="1">
        <f>IFERROR(VLOOKUP(A146,[3]Москва_продажа_районы!$C$2:$F$149,3,0),"")</f>
        <v>322479.59292155987</v>
      </c>
      <c r="GH146" s="13">
        <v>-2.5643606486622783E-2</v>
      </c>
      <c r="GI146" s="1">
        <v>258</v>
      </c>
      <c r="GJ146" s="13">
        <f t="shared" si="386"/>
        <v>-7.8571428571428625E-2</v>
      </c>
      <c r="GK146" s="1">
        <v>325264.50839088601</v>
      </c>
      <c r="GL146" s="13">
        <f t="shared" si="387"/>
        <v>8.6359432672800107E-3</v>
      </c>
      <c r="GM146" s="1">
        <v>267</v>
      </c>
      <c r="GN146" s="13">
        <f t="shared" si="388"/>
        <v>3.488372093023262E-2</v>
      </c>
      <c r="GO146" s="1">
        <v>331800.65075082052</v>
      </c>
      <c r="GP146" s="13">
        <f t="shared" si="389"/>
        <v>2.0094852624005677E-2</v>
      </c>
      <c r="GQ146" s="1">
        <v>289.97000000000003</v>
      </c>
      <c r="GR146" s="13">
        <f t="shared" si="390"/>
        <v>8.6029962546816607E-2</v>
      </c>
      <c r="GS146" s="1">
        <v>329774.52179950429</v>
      </c>
      <c r="GT146" s="13">
        <f t="shared" si="411"/>
        <v>-6.1064646700703662E-3</v>
      </c>
      <c r="GU146">
        <v>290</v>
      </c>
      <c r="GV146" s="13">
        <f t="shared" si="412"/>
        <v>1.0345897851493646E-4</v>
      </c>
      <c r="GW146">
        <v>333113.94658141863</v>
      </c>
      <c r="GX146" s="13">
        <f t="shared" si="391"/>
        <v>1.0126388065675451E-2</v>
      </c>
      <c r="GY146">
        <v>246</v>
      </c>
      <c r="GZ146" s="13">
        <f t="shared" si="392"/>
        <v>-0.15172413793103445</v>
      </c>
      <c r="HA146">
        <v>344097.51360623899</v>
      </c>
      <c r="HB146" s="13">
        <v>3.2972402199124895E-2</v>
      </c>
      <c r="HC146">
        <v>226</v>
      </c>
      <c r="HD146" s="13">
        <v>-8.1300813008130079E-2</v>
      </c>
      <c r="HE146">
        <v>340050.08079425618</v>
      </c>
      <c r="HF146" s="13">
        <v>-1.1762458756428007E-2</v>
      </c>
      <c r="HG146">
        <v>278</v>
      </c>
      <c r="HH146" s="13">
        <v>0.23008849557522115</v>
      </c>
      <c r="HI146">
        <f>VLOOKUP(A146,[4]Москва_продажа_районы!$C$4:$F$151,3,0)</f>
        <v>337605.68310621107</v>
      </c>
      <c r="HJ146" s="13">
        <f t="shared" si="393"/>
        <v>-7.188346146943192E-3</v>
      </c>
      <c r="HK146">
        <f>VLOOKUP(A146,[4]Москва_продажа_районы!$C$4:$F$151,2,0)</f>
        <v>282</v>
      </c>
      <c r="HL146" s="13">
        <f t="shared" si="394"/>
        <v>1.4388489208633004E-2</v>
      </c>
      <c r="HM146" s="1">
        <f>VLOOKUP(A146,Лист3!$C$4:$F$149,3,0)</f>
        <v>345231.04794777749</v>
      </c>
      <c r="HN146" s="13">
        <f t="shared" si="395"/>
        <v>2.2586600946428614E-2</v>
      </c>
      <c r="HO146">
        <f>VLOOKUP(A146,Лист3!$C$4:$F$149,2,0)</f>
        <v>259</v>
      </c>
      <c r="HP146" s="13">
        <f t="shared" si="396"/>
        <v>-8.1560283687943214E-2</v>
      </c>
      <c r="HQ146" s="1">
        <v>347711.91862762842</v>
      </c>
      <c r="HR146" s="13">
        <v>7.1861169341471687E-3</v>
      </c>
      <c r="HS146">
        <v>259</v>
      </c>
      <c r="HT146" s="13">
        <v>0</v>
      </c>
      <c r="HU146" s="34">
        <v>346010.49774573039</v>
      </c>
      <c r="HV146" s="13">
        <v>-4.8931911468933498E-3</v>
      </c>
      <c r="HW146">
        <v>232</v>
      </c>
      <c r="HX146" s="13">
        <v>-0.10424710424710426</v>
      </c>
      <c r="HY146">
        <v>342894.26916164148</v>
      </c>
      <c r="HZ146" s="13">
        <v>-9.0061677445951727E-3</v>
      </c>
      <c r="IA146">
        <v>265</v>
      </c>
      <c r="IB146" s="13">
        <v>0.14224137931034475</v>
      </c>
      <c r="IC146" s="34">
        <v>345371.85969629488</v>
      </c>
      <c r="ID146" s="13">
        <v>7.225523309885018E-3</v>
      </c>
      <c r="IE146">
        <v>267</v>
      </c>
      <c r="IF146" s="13">
        <v>7.547169811320753E-3</v>
      </c>
    </row>
    <row r="147" spans="1:240" x14ac:dyDescent="0.3">
      <c r="A147" s="23" t="s">
        <v>148</v>
      </c>
      <c r="B147" s="22">
        <v>223790.91545773187</v>
      </c>
      <c r="C147">
        <v>291</v>
      </c>
      <c r="D147" s="22">
        <v>224177.32033198644</v>
      </c>
      <c r="E147">
        <v>297</v>
      </c>
      <c r="F147" s="22">
        <v>218701.40213317971</v>
      </c>
      <c r="G147">
        <v>217</v>
      </c>
      <c r="H147" s="22">
        <v>222878.14945933243</v>
      </c>
      <c r="I147">
        <v>226</v>
      </c>
      <c r="J147" s="22">
        <v>220169.67096854397</v>
      </c>
      <c r="K147">
        <v>294</v>
      </c>
      <c r="L147" s="22">
        <v>220258.98026865502</v>
      </c>
      <c r="M147">
        <v>286</v>
      </c>
      <c r="N147" s="22">
        <v>224929.35342959641</v>
      </c>
      <c r="O147" s="28">
        <v>273</v>
      </c>
      <c r="P147" s="39">
        <v>224771.62294300331</v>
      </c>
      <c r="Q147" s="28">
        <v>278</v>
      </c>
      <c r="R147" s="39">
        <v>234623.46040084548</v>
      </c>
      <c r="S147">
        <v>241</v>
      </c>
      <c r="T147" s="46">
        <v>241108.56323602627</v>
      </c>
      <c r="U147" s="47">
        <v>256</v>
      </c>
      <c r="V147" s="56">
        <v>248831.57856491269</v>
      </c>
      <c r="W147" s="47">
        <v>219</v>
      </c>
      <c r="X147" s="56">
        <v>254072.02595427909</v>
      </c>
      <c r="Y147" s="47">
        <v>224</v>
      </c>
      <c r="Z147" s="1">
        <v>251119.64942283399</v>
      </c>
      <c r="AA147" s="81">
        <v>253</v>
      </c>
      <c r="AB147" s="1">
        <v>253612.02650359561</v>
      </c>
      <c r="AC147" s="1">
        <v>301</v>
      </c>
      <c r="AD147" s="1">
        <v>262998.19356605469</v>
      </c>
      <c r="AE147">
        <v>237</v>
      </c>
      <c r="AF147" s="13">
        <f t="shared" si="341"/>
        <v>3.513242978344211E-2</v>
      </c>
      <c r="AG147" s="85">
        <f t="shared" si="413"/>
        <v>6.3915857605177998E-2</v>
      </c>
      <c r="AH147" s="35">
        <f t="shared" si="414"/>
        <v>12.7831715210356</v>
      </c>
      <c r="AI147" s="87">
        <f t="shared" si="415"/>
        <v>249.7831715210356</v>
      </c>
      <c r="AL147" s="1">
        <v>269031.27440173662</v>
      </c>
      <c r="AM147">
        <v>238</v>
      </c>
      <c r="AN147" s="13">
        <f t="shared" si="416"/>
        <v>6.0559796437659033E-2</v>
      </c>
      <c r="AQ147">
        <f t="shared" si="417"/>
        <v>10</v>
      </c>
      <c r="AR147" s="90">
        <f t="shared" si="418"/>
        <v>248</v>
      </c>
      <c r="AS147">
        <v>240</v>
      </c>
      <c r="AT147" s="1">
        <v>276854.03241414268</v>
      </c>
      <c r="AU147" s="13">
        <f t="shared" si="419"/>
        <v>2.9077504203933513E-2</v>
      </c>
      <c r="AV147" s="35">
        <v>247</v>
      </c>
      <c r="AW147" s="1">
        <v>280252.70770864253</v>
      </c>
      <c r="AX147" s="35">
        <v>269.90191570881228</v>
      </c>
      <c r="AY147" s="121">
        <v>285216.50377760391</v>
      </c>
      <c r="AZ147" s="122">
        <v>236</v>
      </c>
      <c r="BA147" s="119">
        <v>286679.1057205078</v>
      </c>
      <c r="BB147">
        <v>269</v>
      </c>
      <c r="BC147" s="13">
        <f t="shared" si="420"/>
        <v>5.1280410619027883E-3</v>
      </c>
      <c r="BD147">
        <v>288</v>
      </c>
      <c r="BE147" s="1">
        <v>286068.0841498868</v>
      </c>
      <c r="BF147" s="13">
        <f t="shared" si="397"/>
        <v>-2.1313781103277085E-3</v>
      </c>
      <c r="BG147">
        <v>252</v>
      </c>
      <c r="BH147" s="1">
        <v>287211.10849895858</v>
      </c>
      <c r="BI147" s="13">
        <f t="shared" si="267"/>
        <v>3.9956374457799093E-3</v>
      </c>
      <c r="BJ147">
        <v>254</v>
      </c>
      <c r="BK147" s="1">
        <v>295203.46142241242</v>
      </c>
      <c r="BL147" s="13">
        <f t="shared" si="398"/>
        <v>2.7827450564931189E-2</v>
      </c>
      <c r="BM147" s="1">
        <v>301890.6518816466</v>
      </c>
      <c r="BN147" s="109">
        <f t="shared" si="399"/>
        <v>2.2652818591667234E-2</v>
      </c>
      <c r="BO147">
        <v>233</v>
      </c>
      <c r="BP147" s="13">
        <f t="shared" si="400"/>
        <v>-8.2677165354330673E-2</v>
      </c>
      <c r="BQ147" s="1">
        <v>306547.68114908389</v>
      </c>
      <c r="BR147" s="13">
        <f t="shared" si="339"/>
        <v>1.5426212234166847E-2</v>
      </c>
      <c r="BS147">
        <v>249</v>
      </c>
      <c r="BT147" s="13">
        <f t="shared" si="340"/>
        <v>6.8669527896995763E-2</v>
      </c>
      <c r="BU147" s="1">
        <v>316328.57465520658</v>
      </c>
      <c r="BV147" s="13">
        <f t="shared" si="401"/>
        <v>3.1906597595060315E-2</v>
      </c>
      <c r="BW147">
        <v>258</v>
      </c>
      <c r="BX147" s="13">
        <f t="shared" si="402"/>
        <v>3.6144578313253017E-2</v>
      </c>
      <c r="BY147" s="1">
        <v>316040.52640019963</v>
      </c>
      <c r="BZ147" s="13">
        <f t="shared" si="403"/>
        <v>-9.1059827687378636E-4</v>
      </c>
      <c r="CA147">
        <v>217</v>
      </c>
      <c r="CB147" s="13">
        <f t="shared" si="404"/>
        <v>-0.15891472868217049</v>
      </c>
      <c r="CC147" s="1">
        <v>311561.49731936562</v>
      </c>
      <c r="CD147" s="13">
        <f t="shared" si="405"/>
        <v>-1.4172325087075222E-2</v>
      </c>
      <c r="CE147">
        <v>241</v>
      </c>
      <c r="CF147" s="13">
        <f t="shared" si="406"/>
        <v>0.11059907834101379</v>
      </c>
      <c r="CG147" s="1">
        <v>307571.00681760331</v>
      </c>
      <c r="CH147" s="13">
        <f t="shared" si="407"/>
        <v>-1.2808034805635415E-2</v>
      </c>
      <c r="CI147">
        <v>276</v>
      </c>
      <c r="CJ147" s="13">
        <f t="shared" si="408"/>
        <v>0.14522821576763478</v>
      </c>
      <c r="CK147" s="1">
        <v>308625.26308802317</v>
      </c>
      <c r="CL147" s="13">
        <f t="shared" si="409"/>
        <v>3.4276841673996916E-3</v>
      </c>
      <c r="CM147">
        <v>293</v>
      </c>
      <c r="CN147" s="13">
        <f t="shared" si="410"/>
        <v>6.1594202898550776E-2</v>
      </c>
      <c r="CO147" s="1">
        <v>305796.16332824843</v>
      </c>
      <c r="CP147" s="13">
        <v>-9.1667795807366392E-3</v>
      </c>
      <c r="CQ147">
        <v>283</v>
      </c>
      <c r="CR147" s="13">
        <v>-3.4129692832764458E-2</v>
      </c>
      <c r="CS147" s="1">
        <v>307667.62682641268</v>
      </c>
      <c r="CT147" s="13">
        <f t="shared" si="342"/>
        <v>6.1199704986336645E-3</v>
      </c>
      <c r="CU147">
        <v>341</v>
      </c>
      <c r="CV147" s="13">
        <f t="shared" si="343"/>
        <v>0.204946996466431</v>
      </c>
      <c r="CW147" s="1">
        <v>302418.75611419691</v>
      </c>
      <c r="CX147" s="13">
        <f t="shared" si="344"/>
        <v>-1.7060198261213966E-2</v>
      </c>
      <c r="CY147">
        <v>362</v>
      </c>
      <c r="CZ147" s="13">
        <f t="shared" si="345"/>
        <v>6.1583577712609916E-2</v>
      </c>
      <c r="DA147" s="1">
        <v>297955.22109035298</v>
      </c>
      <c r="DB147" s="13">
        <f t="shared" si="346"/>
        <v>-1.4759451699346449E-2</v>
      </c>
      <c r="DC147">
        <v>347</v>
      </c>
      <c r="DD147" s="13">
        <f t="shared" si="347"/>
        <v>-4.143646408839774E-2</v>
      </c>
      <c r="DE147" s="1">
        <v>291934.11699837417</v>
      </c>
      <c r="DF147" s="13">
        <f t="shared" si="348"/>
        <v>-2.0208083852146896E-2</v>
      </c>
      <c r="DG147" s="1">
        <v>327</v>
      </c>
      <c r="DH147" s="13">
        <f t="shared" si="349"/>
        <v>-5.7636887608069176E-2</v>
      </c>
      <c r="DI147" s="1">
        <v>293624.61681584478</v>
      </c>
      <c r="DJ147" s="13">
        <f t="shared" si="350"/>
        <v>5.7906894708028567E-3</v>
      </c>
      <c r="DK147" s="1">
        <v>312</v>
      </c>
      <c r="DL147" s="13">
        <f t="shared" si="351"/>
        <v>-4.587155963302747E-2</v>
      </c>
      <c r="DM147" s="1">
        <v>290144.16651946591</v>
      </c>
      <c r="DN147" s="13">
        <f t="shared" si="352"/>
        <v>-1.1853400897111177E-2</v>
      </c>
      <c r="DO147" s="1">
        <v>335</v>
      </c>
      <c r="DP147" s="13">
        <f t="shared" si="353"/>
        <v>7.3717948717948678E-2</v>
      </c>
      <c r="DQ147" s="1">
        <v>291251.86913206498</v>
      </c>
      <c r="DR147" s="13">
        <f t="shared" si="354"/>
        <v>3.817766270771239E-3</v>
      </c>
      <c r="DS147">
        <v>362</v>
      </c>
      <c r="DT147" s="13">
        <f t="shared" si="355"/>
        <v>8.0597014925373189E-2</v>
      </c>
      <c r="DU147" s="1">
        <v>295888.39086878242</v>
      </c>
      <c r="DV147" s="13">
        <f t="shared" si="356"/>
        <v>1.5919285773287273E-2</v>
      </c>
      <c r="DW147">
        <v>344</v>
      </c>
      <c r="DX147" s="13">
        <f t="shared" si="357"/>
        <v>-4.9723756906077332E-2</v>
      </c>
      <c r="DY147" s="1">
        <v>296643.75444227841</v>
      </c>
      <c r="DZ147" s="13">
        <f t="shared" si="358"/>
        <v>2.5528665429492836E-3</v>
      </c>
      <c r="EA147" s="1">
        <v>334</v>
      </c>
      <c r="EB147" s="13">
        <f t="shared" si="359"/>
        <v>-2.9069767441860517E-2</v>
      </c>
      <c r="EC147" s="1">
        <v>296623.35430602118</v>
      </c>
      <c r="ED147" s="13">
        <f t="shared" si="360"/>
        <v>-6.8769815483205043E-5</v>
      </c>
      <c r="EE147" s="1">
        <f>IFERROR(VLOOKUP($A147,[1]Москва_продажа_районы!$C$2:$F$148,2,0),"")</f>
        <v>321</v>
      </c>
      <c r="EF147" s="13">
        <v>-3.8922155688622784E-2</v>
      </c>
      <c r="EG147" s="1">
        <v>296163.9732162148</v>
      </c>
      <c r="EH147" s="13">
        <f t="shared" si="361"/>
        <v>-1.5487016889857985E-3</v>
      </c>
      <c r="EI147" s="1">
        <f>IFERROR(VLOOKUP($A147,[2]Москва_продажа_районы!$C$2:$F$150,2,0),"")</f>
        <v>297</v>
      </c>
      <c r="EJ147" s="13">
        <v>-7.4766355140186924E-2</v>
      </c>
      <c r="EK147" s="1">
        <v>303891.5485958996</v>
      </c>
      <c r="EL147" s="13">
        <f t="shared" si="362"/>
        <v>2.6092219441030018E-2</v>
      </c>
      <c r="EM147">
        <v>269</v>
      </c>
      <c r="EN147" s="13">
        <f t="shared" si="363"/>
        <v>-9.4276094276094291E-2</v>
      </c>
      <c r="EO147" s="1">
        <v>310741.0222719693</v>
      </c>
      <c r="EP147" s="13">
        <f t="shared" si="364"/>
        <v>2.2539204225050069E-2</v>
      </c>
      <c r="EQ147">
        <v>247</v>
      </c>
      <c r="ER147" s="13">
        <f t="shared" si="365"/>
        <v>-8.1784386617100413E-2</v>
      </c>
      <c r="ES147" s="183">
        <v>316825.14348951878</v>
      </c>
      <c r="ET147" s="13">
        <f t="shared" si="366"/>
        <v>1.9579394999301059E-2</v>
      </c>
      <c r="EU147">
        <v>253</v>
      </c>
      <c r="EV147" s="13">
        <f t="shared" si="367"/>
        <v>2.4291497975708509E-2</v>
      </c>
      <c r="EW147" s="183">
        <v>324561.88925705419</v>
      </c>
      <c r="EX147" s="13">
        <f t="shared" si="368"/>
        <v>2.4419607870520332E-2</v>
      </c>
      <c r="EY147">
        <v>272</v>
      </c>
      <c r="EZ147" s="13">
        <f t="shared" si="369"/>
        <v>7.5098814229249022E-2</v>
      </c>
      <c r="FA147" s="1">
        <v>323062.31838751578</v>
      </c>
      <c r="FB147" s="13">
        <f t="shared" si="370"/>
        <v>-4.6202925210074852E-3</v>
      </c>
      <c r="FC147" s="1">
        <v>239</v>
      </c>
      <c r="FD147" s="13">
        <f t="shared" si="371"/>
        <v>-0.12132352941176472</v>
      </c>
      <c r="FE147" s="1">
        <v>330538.84419929021</v>
      </c>
      <c r="FF147" s="13">
        <f t="shared" si="372"/>
        <v>2.3142673676990855E-2</v>
      </c>
      <c r="FG147" s="1">
        <v>216</v>
      </c>
      <c r="FH147" s="13">
        <f t="shared" si="373"/>
        <v>-9.6234309623430936E-2</v>
      </c>
      <c r="FI147" s="1">
        <v>329372.81374118407</v>
      </c>
      <c r="FJ147" s="13">
        <f t="shared" si="374"/>
        <v>-3.5276654425617782E-3</v>
      </c>
      <c r="FK147" s="1">
        <v>245</v>
      </c>
      <c r="FL147" s="13">
        <f t="shared" si="375"/>
        <v>0.1342592592592593</v>
      </c>
      <c r="FM147" s="1">
        <v>336401.17131169251</v>
      </c>
      <c r="FN147" s="13">
        <f t="shared" si="376"/>
        <v>2.1338608644340562E-2</v>
      </c>
      <c r="FO147" s="1">
        <v>269</v>
      </c>
      <c r="FP147" s="13">
        <f t="shared" si="377"/>
        <v>9.7959183673469452E-2</v>
      </c>
      <c r="FQ147" s="1">
        <v>344600.29143929569</v>
      </c>
      <c r="FR147" s="13">
        <f t="shared" si="378"/>
        <v>2.4373042744272322E-2</v>
      </c>
      <c r="FS147">
        <v>268</v>
      </c>
      <c r="FT147" s="13">
        <f t="shared" si="379"/>
        <v>-3.7174721189591198E-3</v>
      </c>
      <c r="FU147" s="1">
        <v>345785.21460044978</v>
      </c>
      <c r="FV147" s="13">
        <f t="shared" si="380"/>
        <v>3.4385437000212793E-3</v>
      </c>
      <c r="FW147" s="1">
        <v>265</v>
      </c>
      <c r="FX147" s="13">
        <f t="shared" si="381"/>
        <v>-1.1194029850746245E-2</v>
      </c>
      <c r="FY147" s="1">
        <v>348549.77162187197</v>
      </c>
      <c r="FZ147" s="13">
        <f t="shared" si="382"/>
        <v>7.99501223502741E-3</v>
      </c>
      <c r="GA147" s="1">
        <v>267</v>
      </c>
      <c r="GB147" s="13">
        <f t="shared" si="383"/>
        <v>7.547169811320753E-3</v>
      </c>
      <c r="GC147" s="1">
        <v>349420.01794300711</v>
      </c>
      <c r="GD147" s="13">
        <f t="shared" si="384"/>
        <v>2.4967634237305081E-3</v>
      </c>
      <c r="GE147" s="1">
        <v>261</v>
      </c>
      <c r="GF147" s="13">
        <f t="shared" si="385"/>
        <v>-2.2471910112359605E-2</v>
      </c>
      <c r="GG147" s="1">
        <f>IFERROR(VLOOKUP(A147,[3]Москва_продажа_районы!$C$2:$F$149,3,0),"")</f>
        <v>348462.07013341779</v>
      </c>
      <c r="GH147" s="13">
        <v>-2.7415367191285789E-3</v>
      </c>
      <c r="GI147" s="1">
        <v>256</v>
      </c>
      <c r="GJ147" s="13">
        <f t="shared" si="386"/>
        <v>-1.9157088122605415E-2</v>
      </c>
      <c r="GK147" s="1">
        <v>344418.18618829641</v>
      </c>
      <c r="GL147" s="13">
        <f t="shared" si="387"/>
        <v>-1.1604947257453535E-2</v>
      </c>
      <c r="GM147" s="1">
        <v>288</v>
      </c>
      <c r="GN147" s="13">
        <f t="shared" si="388"/>
        <v>0.125</v>
      </c>
      <c r="GO147" s="1">
        <v>343821.92668696528</v>
      </c>
      <c r="GP147" s="13">
        <f t="shared" si="389"/>
        <v>-1.731207947901936E-3</v>
      </c>
      <c r="GQ147" s="1">
        <v>308.16000000000003</v>
      </c>
      <c r="GR147" s="13">
        <f t="shared" si="390"/>
        <v>7.0000000000000062E-2</v>
      </c>
      <c r="GS147" s="1">
        <v>337322.45710178232</v>
      </c>
      <c r="GT147" s="13">
        <f t="shared" si="411"/>
        <v>-1.8903592472449993E-2</v>
      </c>
      <c r="GU147">
        <v>278</v>
      </c>
      <c r="GV147" s="13">
        <f t="shared" si="412"/>
        <v>-9.7871235721703087E-2</v>
      </c>
      <c r="GW147">
        <v>339063.28829993092</v>
      </c>
      <c r="GX147" s="13">
        <f t="shared" si="391"/>
        <v>5.160733184222499E-3</v>
      </c>
      <c r="GY147">
        <v>260</v>
      </c>
      <c r="GZ147" s="13">
        <f t="shared" si="392"/>
        <v>-6.4748201438848962E-2</v>
      </c>
      <c r="HA147">
        <v>350695.82751536428</v>
      </c>
      <c r="HB147" s="13">
        <v>3.4307869996067941E-2</v>
      </c>
      <c r="HC147">
        <v>243</v>
      </c>
      <c r="HD147" s="13">
        <v>-6.5384615384615374E-2</v>
      </c>
      <c r="HE147">
        <v>348304.64605837892</v>
      </c>
      <c r="HF147" s="13">
        <v>-6.8183915215831448E-3</v>
      </c>
      <c r="HG147">
        <v>267</v>
      </c>
      <c r="HH147" s="13">
        <v>9.8765432098765427E-2</v>
      </c>
      <c r="HI147">
        <f>VLOOKUP(A147,[4]Москва_продажа_районы!$C$4:$F$151,3,0)</f>
        <v>352518.68566646788</v>
      </c>
      <c r="HJ147" s="13">
        <f t="shared" si="393"/>
        <v>1.2098717762675681E-2</v>
      </c>
      <c r="HK147">
        <f>VLOOKUP(A147,[4]Москва_продажа_районы!$C$4:$F$151,2,0)</f>
        <v>261</v>
      </c>
      <c r="HL147" s="13">
        <f t="shared" si="394"/>
        <v>-2.2471910112359605E-2</v>
      </c>
      <c r="HM147" s="1">
        <f>VLOOKUP(A147,Лист3!$C$4:$F$149,3,0)</f>
        <v>347640.29917699652</v>
      </c>
      <c r="HN147" s="13">
        <f t="shared" si="395"/>
        <v>-1.3838660723043184E-2</v>
      </c>
      <c r="HO147">
        <f>VLOOKUP(A147,Лист3!$C$4:$F$149,2,0)</f>
        <v>237</v>
      </c>
      <c r="HP147" s="13">
        <f t="shared" si="396"/>
        <v>-9.1954022988505746E-2</v>
      </c>
      <c r="HQ147" s="1">
        <v>346965.64616682532</v>
      </c>
      <c r="HR147" s="13">
        <v>-1.940663990246172E-3</v>
      </c>
      <c r="HS147">
        <v>276</v>
      </c>
      <c r="HT147" s="13">
        <v>0.16455696202531644</v>
      </c>
      <c r="HU147" s="34">
        <v>347945.58572280931</v>
      </c>
      <c r="HV147" s="13">
        <v>2.8243129163076919E-3</v>
      </c>
      <c r="HW147">
        <v>270</v>
      </c>
      <c r="HX147" s="13">
        <v>-2.1739130434782594E-2</v>
      </c>
      <c r="HY147">
        <v>351312.50203230948</v>
      </c>
      <c r="HZ147" s="13">
        <v>9.6765599210171249E-3</v>
      </c>
      <c r="IA147">
        <v>256</v>
      </c>
      <c r="IB147" s="13">
        <v>-5.1851851851851816E-2</v>
      </c>
      <c r="IC147" s="34">
        <v>361392.24775295821</v>
      </c>
      <c r="ID147" s="13">
        <v>2.8691679522756308E-2</v>
      </c>
      <c r="IE147">
        <v>242</v>
      </c>
      <c r="IF147" s="13">
        <v>-5.46875E-2</v>
      </c>
    </row>
    <row r="148" spans="1:240" x14ac:dyDescent="0.3">
      <c r="A148" s="23" t="s">
        <v>149</v>
      </c>
      <c r="B148" s="22">
        <v>203601.03939371265</v>
      </c>
      <c r="C148">
        <v>334</v>
      </c>
      <c r="D148" s="22">
        <v>204172.92649223309</v>
      </c>
      <c r="E148">
        <v>309</v>
      </c>
      <c r="F148" s="22">
        <v>210223.78785746606</v>
      </c>
      <c r="G148">
        <v>221</v>
      </c>
      <c r="H148" s="22">
        <v>208469.58674483074</v>
      </c>
      <c r="I148">
        <v>239</v>
      </c>
      <c r="J148" s="22">
        <v>211931.97961306392</v>
      </c>
      <c r="K148">
        <v>294</v>
      </c>
      <c r="L148" s="22">
        <v>213851.28999857258</v>
      </c>
      <c r="M148">
        <v>307</v>
      </c>
      <c r="N148" s="22">
        <v>215368.18195456639</v>
      </c>
      <c r="O148" s="28">
        <v>297</v>
      </c>
      <c r="P148" s="39">
        <v>218987.75677804468</v>
      </c>
      <c r="Q148" s="28">
        <v>259</v>
      </c>
      <c r="R148" s="39">
        <v>225272.9816770835</v>
      </c>
      <c r="S148">
        <v>248</v>
      </c>
      <c r="T148" s="46">
        <v>228705.52042139851</v>
      </c>
      <c r="U148" s="47">
        <v>193</v>
      </c>
      <c r="V148" s="56">
        <v>236204.770364069</v>
      </c>
      <c r="W148" s="47">
        <v>187</v>
      </c>
      <c r="X148" s="56">
        <v>242556.23886259561</v>
      </c>
      <c r="Y148" s="47">
        <v>174</v>
      </c>
      <c r="Z148" s="1">
        <v>243897.83961028961</v>
      </c>
      <c r="AA148" s="81">
        <v>176</v>
      </c>
      <c r="AB148" s="1">
        <v>246377.62117498959</v>
      </c>
      <c r="AC148" s="1">
        <v>181</v>
      </c>
      <c r="AD148" s="1">
        <v>252518.88421163009</v>
      </c>
      <c r="AE148">
        <v>184</v>
      </c>
      <c r="AF148" s="13">
        <f t="shared" si="341"/>
        <v>4.1073548121259407E-2</v>
      </c>
      <c r="AG148" s="85">
        <f t="shared" si="413"/>
        <v>4.9622437971952538E-2</v>
      </c>
      <c r="AH148" s="35">
        <f t="shared" si="414"/>
        <v>9.9244875943905075</v>
      </c>
      <c r="AI148" s="87">
        <f t="shared" si="415"/>
        <v>193.92448759439051</v>
      </c>
      <c r="AL148" s="1">
        <v>257580.37715347719</v>
      </c>
      <c r="AM148">
        <v>196</v>
      </c>
      <c r="AN148" s="13">
        <f t="shared" si="416"/>
        <v>4.9872773536895676E-2</v>
      </c>
      <c r="AQ148">
        <f t="shared" si="417"/>
        <v>8</v>
      </c>
      <c r="AR148" s="90">
        <f t="shared" si="418"/>
        <v>204</v>
      </c>
      <c r="AS148">
        <v>195</v>
      </c>
      <c r="AT148" s="1">
        <v>261468.21395211111</v>
      </c>
      <c r="AU148" s="13">
        <f t="shared" si="419"/>
        <v>1.5093683927317914E-2</v>
      </c>
      <c r="AV148" s="35">
        <v>221</v>
      </c>
      <c r="AW148" s="1">
        <v>264068.67470821069</v>
      </c>
      <c r="AX148" s="35">
        <v>241.49118773946361</v>
      </c>
      <c r="AY148" s="121">
        <v>270780.37593174871</v>
      </c>
      <c r="AZ148" s="122">
        <v>223</v>
      </c>
      <c r="BA148" s="119">
        <v>274537.46908244729</v>
      </c>
      <c r="BB148">
        <v>226</v>
      </c>
      <c r="BC148" s="13">
        <f t="shared" si="420"/>
        <v>1.3875057000606095E-2</v>
      </c>
      <c r="BD148">
        <v>253</v>
      </c>
      <c r="BE148" s="1">
        <v>278425.53611668083</v>
      </c>
      <c r="BF148" s="13">
        <f t="shared" si="397"/>
        <v>1.4162245493222203E-2</v>
      </c>
      <c r="BG148">
        <v>217</v>
      </c>
      <c r="BH148" s="1">
        <v>284029.16631083179</v>
      </c>
      <c r="BI148" s="13">
        <f t="shared" si="267"/>
        <v>2.0126135958314695E-2</v>
      </c>
      <c r="BJ148">
        <v>221</v>
      </c>
      <c r="BK148" s="1">
        <v>293588.93705275428</v>
      </c>
      <c r="BL148" s="13">
        <f t="shared" si="398"/>
        <v>3.3657707995595754E-2</v>
      </c>
      <c r="BM148" s="1">
        <v>299304.24074563192</v>
      </c>
      <c r="BN148" s="109">
        <f t="shared" si="399"/>
        <v>1.9467026756020633E-2</v>
      </c>
      <c r="BO148">
        <v>237</v>
      </c>
      <c r="BP148" s="13">
        <f t="shared" si="400"/>
        <v>7.2398190045248834E-2</v>
      </c>
      <c r="BQ148" s="1">
        <v>304571.05892101949</v>
      </c>
      <c r="BR148" s="13">
        <f t="shared" si="339"/>
        <v>1.7596871204586861E-2</v>
      </c>
      <c r="BS148">
        <v>265</v>
      </c>
      <c r="BT148" s="13">
        <f t="shared" si="340"/>
        <v>0.1181434599156117</v>
      </c>
      <c r="BU148" s="1">
        <v>307788.04701783659</v>
      </c>
      <c r="BV148" s="13">
        <f t="shared" si="401"/>
        <v>1.0562356476723878E-2</v>
      </c>
      <c r="BW148">
        <v>251</v>
      </c>
      <c r="BX148" s="13">
        <f t="shared" si="402"/>
        <v>-5.2830188679245271E-2</v>
      </c>
      <c r="BY148" s="1">
        <v>304331.06514806242</v>
      </c>
      <c r="BZ148" s="13">
        <f t="shared" si="403"/>
        <v>-1.12316963029232E-2</v>
      </c>
      <c r="CA148">
        <v>188</v>
      </c>
      <c r="CB148" s="13">
        <f t="shared" si="404"/>
        <v>-0.25099601593625498</v>
      </c>
      <c r="CC148" s="1">
        <v>301039.41699919378</v>
      </c>
      <c r="CD148" s="13">
        <f t="shared" si="405"/>
        <v>-1.0816011001923864E-2</v>
      </c>
      <c r="CE148">
        <v>215</v>
      </c>
      <c r="CF148" s="13">
        <f t="shared" si="406"/>
        <v>0.1436170212765957</v>
      </c>
      <c r="CG148" s="1">
        <v>297657.40423715633</v>
      </c>
      <c r="CH148" s="13">
        <f t="shared" si="407"/>
        <v>-1.1234451606868867E-2</v>
      </c>
      <c r="CI148">
        <v>270</v>
      </c>
      <c r="CJ148" s="13">
        <f t="shared" si="408"/>
        <v>0.2558139534883721</v>
      </c>
      <c r="CK148" s="1">
        <v>293538.27787263598</v>
      </c>
      <c r="CL148" s="13">
        <f t="shared" si="409"/>
        <v>-1.3838481105742817E-2</v>
      </c>
      <c r="CM148">
        <v>281</v>
      </c>
      <c r="CN148" s="13">
        <f t="shared" si="410"/>
        <v>4.0740740740740744E-2</v>
      </c>
      <c r="CO148" s="1">
        <v>292615.06378768128</v>
      </c>
      <c r="CP148" s="13">
        <v>-3.1451233264891965E-3</v>
      </c>
      <c r="CQ148">
        <v>300</v>
      </c>
      <c r="CR148" s="13">
        <v>6.7615658362989217E-2</v>
      </c>
      <c r="CS148" s="1">
        <v>291569.09667100752</v>
      </c>
      <c r="CT148" s="13">
        <f t="shared" si="342"/>
        <v>-3.5745497963587392E-3</v>
      </c>
      <c r="CU148">
        <v>323</v>
      </c>
      <c r="CV148" s="13">
        <f t="shared" si="343"/>
        <v>7.6666666666666661E-2</v>
      </c>
      <c r="CW148" s="1">
        <v>283749.93246503221</v>
      </c>
      <c r="CX148" s="13">
        <f t="shared" si="344"/>
        <v>-2.6817534146281852E-2</v>
      </c>
      <c r="CY148">
        <v>350</v>
      </c>
      <c r="CZ148" s="13">
        <f t="shared" si="345"/>
        <v>8.3591331269349922E-2</v>
      </c>
      <c r="DA148" s="1">
        <v>279421.78187166568</v>
      </c>
      <c r="DB148" s="13">
        <f t="shared" si="346"/>
        <v>-1.5253397792085455E-2</v>
      </c>
      <c r="DC148">
        <v>334</v>
      </c>
      <c r="DD148" s="13">
        <f t="shared" si="347"/>
        <v>-4.5714285714285707E-2</v>
      </c>
      <c r="DE148" s="1">
        <v>280326.59860620787</v>
      </c>
      <c r="DF148" s="13">
        <f t="shared" si="348"/>
        <v>3.2381753794619161E-3</v>
      </c>
      <c r="DG148" s="1">
        <v>297</v>
      </c>
      <c r="DH148" s="13">
        <f t="shared" si="349"/>
        <v>-0.1107784431137725</v>
      </c>
      <c r="DI148" s="1">
        <v>277849.80644314981</v>
      </c>
      <c r="DJ148" s="13">
        <f t="shared" si="350"/>
        <v>-8.8353805003619224E-3</v>
      </c>
      <c r="DK148" s="1">
        <v>308</v>
      </c>
      <c r="DL148" s="13">
        <f t="shared" si="351"/>
        <v>3.7037037037036979E-2</v>
      </c>
      <c r="DM148" s="1">
        <v>279127.74298133189</v>
      </c>
      <c r="DN148" s="13">
        <f t="shared" si="352"/>
        <v>4.599378903809237E-3</v>
      </c>
      <c r="DO148" s="1">
        <v>298</v>
      </c>
      <c r="DP148" s="13">
        <f t="shared" si="353"/>
        <v>-3.2467532467532423E-2</v>
      </c>
      <c r="DQ148" s="1">
        <v>279784.30874046072</v>
      </c>
      <c r="DR148" s="13">
        <f t="shared" si="354"/>
        <v>2.352205309712696E-3</v>
      </c>
      <c r="DS148">
        <v>333</v>
      </c>
      <c r="DT148" s="13">
        <f t="shared" si="355"/>
        <v>0.1174496644295302</v>
      </c>
      <c r="DU148" s="1">
        <v>282451.67020199838</v>
      </c>
      <c r="DV148" s="13">
        <f t="shared" si="356"/>
        <v>9.5336349402352916E-3</v>
      </c>
      <c r="DW148">
        <v>326</v>
      </c>
      <c r="DX148" s="13">
        <f t="shared" si="357"/>
        <v>-2.1021021021020991E-2</v>
      </c>
      <c r="DY148" s="1">
        <v>282545.03652266238</v>
      </c>
      <c r="DZ148" s="13">
        <f t="shared" si="358"/>
        <v>3.3055680144222777E-4</v>
      </c>
      <c r="EA148" s="1">
        <v>296</v>
      </c>
      <c r="EB148" s="13">
        <f t="shared" si="359"/>
        <v>-9.2024539877300637E-2</v>
      </c>
      <c r="EC148" s="1">
        <v>284609.15579053853</v>
      </c>
      <c r="ED148" s="13">
        <f t="shared" si="360"/>
        <v>7.3054522326057025E-3</v>
      </c>
      <c r="EE148" s="1">
        <f>IFERROR(VLOOKUP($A148,[1]Москва_продажа_районы!$C$2:$F$148,2,0),"")</f>
        <v>283</v>
      </c>
      <c r="EF148" s="13">
        <v>-4.391891891891897E-2</v>
      </c>
      <c r="EG148" s="1">
        <v>290670.22809641273</v>
      </c>
      <c r="EH148" s="13">
        <f t="shared" si="361"/>
        <v>2.1296125520062104E-2</v>
      </c>
      <c r="EI148" s="1">
        <f>IFERROR(VLOOKUP($A148,[2]Москва_продажа_районы!$C$2:$F$150,2,0),"")</f>
        <v>259</v>
      </c>
      <c r="EJ148" s="13">
        <v>-8.4805653710247397E-2</v>
      </c>
      <c r="EK148" s="1">
        <v>301735.97409615573</v>
      </c>
      <c r="EL148" s="13">
        <f t="shared" si="362"/>
        <v>3.8069760608824943E-2</v>
      </c>
      <c r="EM148">
        <v>272</v>
      </c>
      <c r="EN148" s="13">
        <f t="shared" si="363"/>
        <v>5.0193050193050093E-2</v>
      </c>
      <c r="EO148" s="1">
        <v>303302.70713586587</v>
      </c>
      <c r="EP148" s="13">
        <f t="shared" si="364"/>
        <v>5.1923972420035991E-3</v>
      </c>
      <c r="EQ148">
        <v>238</v>
      </c>
      <c r="ER148" s="13">
        <f t="shared" si="365"/>
        <v>-0.125</v>
      </c>
      <c r="ES148" s="183">
        <v>314786.40820357512</v>
      </c>
      <c r="ET148" s="13">
        <f t="shared" si="366"/>
        <v>3.786217794147495E-2</v>
      </c>
      <c r="EU148">
        <v>227</v>
      </c>
      <c r="EV148" s="13">
        <f t="shared" si="367"/>
        <v>-4.621848739495793E-2</v>
      </c>
      <c r="EW148" s="183">
        <v>330537.07442195521</v>
      </c>
      <c r="EX148" s="13">
        <f t="shared" si="368"/>
        <v>5.0036042878299991E-2</v>
      </c>
      <c r="EY148">
        <v>244</v>
      </c>
      <c r="EZ148" s="13">
        <f t="shared" si="369"/>
        <v>7.4889867841409608E-2</v>
      </c>
      <c r="FA148" s="1">
        <v>325607.15624113259</v>
      </c>
      <c r="FB148" s="13">
        <f t="shared" si="370"/>
        <v>-1.491487207431752E-2</v>
      </c>
      <c r="FC148" s="1">
        <v>253</v>
      </c>
      <c r="FD148" s="13">
        <f t="shared" si="371"/>
        <v>3.688524590163933E-2</v>
      </c>
      <c r="FE148" s="1">
        <v>326971.12550325948</v>
      </c>
      <c r="FF148" s="13">
        <f t="shared" si="372"/>
        <v>4.1890027168713928E-3</v>
      </c>
      <c r="FG148" s="1">
        <v>247</v>
      </c>
      <c r="FH148" s="13">
        <f t="shared" si="373"/>
        <v>-2.371541501976282E-2</v>
      </c>
      <c r="FI148" s="1">
        <v>329057.45340914978</v>
      </c>
      <c r="FJ148" s="13">
        <f t="shared" si="374"/>
        <v>6.3807710931023109E-3</v>
      </c>
      <c r="FK148" s="1">
        <v>247</v>
      </c>
      <c r="FL148" s="13">
        <f t="shared" si="375"/>
        <v>0</v>
      </c>
      <c r="FM148" s="1">
        <v>321405.71749380219</v>
      </c>
      <c r="FN148" s="13">
        <f t="shared" si="376"/>
        <v>-2.3253495205998065E-2</v>
      </c>
      <c r="FO148" s="1">
        <v>229</v>
      </c>
      <c r="FP148" s="13">
        <f t="shared" si="377"/>
        <v>-7.2874493927125528E-2</v>
      </c>
      <c r="FQ148" s="1">
        <v>312938.64095642132</v>
      </c>
      <c r="FR148" s="13">
        <f t="shared" si="378"/>
        <v>-2.6343888974358798E-2</v>
      </c>
      <c r="FS148">
        <v>237</v>
      </c>
      <c r="FT148" s="13">
        <f t="shared" si="379"/>
        <v>3.4934497816593968E-2</v>
      </c>
      <c r="FU148" s="1">
        <v>310806.7127918789</v>
      </c>
      <c r="FV148" s="13">
        <f t="shared" si="380"/>
        <v>-6.8126076026492344E-3</v>
      </c>
      <c r="FW148" s="1">
        <v>246</v>
      </c>
      <c r="FX148" s="13">
        <f t="shared" si="381"/>
        <v>3.7974683544303778E-2</v>
      </c>
      <c r="FY148" s="1">
        <v>317064.31725299981</v>
      </c>
      <c r="FZ148" s="13">
        <f t="shared" si="382"/>
        <v>2.013342763710213E-2</v>
      </c>
      <c r="GA148" s="1">
        <v>274</v>
      </c>
      <c r="GB148" s="13">
        <f t="shared" si="383"/>
        <v>0.11382113821138207</v>
      </c>
      <c r="GC148" s="1">
        <v>316513.26712407818</v>
      </c>
      <c r="GD148" s="13">
        <f t="shared" si="384"/>
        <v>-1.7379758583238036E-3</v>
      </c>
      <c r="GE148" s="1">
        <v>266</v>
      </c>
      <c r="GF148" s="13">
        <f t="shared" si="385"/>
        <v>-2.9197080291970767E-2</v>
      </c>
      <c r="GG148" s="1">
        <f>IFERROR(VLOOKUP(A148,[3]Москва_продажа_районы!$C$2:$F$149,3,0),"")</f>
        <v>318571.79339426907</v>
      </c>
      <c r="GH148" s="13">
        <v>6.5037598230721638E-3</v>
      </c>
      <c r="GI148" s="1">
        <v>274</v>
      </c>
      <c r="GJ148" s="13">
        <f t="shared" si="386"/>
        <v>3.007518796992481E-2</v>
      </c>
      <c r="GK148" s="1">
        <v>318163.80026653397</v>
      </c>
      <c r="GL148" s="13">
        <f t="shared" si="387"/>
        <v>-1.2806944500267647E-3</v>
      </c>
      <c r="GM148" s="1">
        <v>280</v>
      </c>
      <c r="GN148" s="13">
        <f t="shared" si="388"/>
        <v>2.1897810218978186E-2</v>
      </c>
      <c r="GO148" s="1">
        <v>320814.89721723628</v>
      </c>
      <c r="GP148" s="13">
        <f t="shared" si="389"/>
        <v>8.3324908379942553E-3</v>
      </c>
      <c r="GQ148" s="1">
        <v>293.18</v>
      </c>
      <c r="GR148" s="13">
        <f t="shared" si="390"/>
        <v>4.7071428571428653E-2</v>
      </c>
      <c r="GS148" s="1">
        <v>322759.54731845018</v>
      </c>
      <c r="GT148" s="13">
        <f t="shared" si="411"/>
        <v>6.0615953875018391E-3</v>
      </c>
      <c r="GU148">
        <v>276</v>
      </c>
      <c r="GV148" s="13">
        <f t="shared" si="412"/>
        <v>-5.8598813015894646E-2</v>
      </c>
      <c r="GW148">
        <v>321447.21442796639</v>
      </c>
      <c r="GX148" s="13">
        <f t="shared" si="391"/>
        <v>-4.0659769831347115E-3</v>
      </c>
      <c r="GY148">
        <v>264</v>
      </c>
      <c r="GZ148" s="13">
        <f t="shared" si="392"/>
        <v>-4.3478260869565188E-2</v>
      </c>
      <c r="HA148">
        <v>323213.09968312568</v>
      </c>
      <c r="HB148" s="13">
        <v>5.4935466101386776E-3</v>
      </c>
      <c r="HC148">
        <v>253</v>
      </c>
      <c r="HD148" s="13">
        <v>-4.166666666666663E-2</v>
      </c>
      <c r="HE148">
        <v>323926.76275359641</v>
      </c>
      <c r="HF148" s="13">
        <v>2.2080264419059858E-3</v>
      </c>
      <c r="HG148">
        <v>281</v>
      </c>
      <c r="HH148" s="13">
        <v>0.11067193675889331</v>
      </c>
      <c r="HI148">
        <f>VLOOKUP(A148,[4]Москва_продажа_районы!$C$4:$F$151,3,0)</f>
        <v>324188.72613922862</v>
      </c>
      <c r="HJ148" s="13">
        <f t="shared" si="393"/>
        <v>8.0871176992403093E-4</v>
      </c>
      <c r="HK148">
        <f>VLOOKUP(A148,[4]Москва_продажа_районы!$C$4:$F$151,2,0)</f>
        <v>300</v>
      </c>
      <c r="HL148" s="13">
        <f t="shared" si="394"/>
        <v>6.7615658362989217E-2</v>
      </c>
      <c r="HM148" s="1">
        <f>VLOOKUP(A148,Лист3!$C$4:$F$149,3,0)</f>
        <v>328068.22447726887</v>
      </c>
      <c r="HN148" s="13">
        <f t="shared" si="395"/>
        <v>1.1966789790136323E-2</v>
      </c>
      <c r="HO148">
        <f>VLOOKUP(A148,Лист3!$C$4:$F$149,2,0)</f>
        <v>282</v>
      </c>
      <c r="HP148" s="13">
        <f t="shared" si="396"/>
        <v>-6.0000000000000053E-2</v>
      </c>
      <c r="HQ148" s="1">
        <v>329734.70434768661</v>
      </c>
      <c r="HR148" s="13">
        <v>5.0796747325134728E-3</v>
      </c>
      <c r="HS148">
        <v>258</v>
      </c>
      <c r="HT148" s="13">
        <v>-8.5106382978723416E-2</v>
      </c>
      <c r="HU148" s="34">
        <v>330850.70219160168</v>
      </c>
      <c r="HV148" s="13">
        <v>3.3845325626942202E-3</v>
      </c>
      <c r="HW148">
        <v>241</v>
      </c>
      <c r="HX148" s="13">
        <v>-6.589147286821706E-2</v>
      </c>
      <c r="HY148">
        <v>339206.07072409597</v>
      </c>
      <c r="HZ148" s="13">
        <v>2.5254196159014253E-2</v>
      </c>
      <c r="IA148">
        <v>272</v>
      </c>
      <c r="IB148" s="13">
        <v>0.12863070539419086</v>
      </c>
      <c r="IC148" s="34">
        <v>336270.02641114051</v>
      </c>
      <c r="ID148" s="13">
        <v>-8.6556361054740405E-3</v>
      </c>
      <c r="IE148">
        <v>250</v>
      </c>
      <c r="IF148" s="13">
        <v>-8.0882352941176516E-2</v>
      </c>
    </row>
    <row r="149" spans="1:240" x14ac:dyDescent="0.3">
      <c r="A149" s="23" t="s">
        <v>150</v>
      </c>
      <c r="B149" s="22">
        <v>180037.03383343184</v>
      </c>
      <c r="C149">
        <v>338</v>
      </c>
      <c r="D149" s="22">
        <v>180114.36136332282</v>
      </c>
      <c r="E149">
        <v>319</v>
      </c>
      <c r="F149" s="22">
        <v>180924.49211422232</v>
      </c>
      <c r="G149">
        <v>225</v>
      </c>
      <c r="H149" s="22">
        <v>183424.39917230068</v>
      </c>
      <c r="I149">
        <v>202</v>
      </c>
      <c r="J149" s="22">
        <v>184880.12968401675</v>
      </c>
      <c r="K149">
        <v>254</v>
      </c>
      <c r="L149" s="22">
        <v>183457.93498926758</v>
      </c>
      <c r="M149">
        <v>267</v>
      </c>
      <c r="N149" s="22">
        <v>186699.08210564472</v>
      </c>
      <c r="O149" s="28">
        <v>261</v>
      </c>
      <c r="P149" s="39">
        <v>192932.35896389428</v>
      </c>
      <c r="Q149" s="28">
        <v>272</v>
      </c>
      <c r="R149" s="39">
        <v>198035.54737833972</v>
      </c>
      <c r="S149">
        <v>232</v>
      </c>
      <c r="T149" s="46">
        <v>202175.48197458393</v>
      </c>
      <c r="U149" s="47">
        <v>218</v>
      </c>
      <c r="V149" s="56">
        <v>207226.14654729579</v>
      </c>
      <c r="W149" s="47">
        <v>178</v>
      </c>
      <c r="X149" s="56">
        <v>211925.43624751881</v>
      </c>
      <c r="Y149" s="47">
        <v>160</v>
      </c>
      <c r="Z149" s="1">
        <v>212652.94446641009</v>
      </c>
      <c r="AA149" s="81">
        <v>172</v>
      </c>
      <c r="AB149" s="1">
        <v>215784.2603010064</v>
      </c>
      <c r="AC149" s="1">
        <v>183</v>
      </c>
      <c r="AD149" s="1">
        <v>222540.41400685129</v>
      </c>
      <c r="AE149">
        <v>192</v>
      </c>
      <c r="AF149" s="13">
        <f t="shared" si="341"/>
        <v>5.0088266643625978E-2</v>
      </c>
      <c r="AG149" s="85">
        <f t="shared" si="413"/>
        <v>5.1779935275080909E-2</v>
      </c>
      <c r="AH149" s="35">
        <f t="shared" si="414"/>
        <v>10.355987055016183</v>
      </c>
      <c r="AI149" s="87">
        <f t="shared" si="415"/>
        <v>202.35598705501619</v>
      </c>
      <c r="AL149" s="1">
        <v>224330.6065652243</v>
      </c>
      <c r="AM149">
        <v>194</v>
      </c>
      <c r="AN149" s="13">
        <f t="shared" si="416"/>
        <v>4.9363867684478369E-2</v>
      </c>
      <c r="AQ149">
        <f t="shared" si="417"/>
        <v>8</v>
      </c>
      <c r="AR149" s="90">
        <f t="shared" si="418"/>
        <v>202</v>
      </c>
      <c r="AS149">
        <v>178</v>
      </c>
      <c r="AT149" s="1">
        <v>229567.5223998265</v>
      </c>
      <c r="AU149" s="13">
        <f t="shared" si="419"/>
        <v>2.3344633685014271E-2</v>
      </c>
      <c r="AV149" s="35">
        <v>152</v>
      </c>
      <c r="AW149" s="1">
        <v>233750.79754632569</v>
      </c>
      <c r="AX149" s="35">
        <v>166.09348659003831</v>
      </c>
      <c r="AY149" s="121">
        <v>237445.6254864574</v>
      </c>
      <c r="AZ149" s="122">
        <v>154</v>
      </c>
      <c r="BA149" s="119">
        <v>243298.73608060519</v>
      </c>
      <c r="BB149">
        <v>178</v>
      </c>
      <c r="BC149" s="13">
        <f t="shared" si="420"/>
        <v>2.4650319761235773E-2</v>
      </c>
      <c r="BD149">
        <v>196</v>
      </c>
      <c r="BE149" s="1">
        <v>248370.75445202869</v>
      </c>
      <c r="BF149" s="13">
        <f t="shared" si="397"/>
        <v>2.0846875134374443E-2</v>
      </c>
      <c r="BG149">
        <v>188</v>
      </c>
      <c r="BH149" s="1">
        <v>251492.65609388039</v>
      </c>
      <c r="BI149" s="13">
        <f t="shared" si="267"/>
        <v>1.2569521917906279E-2</v>
      </c>
      <c r="BJ149">
        <v>184</v>
      </c>
      <c r="BK149" s="1">
        <v>254473.9150855357</v>
      </c>
      <c r="BL149" s="13">
        <f t="shared" si="398"/>
        <v>1.1854258641025295E-2</v>
      </c>
      <c r="BM149" s="1">
        <v>259686.7184562278</v>
      </c>
      <c r="BN149" s="109">
        <f t="shared" si="399"/>
        <v>2.0484627545970469E-2</v>
      </c>
      <c r="BO149">
        <v>174</v>
      </c>
      <c r="BP149" s="13">
        <f t="shared" si="400"/>
        <v>-5.4347826086956541E-2</v>
      </c>
      <c r="BQ149" s="1">
        <v>264390.83576339908</v>
      </c>
      <c r="BR149" s="13">
        <f t="shared" si="339"/>
        <v>1.811458566358759E-2</v>
      </c>
      <c r="BS149">
        <v>214</v>
      </c>
      <c r="BT149" s="13">
        <f t="shared" si="340"/>
        <v>0.22988505747126431</v>
      </c>
      <c r="BU149" s="1">
        <v>272375.57675079053</v>
      </c>
      <c r="BV149" s="13">
        <f t="shared" si="401"/>
        <v>3.0200520998908242E-2</v>
      </c>
      <c r="BW149">
        <v>186</v>
      </c>
      <c r="BX149" s="13">
        <f t="shared" si="402"/>
        <v>-0.13084112149532712</v>
      </c>
      <c r="BY149" s="1">
        <v>276214.20587645873</v>
      </c>
      <c r="BZ149" s="13">
        <f t="shared" si="403"/>
        <v>1.4093147305862752E-2</v>
      </c>
      <c r="CA149">
        <v>155</v>
      </c>
      <c r="CB149" s="13">
        <f t="shared" si="404"/>
        <v>-0.16666666666666663</v>
      </c>
      <c r="CC149" s="1">
        <v>273409.70654013468</v>
      </c>
      <c r="CD149" s="13">
        <f t="shared" si="405"/>
        <v>-1.0153349381235022E-2</v>
      </c>
      <c r="CE149">
        <v>169</v>
      </c>
      <c r="CF149" s="13">
        <f t="shared" si="406"/>
        <v>9.0322580645161299E-2</v>
      </c>
      <c r="CG149" s="1">
        <v>268032.47306012269</v>
      </c>
      <c r="CH149" s="13">
        <f t="shared" si="407"/>
        <v>-1.9667310089529155E-2</v>
      </c>
      <c r="CI149">
        <v>206</v>
      </c>
      <c r="CJ149" s="13">
        <f t="shared" si="408"/>
        <v>0.21893491124260356</v>
      </c>
      <c r="CK149" s="1">
        <v>263049.35454563552</v>
      </c>
      <c r="CL149" s="13">
        <f t="shared" si="409"/>
        <v>-1.8591473106206013E-2</v>
      </c>
      <c r="CM149">
        <v>213</v>
      </c>
      <c r="CN149" s="13">
        <f t="shared" si="410"/>
        <v>3.398058252427183E-2</v>
      </c>
      <c r="CO149" s="1">
        <v>262453.29631628608</v>
      </c>
      <c r="CP149" s="13">
        <v>-2.2659558712052608E-3</v>
      </c>
      <c r="CQ149">
        <v>217</v>
      </c>
      <c r="CR149" s="13">
        <v>1.8779342723004744E-2</v>
      </c>
      <c r="CS149" s="1">
        <v>262872.66535600933</v>
      </c>
      <c r="CT149" s="13">
        <f t="shared" si="342"/>
        <v>1.5978806348000418E-3</v>
      </c>
      <c r="CU149">
        <v>228</v>
      </c>
      <c r="CV149" s="13">
        <f t="shared" si="343"/>
        <v>5.0691244239631228E-2</v>
      </c>
      <c r="CW149" s="1">
        <v>258689.3645561086</v>
      </c>
      <c r="CX149" s="13">
        <f t="shared" si="344"/>
        <v>-1.5913791547079503E-2</v>
      </c>
      <c r="CY149">
        <v>232</v>
      </c>
      <c r="CZ149" s="13">
        <f t="shared" si="345"/>
        <v>1.7543859649122862E-2</v>
      </c>
      <c r="DA149" s="1">
        <v>255247.4999348163</v>
      </c>
      <c r="DB149" s="13">
        <f t="shared" si="346"/>
        <v>-1.3305010150681196E-2</v>
      </c>
      <c r="DC149">
        <v>236</v>
      </c>
      <c r="DD149" s="13">
        <f t="shared" si="347"/>
        <v>1.7241379310344751E-2</v>
      </c>
      <c r="DE149" s="1">
        <v>252986.50560925921</v>
      </c>
      <c r="DF149" s="13">
        <f t="shared" si="348"/>
        <v>-8.8580469001047213E-3</v>
      </c>
      <c r="DG149" s="1">
        <v>222</v>
      </c>
      <c r="DH149" s="13">
        <f t="shared" si="349"/>
        <v>-5.9322033898305038E-2</v>
      </c>
      <c r="DI149" s="1">
        <v>250127.79763840791</v>
      </c>
      <c r="DJ149" s="13">
        <f t="shared" si="350"/>
        <v>-1.1299843697065048E-2</v>
      </c>
      <c r="DK149" s="1">
        <v>217</v>
      </c>
      <c r="DL149" s="13">
        <f t="shared" si="351"/>
        <v>-2.2522522522522515E-2</v>
      </c>
      <c r="DM149" s="1">
        <v>252193.02769099429</v>
      </c>
      <c r="DN149" s="13">
        <f t="shared" si="352"/>
        <v>8.2566994635755453E-3</v>
      </c>
      <c r="DO149" s="1">
        <v>253</v>
      </c>
      <c r="DP149" s="13">
        <f t="shared" si="353"/>
        <v>0.16589861751152069</v>
      </c>
      <c r="DQ149" s="1">
        <v>251154.85425419779</v>
      </c>
      <c r="DR149" s="13">
        <f t="shared" si="354"/>
        <v>-4.1165826284006446E-3</v>
      </c>
      <c r="DS149">
        <v>272</v>
      </c>
      <c r="DT149" s="13">
        <f t="shared" si="355"/>
        <v>7.5098814229249022E-2</v>
      </c>
      <c r="DU149" s="1">
        <v>251600.41103547451</v>
      </c>
      <c r="DV149" s="13">
        <f t="shared" si="356"/>
        <v>1.7740321308929996E-3</v>
      </c>
      <c r="DW149">
        <v>254</v>
      </c>
      <c r="DX149" s="13">
        <f t="shared" si="357"/>
        <v>-6.6176470588235281E-2</v>
      </c>
      <c r="DY149" s="1">
        <v>250685.5095803047</v>
      </c>
      <c r="DZ149" s="13">
        <f t="shared" si="358"/>
        <v>-3.6363273470201296E-3</v>
      </c>
      <c r="EA149" s="1">
        <v>256</v>
      </c>
      <c r="EB149" s="13">
        <f t="shared" si="359"/>
        <v>7.8740157480314821E-3</v>
      </c>
      <c r="EC149" s="1">
        <v>253145.90165085639</v>
      </c>
      <c r="ED149" s="13">
        <f t="shared" si="360"/>
        <v>9.814656119018883E-3</v>
      </c>
      <c r="EE149" s="1">
        <f>IFERROR(VLOOKUP($A149,[1]Москва_продажа_районы!$C$2:$F$148,2,0),"")</f>
        <v>236</v>
      </c>
      <c r="EF149" s="13">
        <v>-7.8125E-2</v>
      </c>
      <c r="EG149" s="1">
        <v>254375.32368629979</v>
      </c>
      <c r="EH149" s="13">
        <f t="shared" si="361"/>
        <v>4.8565749136204595E-3</v>
      </c>
      <c r="EI149" s="1">
        <f>IFERROR(VLOOKUP($A149,[2]Москва_продажа_районы!$C$2:$F$150,2,0),"")</f>
        <v>227</v>
      </c>
      <c r="EJ149" s="13">
        <v>-3.8135593220338992E-2</v>
      </c>
      <c r="EK149" s="1">
        <v>257340.98812958441</v>
      </c>
      <c r="EL149" s="13">
        <f t="shared" si="362"/>
        <v>1.165861688275216E-2</v>
      </c>
      <c r="EM149">
        <v>230</v>
      </c>
      <c r="EN149" s="13">
        <f t="shared" si="363"/>
        <v>1.3215859030837107E-2</v>
      </c>
      <c r="EO149" s="1">
        <v>257188.89370058861</v>
      </c>
      <c r="EP149" s="13">
        <f t="shared" si="364"/>
        <v>-5.9102294625223983E-4</v>
      </c>
      <c r="EQ149">
        <v>217</v>
      </c>
      <c r="ER149" s="13">
        <f t="shared" si="365"/>
        <v>-5.6521739130434789E-2</v>
      </c>
      <c r="ES149" s="183">
        <v>263793.12501407188</v>
      </c>
      <c r="ET149" s="13">
        <f t="shared" si="366"/>
        <v>2.5678524521248303E-2</v>
      </c>
      <c r="EU149">
        <v>194</v>
      </c>
      <c r="EV149" s="13">
        <f t="shared" si="367"/>
        <v>-0.10599078341013823</v>
      </c>
      <c r="EW149" s="183">
        <v>268894.73809572938</v>
      </c>
      <c r="EX149" s="13">
        <f t="shared" si="368"/>
        <v>1.9339446702355767E-2</v>
      </c>
      <c r="EY149">
        <v>198</v>
      </c>
      <c r="EZ149" s="13">
        <f t="shared" si="369"/>
        <v>2.0618556701030855E-2</v>
      </c>
      <c r="FA149" s="1">
        <v>270810.32345010177</v>
      </c>
      <c r="FB149" s="13">
        <f t="shared" si="370"/>
        <v>7.1239227957313744E-3</v>
      </c>
      <c r="FC149" s="1">
        <v>175</v>
      </c>
      <c r="FD149" s="13">
        <f t="shared" si="371"/>
        <v>-0.11616161616161613</v>
      </c>
      <c r="FE149" s="1">
        <v>273049.01688284188</v>
      </c>
      <c r="FF149" s="13">
        <f t="shared" si="372"/>
        <v>8.2666473132166907E-3</v>
      </c>
      <c r="FG149" s="1">
        <v>168</v>
      </c>
      <c r="FH149" s="13">
        <f t="shared" si="373"/>
        <v>-4.0000000000000036E-2</v>
      </c>
      <c r="FI149" s="1">
        <v>274058.30118595861</v>
      </c>
      <c r="FJ149" s="13">
        <f t="shared" si="374"/>
        <v>3.6963484235865707E-3</v>
      </c>
      <c r="FK149" s="1">
        <v>204</v>
      </c>
      <c r="FL149" s="13">
        <f t="shared" si="375"/>
        <v>0.21428571428571419</v>
      </c>
      <c r="FM149" s="1">
        <v>273648.20818872273</v>
      </c>
      <c r="FN149" s="13">
        <f t="shared" si="376"/>
        <v>-1.496371375949046E-3</v>
      </c>
      <c r="FO149" s="1">
        <v>218</v>
      </c>
      <c r="FP149" s="13">
        <f t="shared" si="377"/>
        <v>6.8627450980392135E-2</v>
      </c>
      <c r="FQ149" s="1">
        <v>278362.00378353603</v>
      </c>
      <c r="FR149" s="13">
        <f t="shared" si="378"/>
        <v>1.7225749899894893E-2</v>
      </c>
      <c r="FS149">
        <v>228</v>
      </c>
      <c r="FT149" s="13">
        <f t="shared" si="379"/>
        <v>4.587155963302747E-2</v>
      </c>
      <c r="FU149" s="1">
        <v>276445.88881704502</v>
      </c>
      <c r="FV149" s="13">
        <f t="shared" si="380"/>
        <v>-6.8835363319953435E-3</v>
      </c>
      <c r="FW149" s="1">
        <v>238</v>
      </c>
      <c r="FX149" s="13">
        <f t="shared" si="381"/>
        <v>4.3859649122806932E-2</v>
      </c>
      <c r="FY149" s="1">
        <v>279191.44904051989</v>
      </c>
      <c r="FZ149" s="13">
        <f t="shared" si="382"/>
        <v>9.9316370202628956E-3</v>
      </c>
      <c r="GA149" s="1">
        <v>259</v>
      </c>
      <c r="GB149" s="13">
        <f t="shared" si="383"/>
        <v>8.8235294117646967E-2</v>
      </c>
      <c r="GC149" s="1">
        <v>279706.03230764362</v>
      </c>
      <c r="GD149" s="13">
        <f t="shared" si="384"/>
        <v>1.84311972623874E-3</v>
      </c>
      <c r="GE149" s="1">
        <v>246</v>
      </c>
      <c r="GF149" s="13">
        <f t="shared" si="385"/>
        <v>-5.0193050193050204E-2</v>
      </c>
      <c r="GG149" s="1">
        <f>IFERROR(VLOOKUP(A149,[3]Москва_продажа_районы!$C$2:$F$149,3,0),"")</f>
        <v>281124.87784670008</v>
      </c>
      <c r="GH149" s="13">
        <v>5.0726311740603158E-3</v>
      </c>
      <c r="GI149" s="1">
        <v>265</v>
      </c>
      <c r="GJ149" s="13">
        <f t="shared" si="386"/>
        <v>7.7235772357723498E-2</v>
      </c>
      <c r="GK149" s="1">
        <v>278552.18655657402</v>
      </c>
      <c r="GL149" s="13">
        <f t="shared" si="387"/>
        <v>-9.1514180809318946E-3</v>
      </c>
      <c r="GM149" s="1">
        <v>287</v>
      </c>
      <c r="GN149" s="13">
        <f t="shared" si="388"/>
        <v>8.3018867924528283E-2</v>
      </c>
      <c r="GO149" s="1">
        <v>279646.83343038912</v>
      </c>
      <c r="GP149" s="13">
        <f t="shared" si="389"/>
        <v>3.9297730430587485E-3</v>
      </c>
      <c r="GQ149" s="1">
        <v>301.74</v>
      </c>
      <c r="GR149" s="13">
        <f t="shared" si="390"/>
        <v>5.1358885017421585E-2</v>
      </c>
      <c r="GS149" s="1">
        <v>279236.11363561929</v>
      </c>
      <c r="GT149" s="13">
        <f t="shared" si="411"/>
        <v>-1.4687089059138847E-3</v>
      </c>
      <c r="GU149">
        <v>281</v>
      </c>
      <c r="GV149" s="13">
        <f t="shared" si="412"/>
        <v>-6.8734672234374017E-2</v>
      </c>
      <c r="GW149">
        <v>284885.31523415633</v>
      </c>
      <c r="GX149" s="13">
        <f t="shared" si="391"/>
        <v>2.0230913276170215E-2</v>
      </c>
      <c r="GY149">
        <v>248</v>
      </c>
      <c r="GZ149" s="13">
        <f t="shared" si="392"/>
        <v>-0.11743772241992878</v>
      </c>
      <c r="HA149">
        <v>287291.20236380608</v>
      </c>
      <c r="HB149" s="13">
        <v>8.4451075608171777E-3</v>
      </c>
      <c r="HC149">
        <v>211</v>
      </c>
      <c r="HD149" s="13">
        <v>-0.14919354838709675</v>
      </c>
      <c r="HE149">
        <v>293647.06266856368</v>
      </c>
      <c r="HF149" s="13">
        <v>2.2123407373640935E-2</v>
      </c>
      <c r="HG149">
        <v>216</v>
      </c>
      <c r="HH149" s="13">
        <v>2.3696682464454888E-2</v>
      </c>
      <c r="HI149">
        <f>VLOOKUP(A149,[4]Москва_продажа_районы!$C$4:$F$151,3,0)</f>
        <v>292427.91283692821</v>
      </c>
      <c r="HJ149" s="13">
        <f t="shared" si="393"/>
        <v>-4.1517521767671095E-3</v>
      </c>
      <c r="HK149">
        <f>VLOOKUP(A149,[4]Москва_продажа_районы!$C$4:$F$151,2,0)</f>
        <v>218</v>
      </c>
      <c r="HL149" s="13">
        <f t="shared" si="394"/>
        <v>9.2592592592593004E-3</v>
      </c>
      <c r="HM149" s="1">
        <f>VLOOKUP(A149,Лист3!$C$4:$F$149,3,0)</f>
        <v>288530.44931305031</v>
      </c>
      <c r="HN149" s="13">
        <f t="shared" si="395"/>
        <v>-1.3327946316982753E-2</v>
      </c>
      <c r="HO149">
        <f>VLOOKUP(A149,Лист3!$C$4:$F$149,2,0)</f>
        <v>231</v>
      </c>
      <c r="HP149" s="13">
        <f t="shared" si="396"/>
        <v>5.9633027522935755E-2</v>
      </c>
      <c r="HQ149" s="1">
        <v>286327.84263779101</v>
      </c>
      <c r="HR149" s="13">
        <v>-7.6338794761641182E-3</v>
      </c>
      <c r="HS149">
        <v>216</v>
      </c>
      <c r="HT149" s="13">
        <v>-6.4935064935064957E-2</v>
      </c>
      <c r="HU149" s="34">
        <v>287594.49010430381</v>
      </c>
      <c r="HV149" s="13">
        <v>4.4237663192088217E-3</v>
      </c>
      <c r="HW149">
        <v>208</v>
      </c>
      <c r="HX149" s="13">
        <v>-3.703703703703709E-2</v>
      </c>
      <c r="HY149">
        <v>287727.73452022119</v>
      </c>
      <c r="HZ149" s="13">
        <v>4.6330656706627948E-4</v>
      </c>
      <c r="IA149">
        <v>218</v>
      </c>
      <c r="IB149" s="13">
        <v>4.8076923076923128E-2</v>
      </c>
      <c r="IC149" s="34">
        <v>288295.60978634318</v>
      </c>
      <c r="ID149" s="13">
        <v>1.9736549452520347E-3</v>
      </c>
      <c r="IE149">
        <v>211</v>
      </c>
      <c r="IF149" s="13">
        <v>-3.2110091743119296E-2</v>
      </c>
    </row>
    <row r="150" spans="1:240" x14ac:dyDescent="0.3">
      <c r="A150" s="23" t="s">
        <v>151</v>
      </c>
      <c r="B150" s="22"/>
      <c r="D150" s="22"/>
      <c r="F150" s="22">
        <v>175633.65058647544</v>
      </c>
      <c r="G150">
        <v>244</v>
      </c>
      <c r="H150" s="22">
        <v>174629.42379618026</v>
      </c>
      <c r="I150">
        <v>230</v>
      </c>
      <c r="J150" s="22">
        <v>175982.480071392</v>
      </c>
      <c r="K150">
        <v>296</v>
      </c>
      <c r="L150" s="22">
        <v>177143.98822919125</v>
      </c>
      <c r="M150">
        <v>296</v>
      </c>
      <c r="N150" s="22">
        <v>183332.44025017024</v>
      </c>
      <c r="O150" s="28">
        <v>305</v>
      </c>
      <c r="P150" s="39">
        <v>186924.90154920702</v>
      </c>
      <c r="Q150" s="28">
        <v>303</v>
      </c>
      <c r="R150" s="39">
        <v>188303.63895970469</v>
      </c>
      <c r="S150">
        <v>281</v>
      </c>
      <c r="T150" s="46">
        <v>195494.39740084994</v>
      </c>
      <c r="U150" s="47">
        <v>259</v>
      </c>
      <c r="V150" s="56">
        <v>199027.64939305291</v>
      </c>
      <c r="W150" s="47">
        <v>211</v>
      </c>
      <c r="X150" s="56">
        <v>203425.87594767651</v>
      </c>
      <c r="Y150" s="47">
        <v>215</v>
      </c>
      <c r="Z150" s="1">
        <v>205445.7342211309</v>
      </c>
      <c r="AA150" s="81">
        <v>240</v>
      </c>
      <c r="AB150" s="1">
        <v>207850.27411431391</v>
      </c>
      <c r="AC150" s="1">
        <v>265</v>
      </c>
      <c r="AD150" s="1">
        <v>216101.7561861838</v>
      </c>
      <c r="AE150">
        <v>254</v>
      </c>
      <c r="AF150" s="13">
        <f t="shared" si="341"/>
        <v>6.2312034688092766E-2</v>
      </c>
      <c r="AG150" s="85">
        <f t="shared" si="413"/>
        <v>6.8500539374325778E-2</v>
      </c>
      <c r="AH150" s="35">
        <f t="shared" si="414"/>
        <v>13.700107874865155</v>
      </c>
      <c r="AI150" s="87">
        <f t="shared" si="415"/>
        <v>267.70010787486518</v>
      </c>
      <c r="AL150" s="1">
        <v>217397.8840736186</v>
      </c>
      <c r="AM150">
        <v>242</v>
      </c>
      <c r="AN150" s="13">
        <f t="shared" si="416"/>
        <v>6.1577608142493641E-2</v>
      </c>
      <c r="AQ150">
        <f t="shared" si="417"/>
        <v>10</v>
      </c>
      <c r="AR150" s="90">
        <f t="shared" si="418"/>
        <v>252</v>
      </c>
      <c r="AS150">
        <v>257</v>
      </c>
      <c r="AT150" s="1">
        <v>222856.69955025159</v>
      </c>
      <c r="AU150" s="13">
        <f t="shared" si="419"/>
        <v>2.5109791201024079E-2</v>
      </c>
      <c r="AV150" s="35">
        <v>232</v>
      </c>
      <c r="AW150" s="1">
        <v>228155.24252262191</v>
      </c>
      <c r="AX150" s="35">
        <v>253.51111111111112</v>
      </c>
      <c r="AY150" s="121">
        <v>229362.30748147189</v>
      </c>
      <c r="AZ150" s="122">
        <v>266</v>
      </c>
      <c r="BA150" s="119">
        <v>229985.22467872579</v>
      </c>
      <c r="BB150">
        <v>257</v>
      </c>
      <c r="BC150" s="13">
        <f t="shared" si="420"/>
        <v>2.7158655844279345E-3</v>
      </c>
      <c r="BD150">
        <v>277</v>
      </c>
      <c r="BE150" s="1">
        <v>235324.0601394246</v>
      </c>
      <c r="BF150" s="13">
        <f t="shared" si="397"/>
        <v>2.3213819357990495E-2</v>
      </c>
      <c r="BG150">
        <v>253</v>
      </c>
      <c r="BH150" s="1">
        <v>238166.54855986161</v>
      </c>
      <c r="BI150" s="13">
        <f t="shared" si="267"/>
        <v>1.2079038661634955E-2</v>
      </c>
      <c r="BJ150">
        <v>246</v>
      </c>
      <c r="BK150" s="1">
        <v>243011.9074358842</v>
      </c>
      <c r="BL150" s="13">
        <f t="shared" si="398"/>
        <v>2.0344414046898462E-2</v>
      </c>
      <c r="BM150" s="1">
        <v>251696.66211241711</v>
      </c>
      <c r="BN150" s="109">
        <f t="shared" si="399"/>
        <v>3.5737979954024501E-2</v>
      </c>
      <c r="BO150">
        <v>197</v>
      </c>
      <c r="BP150" s="13">
        <f t="shared" si="400"/>
        <v>-0.19918699186991873</v>
      </c>
      <c r="BQ150" s="1">
        <v>256926.79534625061</v>
      </c>
      <c r="BR150" s="13">
        <f t="shared" si="339"/>
        <v>2.0779509707989474E-2</v>
      </c>
      <c r="BS150">
        <v>235</v>
      </c>
      <c r="BT150" s="13">
        <f t="shared" si="340"/>
        <v>0.19289340101522834</v>
      </c>
      <c r="BU150" s="1">
        <v>262428.94562880398</v>
      </c>
      <c r="BV150" s="13">
        <f t="shared" si="401"/>
        <v>2.1415245051176202E-2</v>
      </c>
      <c r="BW150">
        <v>247</v>
      </c>
      <c r="BX150" s="13">
        <f t="shared" si="402"/>
        <v>5.1063829787234116E-2</v>
      </c>
      <c r="BY150" s="1">
        <v>267328.35749275249</v>
      </c>
      <c r="BZ150" s="13">
        <f t="shared" si="403"/>
        <v>1.8669479665092137E-2</v>
      </c>
      <c r="CA150">
        <v>204</v>
      </c>
      <c r="CB150" s="13">
        <f t="shared" si="404"/>
        <v>-0.17408906882591091</v>
      </c>
      <c r="CC150" s="1">
        <v>258011.28598116021</v>
      </c>
      <c r="CD150" s="13">
        <f t="shared" si="405"/>
        <v>-3.4852537153095997E-2</v>
      </c>
      <c r="CE150">
        <v>211</v>
      </c>
      <c r="CF150" s="13">
        <f t="shared" si="406"/>
        <v>3.4313725490196179E-2</v>
      </c>
      <c r="CG150" s="1">
        <v>254143.20124454011</v>
      </c>
      <c r="CH150" s="13">
        <f t="shared" si="407"/>
        <v>-1.4991920690254457E-2</v>
      </c>
      <c r="CI150">
        <v>276</v>
      </c>
      <c r="CJ150" s="13">
        <f t="shared" si="408"/>
        <v>0.30805687203791465</v>
      </c>
      <c r="CK150" s="1">
        <v>249847.24375714679</v>
      </c>
      <c r="CL150" s="13">
        <f t="shared" si="409"/>
        <v>-1.6903688418010043E-2</v>
      </c>
      <c r="CM150">
        <v>275</v>
      </c>
      <c r="CN150" s="13">
        <f t="shared" si="410"/>
        <v>-3.6231884057971175E-3</v>
      </c>
      <c r="CO150" s="1">
        <v>247286.86670537369</v>
      </c>
      <c r="CP150" s="13">
        <v>-1.0247769850372235E-2</v>
      </c>
      <c r="CQ150">
        <v>281</v>
      </c>
      <c r="CR150" s="13">
        <v>2.1818181818181737E-2</v>
      </c>
      <c r="CS150" s="1">
        <v>250627.86976485961</v>
      </c>
      <c r="CT150" s="13">
        <f t="shared" si="342"/>
        <v>1.3510636872869242E-2</v>
      </c>
      <c r="CU150">
        <v>335</v>
      </c>
      <c r="CV150" s="13">
        <f t="shared" si="343"/>
        <v>0.19217081850533813</v>
      </c>
      <c r="CW150" s="1">
        <v>246574.2870860952</v>
      </c>
      <c r="CX150" s="13">
        <f t="shared" si="344"/>
        <v>-1.6173710779122441E-2</v>
      </c>
      <c r="CY150">
        <v>345</v>
      </c>
      <c r="CZ150" s="13">
        <f t="shared" si="345"/>
        <v>2.9850746268656803E-2</v>
      </c>
      <c r="DA150" s="1">
        <v>245472.40705465709</v>
      </c>
      <c r="DB150" s="13">
        <f t="shared" si="346"/>
        <v>-4.4687548099991981E-3</v>
      </c>
      <c r="DC150">
        <v>359</v>
      </c>
      <c r="DD150" s="13">
        <f t="shared" si="347"/>
        <v>4.057971014492745E-2</v>
      </c>
      <c r="DE150" s="1">
        <v>243052.24022458919</v>
      </c>
      <c r="DF150" s="13">
        <f t="shared" si="348"/>
        <v>-9.8592214868737926E-3</v>
      </c>
      <c r="DG150" s="1">
        <v>343</v>
      </c>
      <c r="DH150" s="13">
        <f t="shared" si="349"/>
        <v>-4.4568245125348183E-2</v>
      </c>
      <c r="DI150" s="1">
        <v>244547.8390499049</v>
      </c>
      <c r="DJ150" s="13">
        <f t="shared" si="350"/>
        <v>6.1534048150870824E-3</v>
      </c>
      <c r="DK150" s="1">
        <v>362</v>
      </c>
      <c r="DL150" s="13">
        <f t="shared" si="351"/>
        <v>5.5393586005830997E-2</v>
      </c>
      <c r="DM150" s="1">
        <v>243006.10859397301</v>
      </c>
      <c r="DN150" s="13">
        <f t="shared" si="352"/>
        <v>-6.3044125105405913E-3</v>
      </c>
      <c r="DO150" s="1">
        <v>403</v>
      </c>
      <c r="DP150" s="13">
        <f t="shared" si="353"/>
        <v>0.11325966850828739</v>
      </c>
      <c r="DQ150" s="1">
        <v>243544.97774858671</v>
      </c>
      <c r="DR150" s="13">
        <f t="shared" si="354"/>
        <v>2.2175127931209904E-3</v>
      </c>
      <c r="DS150">
        <v>458</v>
      </c>
      <c r="DT150" s="13">
        <f t="shared" si="355"/>
        <v>0.13647642679900751</v>
      </c>
      <c r="DU150" s="1">
        <v>242752.76258703589</v>
      </c>
      <c r="DV150" s="13">
        <f t="shared" si="356"/>
        <v>-3.2528495100754284E-3</v>
      </c>
      <c r="DW150">
        <v>442</v>
      </c>
      <c r="DX150" s="13">
        <f t="shared" si="357"/>
        <v>-3.4934497816593857E-2</v>
      </c>
      <c r="DY150" s="1">
        <v>241247.4961127053</v>
      </c>
      <c r="DZ150" s="13">
        <f t="shared" si="358"/>
        <v>-6.2008211906173782E-3</v>
      </c>
      <c r="EA150" s="1">
        <v>428</v>
      </c>
      <c r="EB150" s="13">
        <f t="shared" si="359"/>
        <v>-3.1674208144796379E-2</v>
      </c>
      <c r="EC150" s="1">
        <v>245713.91755425659</v>
      </c>
      <c r="ED150" s="13">
        <f t="shared" si="360"/>
        <v>1.8513856158178355E-2</v>
      </c>
      <c r="EE150" s="1">
        <f>IFERROR(VLOOKUP($A150,[1]Москва_продажа_районы!$C$2:$F$148,2,0),"")</f>
        <v>392</v>
      </c>
      <c r="EF150" s="13">
        <v>-8.411214953271029E-2</v>
      </c>
      <c r="EG150" s="1">
        <v>248689.02263412741</v>
      </c>
      <c r="EH150" s="13">
        <f t="shared" si="361"/>
        <v>1.2108003931905476E-2</v>
      </c>
      <c r="EI150" s="1">
        <f>IFERROR(VLOOKUP($A150,[2]Москва_продажа_районы!$C$2:$F$150,2,0),"")</f>
        <v>337</v>
      </c>
      <c r="EJ150" s="13">
        <v>-0.14030612244897955</v>
      </c>
      <c r="EK150" s="1">
        <v>250641.69870640559</v>
      </c>
      <c r="EL150" s="13">
        <f t="shared" si="362"/>
        <v>7.8518788308197252E-3</v>
      </c>
      <c r="EM150">
        <v>310</v>
      </c>
      <c r="EN150" s="13">
        <f t="shared" si="363"/>
        <v>-8.0118694362017795E-2</v>
      </c>
      <c r="EO150" s="1">
        <v>250711.52710475869</v>
      </c>
      <c r="EP150" s="13">
        <f t="shared" si="364"/>
        <v>2.7859848825428912E-4</v>
      </c>
      <c r="EQ150">
        <v>282</v>
      </c>
      <c r="ER150" s="13">
        <f t="shared" si="365"/>
        <v>-9.0322580645161299E-2</v>
      </c>
      <c r="ES150" s="183">
        <v>252772.66080841841</v>
      </c>
      <c r="ET150" s="13">
        <f t="shared" si="366"/>
        <v>8.2211365686368776E-3</v>
      </c>
      <c r="EU150">
        <v>278</v>
      </c>
      <c r="EV150" s="13">
        <f t="shared" si="367"/>
        <v>-1.4184397163120588E-2</v>
      </c>
      <c r="EW150" s="183">
        <v>256868.75876618689</v>
      </c>
      <c r="EX150" s="13">
        <f t="shared" si="368"/>
        <v>1.6204671599643339E-2</v>
      </c>
      <c r="EY150">
        <v>251</v>
      </c>
      <c r="EZ150" s="13">
        <f t="shared" si="369"/>
        <v>-9.7122302158273333E-2</v>
      </c>
      <c r="FA150" s="1">
        <v>259259.7161061471</v>
      </c>
      <c r="FB150" s="13">
        <f t="shared" si="370"/>
        <v>9.3080892804739968E-3</v>
      </c>
      <c r="FC150" s="1">
        <v>216</v>
      </c>
      <c r="FD150" s="13">
        <f t="shared" si="371"/>
        <v>-0.1394422310756972</v>
      </c>
      <c r="FE150" s="1">
        <v>263323.73895193043</v>
      </c>
      <c r="FF150" s="13">
        <f t="shared" si="372"/>
        <v>1.5675489068727622E-2</v>
      </c>
      <c r="FG150" s="1">
        <v>236</v>
      </c>
      <c r="FH150" s="13">
        <f t="shared" si="373"/>
        <v>9.259259259259256E-2</v>
      </c>
      <c r="FI150" s="1">
        <v>262677.77067839802</v>
      </c>
      <c r="FJ150" s="13">
        <f t="shared" si="374"/>
        <v>-2.4531334550521589E-3</v>
      </c>
      <c r="FK150" s="1">
        <v>262</v>
      </c>
      <c r="FL150" s="13">
        <f t="shared" si="375"/>
        <v>0.11016949152542366</v>
      </c>
      <c r="FM150" s="1">
        <v>262931.00638636359</v>
      </c>
      <c r="FN150" s="13">
        <f t="shared" si="376"/>
        <v>9.6405458030024427E-4</v>
      </c>
      <c r="FO150" s="1">
        <v>261</v>
      </c>
      <c r="FP150" s="13">
        <f t="shared" si="377"/>
        <v>-3.8167938931297218E-3</v>
      </c>
      <c r="FQ150" s="1">
        <v>263691.18258675869</v>
      </c>
      <c r="FR150" s="13">
        <f t="shared" si="378"/>
        <v>2.8911622514313784E-3</v>
      </c>
      <c r="FS150">
        <v>283</v>
      </c>
      <c r="FT150" s="13">
        <f t="shared" si="379"/>
        <v>8.4291187739463647E-2</v>
      </c>
      <c r="FU150" s="1">
        <v>265576.83597722609</v>
      </c>
      <c r="FV150" s="13">
        <f t="shared" si="380"/>
        <v>7.1509914437393185E-3</v>
      </c>
      <c r="FW150" s="1">
        <v>311</v>
      </c>
      <c r="FX150" s="13">
        <f t="shared" si="381"/>
        <v>9.8939929328621945E-2</v>
      </c>
      <c r="FY150" s="1">
        <v>265186.35596598341</v>
      </c>
      <c r="FZ150" s="13">
        <f t="shared" si="382"/>
        <v>-1.4703089966632277E-3</v>
      </c>
      <c r="GA150" s="1">
        <v>325</v>
      </c>
      <c r="GB150" s="13">
        <f t="shared" si="383"/>
        <v>4.5016077170418001E-2</v>
      </c>
      <c r="GC150" s="1">
        <v>266679.4516247384</v>
      </c>
      <c r="GD150" s="13">
        <f t="shared" si="384"/>
        <v>5.6303637995105404E-3</v>
      </c>
      <c r="GE150" s="1">
        <v>326</v>
      </c>
      <c r="GF150" s="13">
        <f t="shared" si="385"/>
        <v>3.0769230769229772E-3</v>
      </c>
      <c r="GG150" s="1">
        <f>IFERROR(VLOOKUP(A150,[3]Москва_продажа_районы!$C$2:$F$149,3,0),"")</f>
        <v>269682.93169002928</v>
      </c>
      <c r="GH150" s="13">
        <v>1.126251027963443E-2</v>
      </c>
      <c r="GI150" s="1">
        <v>326</v>
      </c>
      <c r="GJ150" s="13">
        <f t="shared" si="386"/>
        <v>0</v>
      </c>
      <c r="GK150" s="1">
        <v>267236.20321018138</v>
      </c>
      <c r="GL150" s="13">
        <f t="shared" si="387"/>
        <v>-9.0726115461401413E-3</v>
      </c>
      <c r="GM150" s="1">
        <v>321</v>
      </c>
      <c r="GN150" s="13">
        <f t="shared" si="388"/>
        <v>-1.5337423312883458E-2</v>
      </c>
      <c r="GO150" s="1">
        <v>264529.08962711482</v>
      </c>
      <c r="GP150" s="13">
        <f t="shared" si="389"/>
        <v>-1.0130040580382804E-2</v>
      </c>
      <c r="GQ150" s="1">
        <v>352.03000000000003</v>
      </c>
      <c r="GR150" s="13">
        <f t="shared" si="390"/>
        <v>9.6666666666666679E-2</v>
      </c>
      <c r="GS150" s="1">
        <v>262882.08882258763</v>
      </c>
      <c r="GT150" s="13">
        <f t="shared" si="411"/>
        <v>-6.2261613906010593E-3</v>
      </c>
      <c r="GU150">
        <v>316</v>
      </c>
      <c r="GV150" s="13">
        <f t="shared" si="412"/>
        <v>-0.10234923159957965</v>
      </c>
      <c r="GW150">
        <v>263326.54427264043</v>
      </c>
      <c r="GX150" s="13">
        <f t="shared" si="391"/>
        <v>1.690702672226374E-3</v>
      </c>
      <c r="GY150">
        <v>262</v>
      </c>
      <c r="GZ150" s="13">
        <f t="shared" si="392"/>
        <v>-0.17088607594936711</v>
      </c>
      <c r="HA150">
        <v>269189.83813993598</v>
      </c>
      <c r="HB150" s="13">
        <v>2.2266246965307435E-2</v>
      </c>
      <c r="HC150">
        <v>240</v>
      </c>
      <c r="HD150" s="13">
        <v>-8.3969465648854991E-2</v>
      </c>
      <c r="HE150">
        <v>269233.72207280493</v>
      </c>
      <c r="HF150" s="13">
        <v>1.6302224917619235E-4</v>
      </c>
      <c r="HG150">
        <v>253</v>
      </c>
      <c r="HH150" s="13">
        <v>5.4166666666666696E-2</v>
      </c>
      <c r="HI150">
        <f>VLOOKUP(A150,[4]Москва_продажа_районы!$C$4:$F$151,3,0)</f>
        <v>271380.72985784872</v>
      </c>
      <c r="HJ150" s="13">
        <f t="shared" si="393"/>
        <v>7.9745128823915934E-3</v>
      </c>
      <c r="HK150">
        <f>VLOOKUP(A150,[4]Москва_продажа_районы!$C$4:$F$151,2,0)</f>
        <v>255</v>
      </c>
      <c r="HL150" s="13">
        <f t="shared" si="394"/>
        <v>7.905138339920903E-3</v>
      </c>
      <c r="HM150" s="1">
        <f>VLOOKUP(A150,Лист3!$C$4:$F$149,3,0)</f>
        <v>275303.05940808082</v>
      </c>
      <c r="HN150" s="13">
        <f t="shared" si="395"/>
        <v>1.4453235321043811E-2</v>
      </c>
      <c r="HO150">
        <f>VLOOKUP(A150,Лист3!$C$4:$F$149,2,0)</f>
        <v>245</v>
      </c>
      <c r="HP150" s="13">
        <f t="shared" si="396"/>
        <v>-3.9215686274509776E-2</v>
      </c>
      <c r="HQ150" s="1">
        <v>272972.69262333307</v>
      </c>
      <c r="HR150" s="13">
        <v>-8.4647326105208309E-3</v>
      </c>
      <c r="HS150">
        <v>259</v>
      </c>
      <c r="HT150" s="13">
        <v>5.7142857142857162E-2</v>
      </c>
      <c r="HU150" s="34">
        <v>275649.29292133189</v>
      </c>
      <c r="HV150" s="13">
        <v>9.8053774986648357E-3</v>
      </c>
      <c r="HW150">
        <v>269</v>
      </c>
      <c r="HX150" s="13">
        <v>3.8610038610038533E-2</v>
      </c>
      <c r="HY150">
        <v>272637.75950599922</v>
      </c>
      <c r="HZ150" s="13">
        <v>-1.0925235408429379E-2</v>
      </c>
      <c r="IA150">
        <v>277</v>
      </c>
      <c r="IB150" s="13">
        <v>2.9739776951672958E-2</v>
      </c>
      <c r="IC150" s="34">
        <v>272861.88181625807</v>
      </c>
      <c r="ID150" s="13">
        <v>8.2205161407200578E-4</v>
      </c>
      <c r="IE150">
        <v>260</v>
      </c>
      <c r="IF150" s="13">
        <v>-6.1371841155234641E-2</v>
      </c>
    </row>
    <row r="151" spans="1:240" x14ac:dyDescent="0.3">
      <c r="A151" s="23" t="s">
        <v>152</v>
      </c>
      <c r="B151" s="22">
        <v>183724.24698417727</v>
      </c>
      <c r="C151">
        <v>316</v>
      </c>
      <c r="D151" s="22">
        <v>188032.04704369244</v>
      </c>
      <c r="E151">
        <v>325</v>
      </c>
      <c r="F151" s="22">
        <v>187851.60075575486</v>
      </c>
      <c r="G151">
        <v>212</v>
      </c>
      <c r="H151" s="22">
        <v>188676.64695267635</v>
      </c>
      <c r="I151">
        <v>229</v>
      </c>
      <c r="J151" s="22">
        <v>190008.79893989934</v>
      </c>
      <c r="K151">
        <v>274</v>
      </c>
      <c r="L151" s="22">
        <v>190348.34482925374</v>
      </c>
      <c r="M151">
        <v>280</v>
      </c>
      <c r="N151" s="22">
        <v>193369.76010222718</v>
      </c>
      <c r="O151" s="28">
        <v>284</v>
      </c>
      <c r="P151" s="39">
        <v>195732.83042302687</v>
      </c>
      <c r="Q151" s="28">
        <v>279</v>
      </c>
      <c r="R151" s="39">
        <v>199479.66807223443</v>
      </c>
      <c r="S151">
        <v>258</v>
      </c>
      <c r="T151" s="46">
        <v>206746.71111188061</v>
      </c>
      <c r="U151" s="47">
        <v>246</v>
      </c>
      <c r="V151" s="56">
        <v>209764.1345002462</v>
      </c>
      <c r="W151" s="47">
        <v>223</v>
      </c>
      <c r="X151" s="56">
        <v>218337.36552832319</v>
      </c>
      <c r="Y151" s="47">
        <v>221</v>
      </c>
      <c r="Z151" s="34">
        <v>219445.90337666855</v>
      </c>
      <c r="AA151" s="81">
        <v>243</v>
      </c>
      <c r="AB151" s="1">
        <v>216127.55378802799</v>
      </c>
      <c r="AC151" s="1">
        <v>272</v>
      </c>
      <c r="AD151" s="1">
        <v>233015.31994965559</v>
      </c>
      <c r="AE151">
        <v>260</v>
      </c>
      <c r="AF151" s="13">
        <f t="shared" si="341"/>
        <v>6.7226030623825261E-2</v>
      </c>
      <c r="AG151" s="85">
        <f t="shared" si="413"/>
        <v>7.0118662351672065E-2</v>
      </c>
      <c r="AH151" s="35">
        <f t="shared" si="414"/>
        <v>14.023732470334412</v>
      </c>
      <c r="AI151" s="87">
        <f t="shared" si="415"/>
        <v>274.02373247033444</v>
      </c>
      <c r="AL151" s="1">
        <v>234080.16474708269</v>
      </c>
      <c r="AM151">
        <v>277</v>
      </c>
      <c r="AN151" s="13">
        <f t="shared" si="416"/>
        <v>7.0483460559796443E-2</v>
      </c>
      <c r="AQ151">
        <f t="shared" si="417"/>
        <v>12</v>
      </c>
      <c r="AR151" s="90">
        <f t="shared" si="418"/>
        <v>289</v>
      </c>
      <c r="AS151">
        <v>277</v>
      </c>
      <c r="AT151" s="1">
        <v>236884.74180650641</v>
      </c>
      <c r="AU151" s="13">
        <f t="shared" si="419"/>
        <v>1.1981267453626376E-2</v>
      </c>
      <c r="AV151" s="35">
        <v>275</v>
      </c>
      <c r="AW151" s="1">
        <v>240489.74977302019</v>
      </c>
      <c r="AX151" s="35">
        <v>300.49808429118775</v>
      </c>
      <c r="AY151" s="121">
        <v>243966.67719901091</v>
      </c>
      <c r="AZ151" s="122">
        <v>291</v>
      </c>
      <c r="BA151" s="119">
        <v>245507.8809608251</v>
      </c>
      <c r="BB151">
        <v>314</v>
      </c>
      <c r="BC151" s="13">
        <f t="shared" si="420"/>
        <v>6.3172716024533226E-3</v>
      </c>
      <c r="BD151">
        <v>322</v>
      </c>
      <c r="BE151" s="1">
        <v>245622.36850718339</v>
      </c>
      <c r="BF151" s="13">
        <f t="shared" si="397"/>
        <v>4.6632941439694875E-4</v>
      </c>
      <c r="BG151">
        <v>300</v>
      </c>
      <c r="BH151" s="1">
        <v>249259.39373322559</v>
      </c>
      <c r="BI151" s="13">
        <f t="shared" si="267"/>
        <v>1.4807386021667757E-2</v>
      </c>
      <c r="BJ151">
        <v>268</v>
      </c>
      <c r="BK151" s="1">
        <v>255887.90270756671</v>
      </c>
      <c r="BL151" s="13">
        <f t="shared" si="398"/>
        <v>2.6592815119479196E-2</v>
      </c>
      <c r="BM151" s="1">
        <v>258180.96650376311</v>
      </c>
      <c r="BN151" s="109">
        <f t="shared" si="399"/>
        <v>8.9612043865041624E-3</v>
      </c>
      <c r="BO151">
        <v>225</v>
      </c>
      <c r="BP151" s="13">
        <f t="shared" si="400"/>
        <v>-0.16044776119402981</v>
      </c>
      <c r="BQ151" s="1">
        <v>262050.0606296011</v>
      </c>
      <c r="BR151" s="13">
        <f t="shared" si="339"/>
        <v>1.4985977387227623E-2</v>
      </c>
      <c r="BS151">
        <v>264</v>
      </c>
      <c r="BT151" s="13">
        <f t="shared" si="340"/>
        <v>0.17333333333333334</v>
      </c>
      <c r="BU151" s="1">
        <v>271281.99078397331</v>
      </c>
      <c r="BV151" s="13">
        <f t="shared" si="401"/>
        <v>3.5229643268128275E-2</v>
      </c>
      <c r="BW151">
        <v>243</v>
      </c>
      <c r="BX151" s="13">
        <f t="shared" si="402"/>
        <v>-7.9545454545454586E-2</v>
      </c>
      <c r="BY151" s="1">
        <v>273733.38557792298</v>
      </c>
      <c r="BZ151" s="13">
        <f t="shared" si="403"/>
        <v>9.0363344314359217E-3</v>
      </c>
      <c r="CA151">
        <v>220</v>
      </c>
      <c r="CB151" s="13">
        <f t="shared" si="404"/>
        <v>-9.4650205761316886E-2</v>
      </c>
      <c r="CC151" s="1">
        <v>276334.70093457768</v>
      </c>
      <c r="CD151" s="13">
        <f t="shared" si="405"/>
        <v>9.5030986124058359E-3</v>
      </c>
      <c r="CE151">
        <v>290</v>
      </c>
      <c r="CF151" s="13">
        <f t="shared" si="406"/>
        <v>0.31818181818181812</v>
      </c>
      <c r="CG151" s="1">
        <v>274877.61334586242</v>
      </c>
      <c r="CH151" s="13">
        <f t="shared" si="407"/>
        <v>-5.2729084830364092E-3</v>
      </c>
      <c r="CI151">
        <v>358</v>
      </c>
      <c r="CJ151" s="13">
        <f t="shared" si="408"/>
        <v>0.23448275862068968</v>
      </c>
      <c r="CK151" s="1">
        <v>273273.34850227082</v>
      </c>
      <c r="CL151" s="13">
        <f t="shared" si="409"/>
        <v>-5.8362877357096554E-3</v>
      </c>
      <c r="CM151">
        <v>370</v>
      </c>
      <c r="CN151" s="13">
        <f t="shared" si="410"/>
        <v>3.3519553072625774E-2</v>
      </c>
      <c r="CO151" s="1">
        <v>271441.76000636368</v>
      </c>
      <c r="CP151" s="13">
        <v>-6.702404409158591E-3</v>
      </c>
      <c r="CQ151">
        <v>387</v>
      </c>
      <c r="CR151" s="13">
        <v>4.5945945945945921E-2</v>
      </c>
      <c r="CS151" s="1">
        <v>270344.93609923078</v>
      </c>
      <c r="CT151" s="13">
        <f t="shared" si="342"/>
        <v>-4.0407338469481413E-3</v>
      </c>
      <c r="CU151">
        <v>403</v>
      </c>
      <c r="CV151" s="13">
        <f t="shared" si="343"/>
        <v>4.134366925064592E-2</v>
      </c>
      <c r="CW151" s="1">
        <v>265630.25519864401</v>
      </c>
      <c r="CX151" s="13">
        <f t="shared" si="344"/>
        <v>-1.7439501433295646E-2</v>
      </c>
      <c r="CY151">
        <v>401</v>
      </c>
      <c r="CZ151" s="13">
        <f t="shared" si="345"/>
        <v>-4.9627791563275903E-3</v>
      </c>
      <c r="DA151" s="1">
        <v>263721.59597722802</v>
      </c>
      <c r="DB151" s="13">
        <f t="shared" si="346"/>
        <v>-7.1853984403570381E-3</v>
      </c>
      <c r="DC151">
        <v>392</v>
      </c>
      <c r="DD151" s="13">
        <f t="shared" si="347"/>
        <v>-2.244389027431426E-2</v>
      </c>
      <c r="DE151" s="1">
        <v>259533.0492896488</v>
      </c>
      <c r="DF151" s="13">
        <f t="shared" si="348"/>
        <v>-1.5882456163889169E-2</v>
      </c>
      <c r="DG151" s="1">
        <v>402</v>
      </c>
      <c r="DH151" s="13">
        <f t="shared" si="349"/>
        <v>2.5510204081632626E-2</v>
      </c>
      <c r="DI151" s="1">
        <v>258229.1253784202</v>
      </c>
      <c r="DJ151" s="13">
        <f t="shared" si="350"/>
        <v>-5.0241150974702498E-3</v>
      </c>
      <c r="DK151" s="1">
        <v>369</v>
      </c>
      <c r="DL151" s="13">
        <f t="shared" si="351"/>
        <v>-8.2089552238805985E-2</v>
      </c>
      <c r="DM151" s="1">
        <v>258510.01580986299</v>
      </c>
      <c r="DN151" s="13">
        <f t="shared" si="352"/>
        <v>1.0877565845106574E-3</v>
      </c>
      <c r="DO151" s="1">
        <v>391</v>
      </c>
      <c r="DP151" s="13">
        <f t="shared" si="353"/>
        <v>5.9620596205962162E-2</v>
      </c>
      <c r="DQ151" s="1">
        <v>257392.10775559751</v>
      </c>
      <c r="DR151" s="13">
        <f t="shared" si="354"/>
        <v>-4.3244284008234768E-3</v>
      </c>
      <c r="DS151">
        <v>397</v>
      </c>
      <c r="DT151" s="13">
        <f t="shared" si="355"/>
        <v>1.5345268542199531E-2</v>
      </c>
      <c r="DU151" s="1">
        <v>256652.32657613669</v>
      </c>
      <c r="DV151" s="13">
        <f t="shared" si="356"/>
        <v>-2.8741408814416669E-3</v>
      </c>
      <c r="DW151">
        <v>381</v>
      </c>
      <c r="DX151" s="13">
        <f t="shared" si="357"/>
        <v>-4.0302267002518932E-2</v>
      </c>
      <c r="DY151" s="1">
        <v>259334.0007233918</v>
      </c>
      <c r="DZ151" s="13">
        <f t="shared" si="358"/>
        <v>1.0448664865150059E-2</v>
      </c>
      <c r="EA151" s="1">
        <v>381</v>
      </c>
      <c r="EB151" s="13">
        <f t="shared" si="359"/>
        <v>0</v>
      </c>
      <c r="EC151" s="1">
        <v>260587.13817012939</v>
      </c>
      <c r="ED151" s="13">
        <f t="shared" si="360"/>
        <v>4.8321371021233794E-3</v>
      </c>
      <c r="EE151" s="1">
        <f>IFERROR(VLOOKUP($A151,[1]Москва_продажа_районы!$C$2:$F$148,2,0),"")</f>
        <v>378</v>
      </c>
      <c r="EF151" s="13">
        <v>-7.8740157480314821E-3</v>
      </c>
      <c r="EG151" s="1">
        <v>264297.58815992548</v>
      </c>
      <c r="EH151" s="13">
        <f t="shared" si="361"/>
        <v>1.4238807087146643E-2</v>
      </c>
      <c r="EI151" s="1">
        <f>IFERROR(VLOOKUP($A151,[2]Москва_продажа_районы!$C$2:$F$150,2,0),"")</f>
        <v>350</v>
      </c>
      <c r="EJ151" s="13">
        <v>-7.407407407407407E-2</v>
      </c>
      <c r="EK151" s="1">
        <v>268015.86327594961</v>
      </c>
      <c r="EL151" s="13">
        <f t="shared" si="362"/>
        <v>1.4068517014896864E-2</v>
      </c>
      <c r="EM151">
        <v>298</v>
      </c>
      <c r="EN151" s="13">
        <f t="shared" si="363"/>
        <v>-0.14857142857142858</v>
      </c>
      <c r="EO151" s="1">
        <v>274419.10345881019</v>
      </c>
      <c r="EP151" s="13">
        <f t="shared" si="364"/>
        <v>2.3891273093293641E-2</v>
      </c>
      <c r="EQ151">
        <v>267</v>
      </c>
      <c r="ER151" s="13">
        <f t="shared" si="365"/>
        <v>-0.10402684563758391</v>
      </c>
      <c r="ES151" s="183">
        <v>277170.2653582436</v>
      </c>
      <c r="ET151" s="13">
        <f t="shared" si="366"/>
        <v>1.002540225792381E-2</v>
      </c>
      <c r="EU151">
        <v>257</v>
      </c>
      <c r="EV151" s="13">
        <f t="shared" si="367"/>
        <v>-3.7453183520599231E-2</v>
      </c>
      <c r="EW151" s="183">
        <v>282749.92491921212</v>
      </c>
      <c r="EX151" s="13">
        <f t="shared" si="368"/>
        <v>2.0130801382164165E-2</v>
      </c>
      <c r="EY151">
        <v>288</v>
      </c>
      <c r="EZ151" s="13">
        <f t="shared" si="369"/>
        <v>0.12062256809338523</v>
      </c>
      <c r="FA151" s="1">
        <v>285071.80177012138</v>
      </c>
      <c r="FB151" s="13">
        <f t="shared" si="370"/>
        <v>8.2117682314952756E-3</v>
      </c>
      <c r="FC151" s="1">
        <v>261</v>
      </c>
      <c r="FD151" s="13">
        <f t="shared" si="371"/>
        <v>-9.375E-2</v>
      </c>
      <c r="FE151" s="1">
        <v>284207.37501987169</v>
      </c>
      <c r="FF151" s="13">
        <f t="shared" si="372"/>
        <v>-3.0323123679092401E-3</v>
      </c>
      <c r="FG151" s="1">
        <v>261</v>
      </c>
      <c r="FH151" s="13">
        <f t="shared" si="373"/>
        <v>0</v>
      </c>
      <c r="FI151" s="1">
        <v>284403.20725042309</v>
      </c>
      <c r="FJ151" s="13">
        <f t="shared" si="374"/>
        <v>6.8904696979710245E-4</v>
      </c>
      <c r="FK151" s="1">
        <v>273</v>
      </c>
      <c r="FL151" s="13">
        <f t="shared" si="375"/>
        <v>4.5977011494252817E-2</v>
      </c>
      <c r="FM151" s="1">
        <v>282470.82908329612</v>
      </c>
      <c r="FN151" s="13">
        <f t="shared" si="376"/>
        <v>-6.7945020234088105E-3</v>
      </c>
      <c r="FO151" s="1">
        <v>304</v>
      </c>
      <c r="FP151" s="13">
        <f t="shared" si="377"/>
        <v>0.11355311355311359</v>
      </c>
      <c r="FQ151" s="1">
        <v>283848.41366685438</v>
      </c>
      <c r="FR151" s="13">
        <f t="shared" si="378"/>
        <v>4.876909194584611E-3</v>
      </c>
      <c r="FS151">
        <v>311</v>
      </c>
      <c r="FT151" s="13">
        <f t="shared" si="379"/>
        <v>2.3026315789473673E-2</v>
      </c>
      <c r="FU151" s="1">
        <v>283751.817783273</v>
      </c>
      <c r="FV151" s="13">
        <f t="shared" si="380"/>
        <v>-3.4030799162665382E-4</v>
      </c>
      <c r="FW151" s="1">
        <v>328</v>
      </c>
      <c r="FX151" s="13">
        <f t="shared" si="381"/>
        <v>5.4662379421221763E-2</v>
      </c>
      <c r="FY151" s="1">
        <v>285410.02849544288</v>
      </c>
      <c r="FZ151" s="13">
        <f t="shared" si="382"/>
        <v>5.8438769665836166E-3</v>
      </c>
      <c r="GA151" s="1">
        <v>320</v>
      </c>
      <c r="GB151" s="13">
        <f t="shared" si="383"/>
        <v>-2.4390243902439046E-2</v>
      </c>
      <c r="GC151" s="1">
        <v>290214.65066026943</v>
      </c>
      <c r="GD151" s="13">
        <f t="shared" si="384"/>
        <v>1.6834104218952817E-2</v>
      </c>
      <c r="GE151" s="1">
        <v>319</v>
      </c>
      <c r="GF151" s="13">
        <f t="shared" si="385"/>
        <v>-3.1250000000000444E-3</v>
      </c>
      <c r="GG151" s="1">
        <f>IFERROR(VLOOKUP(A151,[3]Москва_продажа_районы!$C$2:$F$149,3,0),"")</f>
        <v>289911.7291144628</v>
      </c>
      <c r="GH151" s="13">
        <v>-1.0437844716573164E-3</v>
      </c>
      <c r="GI151" s="1">
        <v>330</v>
      </c>
      <c r="GJ151" s="13">
        <f t="shared" si="386"/>
        <v>3.4482758620689724E-2</v>
      </c>
      <c r="GK151" s="1">
        <v>288967.12532543909</v>
      </c>
      <c r="GL151" s="13">
        <f t="shared" si="387"/>
        <v>-3.2582461975891874E-3</v>
      </c>
      <c r="GM151" s="1">
        <v>328</v>
      </c>
      <c r="GN151" s="13">
        <f t="shared" si="388"/>
        <v>-6.0606060606060996E-3</v>
      </c>
      <c r="GO151" s="1">
        <v>288313.45004979637</v>
      </c>
      <c r="GP151" s="13">
        <f t="shared" si="389"/>
        <v>-2.26210948704475E-3</v>
      </c>
      <c r="GQ151" s="1">
        <v>323.14000000000004</v>
      </c>
      <c r="GR151" s="13">
        <f t="shared" si="390"/>
        <v>-1.4817073170731554E-2</v>
      </c>
      <c r="GS151" s="1">
        <v>287689.77298651909</v>
      </c>
      <c r="GT151" s="13">
        <f t="shared" si="411"/>
        <v>-2.1631910102341001E-3</v>
      </c>
      <c r="GU151">
        <v>308</v>
      </c>
      <c r="GV151" s="13">
        <f t="shared" si="412"/>
        <v>-4.6852757318809335E-2</v>
      </c>
      <c r="GW151">
        <v>288977.89566612599</v>
      </c>
      <c r="GX151" s="13">
        <f t="shared" si="391"/>
        <v>4.477471222681384E-3</v>
      </c>
      <c r="GY151">
        <v>254</v>
      </c>
      <c r="GZ151" s="13">
        <f t="shared" si="392"/>
        <v>-0.17532467532467533</v>
      </c>
      <c r="HA151">
        <v>290515.25310003402</v>
      </c>
      <c r="HB151" s="13">
        <v>5.3199827978684944E-3</v>
      </c>
      <c r="HC151">
        <v>247</v>
      </c>
      <c r="HD151" s="13">
        <v>-2.7559055118110187E-2</v>
      </c>
      <c r="HE151">
        <v>294964.82464461599</v>
      </c>
      <c r="HF151" s="13">
        <v>1.5316137438917243E-2</v>
      </c>
      <c r="HG151">
        <v>257</v>
      </c>
      <c r="HH151" s="13">
        <v>4.0485829959514108E-2</v>
      </c>
      <c r="HI151">
        <f>VLOOKUP(A151,[4]Москва_продажа_районы!$C$4:$F$151,3,0)</f>
        <v>293402.55816193821</v>
      </c>
      <c r="HJ151" s="13">
        <f t="shared" si="393"/>
        <v>-5.2964501260787111E-3</v>
      </c>
      <c r="HK151">
        <f>VLOOKUP(A151,[4]Москва_продажа_районы!$C$4:$F$151,2,0)</f>
        <v>241</v>
      </c>
      <c r="HL151" s="13">
        <f t="shared" si="394"/>
        <v>-6.2256809338521402E-2</v>
      </c>
      <c r="HM151" s="1">
        <f>VLOOKUP(A151,Лист3!$C$4:$F$149,3,0)</f>
        <v>297908.34999441018</v>
      </c>
      <c r="HN151" s="13">
        <f t="shared" si="395"/>
        <v>1.5357029811529754E-2</v>
      </c>
      <c r="HO151">
        <f>VLOOKUP(A151,Лист3!$C$4:$F$149,2,0)</f>
        <v>242</v>
      </c>
      <c r="HP151" s="13">
        <f t="shared" si="396"/>
        <v>4.1493775933609811E-3</v>
      </c>
      <c r="HQ151" s="1">
        <v>292878.85506388813</v>
      </c>
      <c r="HR151" s="13">
        <v>-1.6882692044772885E-2</v>
      </c>
      <c r="HS151">
        <v>257</v>
      </c>
      <c r="HT151" s="13">
        <v>6.198347107438007E-2</v>
      </c>
      <c r="HU151" s="34">
        <v>290480.0900026086</v>
      </c>
      <c r="HV151" s="13">
        <v>-8.1902978648160651E-3</v>
      </c>
      <c r="HW151">
        <v>233</v>
      </c>
      <c r="HX151" s="13">
        <v>-9.3385214007782102E-2</v>
      </c>
      <c r="HY151">
        <v>295687.63543692272</v>
      </c>
      <c r="HZ151" s="13">
        <v>1.7927374761786075E-2</v>
      </c>
      <c r="IA151">
        <v>232</v>
      </c>
      <c r="IB151" s="13">
        <v>-4.2918454935622075E-3</v>
      </c>
      <c r="IC151" s="34">
        <v>299689.61211768782</v>
      </c>
      <c r="ID151" s="13">
        <v>1.3534474225990412E-2</v>
      </c>
      <c r="IE151">
        <v>228</v>
      </c>
      <c r="IF151" s="13">
        <v>-1.7241379310344862E-2</v>
      </c>
    </row>
    <row r="152" spans="1:240" x14ac:dyDescent="0.3">
      <c r="A152" s="23" t="s">
        <v>153</v>
      </c>
      <c r="B152" s="22">
        <v>189981.89174999995</v>
      </c>
      <c r="C152">
        <v>266</v>
      </c>
      <c r="D152" s="22">
        <v>192370.27499404774</v>
      </c>
      <c r="E152">
        <v>252</v>
      </c>
      <c r="F152" s="22">
        <v>191743.6583338709</v>
      </c>
      <c r="G152">
        <v>186</v>
      </c>
      <c r="H152" s="22">
        <v>193657.80053117467</v>
      </c>
      <c r="I152">
        <v>167</v>
      </c>
      <c r="J152" s="22">
        <v>190290.38884709327</v>
      </c>
      <c r="K152">
        <v>215</v>
      </c>
      <c r="L152" s="22">
        <v>193667.98097008784</v>
      </c>
      <c r="M152">
        <v>246</v>
      </c>
      <c r="N152" s="22">
        <v>197343.82943941135</v>
      </c>
      <c r="O152" s="28">
        <v>236</v>
      </c>
      <c r="P152" s="39">
        <v>202765.79113661783</v>
      </c>
      <c r="Q152" s="28">
        <v>219</v>
      </c>
      <c r="R152" s="39">
        <v>210518.15731539158</v>
      </c>
      <c r="S152">
        <v>187</v>
      </c>
      <c r="T152" s="46">
        <v>218935.69421688019</v>
      </c>
      <c r="U152" s="47">
        <v>161</v>
      </c>
      <c r="V152" s="56">
        <v>225589.89611686321</v>
      </c>
      <c r="W152" s="47">
        <v>200</v>
      </c>
      <c r="X152" s="56">
        <v>232692.4434499387</v>
      </c>
      <c r="Y152" s="47">
        <v>204</v>
      </c>
      <c r="Z152" s="1">
        <v>234068.54654055531</v>
      </c>
      <c r="AA152" s="81">
        <v>223</v>
      </c>
      <c r="AB152" s="1">
        <v>238340.74463664979</v>
      </c>
      <c r="AC152" s="1">
        <v>267</v>
      </c>
      <c r="AD152" s="1">
        <v>240861.4612412237</v>
      </c>
      <c r="AE152">
        <v>218</v>
      </c>
      <c r="AF152" s="13">
        <f t="shared" si="341"/>
        <v>3.5106502257528094E-2</v>
      </c>
      <c r="AG152" s="85">
        <f t="shared" si="413"/>
        <v>5.8791801510248112E-2</v>
      </c>
      <c r="AH152" s="35">
        <f t="shared" si="414"/>
        <v>11.758360302049622</v>
      </c>
      <c r="AI152" s="87">
        <f t="shared" si="415"/>
        <v>229.75836030204962</v>
      </c>
      <c r="AL152" s="1">
        <v>246119.29471400499</v>
      </c>
      <c r="AM152">
        <v>230</v>
      </c>
      <c r="AN152" s="13">
        <f t="shared" si="416"/>
        <v>5.8524173027989825E-2</v>
      </c>
      <c r="AQ152">
        <f t="shared" si="417"/>
        <v>10</v>
      </c>
      <c r="AR152" s="90">
        <f t="shared" si="418"/>
        <v>240</v>
      </c>
      <c r="AS152">
        <v>226</v>
      </c>
      <c r="AT152" s="1">
        <v>251069.52058718129</v>
      </c>
      <c r="AU152" s="13">
        <f t="shared" si="419"/>
        <v>2.0113115791789316E-2</v>
      </c>
      <c r="AV152" s="35">
        <v>208</v>
      </c>
      <c r="AW152" s="1">
        <v>252125.18360327749</v>
      </c>
      <c r="AX152" s="35">
        <v>227.28582375478928</v>
      </c>
      <c r="AY152" s="121">
        <v>252739.48277096279</v>
      </c>
      <c r="AZ152" s="122">
        <v>219</v>
      </c>
      <c r="BA152" s="119">
        <v>258536.97746692991</v>
      </c>
      <c r="BB152">
        <v>217</v>
      </c>
      <c r="BC152" s="13">
        <f t="shared" si="420"/>
        <v>2.2938618977949465E-2</v>
      </c>
      <c r="BD152">
        <v>218</v>
      </c>
      <c r="BE152" s="1">
        <v>262970.8646741485</v>
      </c>
      <c r="BF152" s="13">
        <f t="shared" si="397"/>
        <v>1.7149915074665678E-2</v>
      </c>
      <c r="BG152">
        <v>201</v>
      </c>
      <c r="BH152" s="1">
        <v>268579.22927135549</v>
      </c>
      <c r="BI152" s="13">
        <f t="shared" si="267"/>
        <v>2.1326942831314755E-2</v>
      </c>
      <c r="BJ152">
        <v>226</v>
      </c>
      <c r="BK152" s="1">
        <v>269152.56008769391</v>
      </c>
      <c r="BL152" s="13">
        <f t="shared" si="398"/>
        <v>2.1346803991277863E-3</v>
      </c>
      <c r="BM152" s="1">
        <v>273342.19994899142</v>
      </c>
      <c r="BN152" s="109">
        <f t="shared" si="399"/>
        <v>1.556604128131811E-2</v>
      </c>
      <c r="BO152">
        <v>248</v>
      </c>
      <c r="BP152" s="13">
        <f t="shared" si="400"/>
        <v>9.7345132743362761E-2</v>
      </c>
      <c r="BQ152" s="1">
        <v>275394.57259225223</v>
      </c>
      <c r="BR152" s="13">
        <f t="shared" si="339"/>
        <v>7.5084368372091426E-3</v>
      </c>
      <c r="BS152">
        <v>288</v>
      </c>
      <c r="BT152" s="13">
        <f t="shared" si="340"/>
        <v>0.16129032258064524</v>
      </c>
      <c r="BU152" s="1">
        <v>281117.41739874979</v>
      </c>
      <c r="BV152" s="13">
        <f t="shared" si="401"/>
        <v>2.0780528652504682E-2</v>
      </c>
      <c r="BW152">
        <v>288</v>
      </c>
      <c r="BX152" s="13">
        <f t="shared" si="402"/>
        <v>0</v>
      </c>
      <c r="BY152" s="1">
        <v>282808.63174518477</v>
      </c>
      <c r="BZ152" s="13">
        <f t="shared" si="403"/>
        <v>6.0160425564670383E-3</v>
      </c>
      <c r="CA152">
        <v>249</v>
      </c>
      <c r="CB152" s="13">
        <f t="shared" si="404"/>
        <v>-0.13541666666666663</v>
      </c>
      <c r="CC152" s="1">
        <v>281065.2502331509</v>
      </c>
      <c r="CD152" s="13">
        <f t="shared" si="405"/>
        <v>-6.1645272326931178E-3</v>
      </c>
      <c r="CE152">
        <v>282</v>
      </c>
      <c r="CF152" s="13">
        <f t="shared" si="406"/>
        <v>0.1325301204819278</v>
      </c>
      <c r="CG152" s="1">
        <v>276936.52772347513</v>
      </c>
      <c r="CH152" s="13">
        <f t="shared" si="407"/>
        <v>-1.4689551647707799E-2</v>
      </c>
      <c r="CI152">
        <v>332</v>
      </c>
      <c r="CJ152" s="13">
        <f t="shared" si="408"/>
        <v>0.17730496453900702</v>
      </c>
      <c r="CK152" s="1">
        <v>274748.42368105479</v>
      </c>
      <c r="CL152" s="13">
        <f t="shared" si="409"/>
        <v>-7.9011030448290498E-3</v>
      </c>
      <c r="CM152">
        <v>336</v>
      </c>
      <c r="CN152" s="13">
        <f t="shared" si="410"/>
        <v>1.2048192771084265E-2</v>
      </c>
      <c r="CO152" s="1">
        <v>274413.51512416801</v>
      </c>
      <c r="CP152" s="13">
        <v>-1.2189644344440254E-3</v>
      </c>
      <c r="CQ152">
        <v>353</v>
      </c>
      <c r="CR152" s="13">
        <v>5.0595238095238138E-2</v>
      </c>
      <c r="CS152" s="1">
        <v>274552.37939175853</v>
      </c>
      <c r="CT152" s="13">
        <f t="shared" si="342"/>
        <v>5.0604019094202535E-4</v>
      </c>
      <c r="CU152">
        <v>369</v>
      </c>
      <c r="CV152" s="13">
        <f t="shared" si="343"/>
        <v>4.5325779036827107E-2</v>
      </c>
      <c r="CW152" s="1">
        <v>268823.22575420409</v>
      </c>
      <c r="CX152" s="13">
        <f t="shared" si="344"/>
        <v>-2.086725181638116E-2</v>
      </c>
      <c r="CY152">
        <v>347</v>
      </c>
      <c r="CZ152" s="13">
        <f t="shared" si="345"/>
        <v>-5.9620596205962051E-2</v>
      </c>
      <c r="DA152" s="1">
        <v>266206.65253178141</v>
      </c>
      <c r="DB152" s="13">
        <f t="shared" si="346"/>
        <v>-9.7334343603745488E-3</v>
      </c>
      <c r="DC152">
        <v>310</v>
      </c>
      <c r="DD152" s="13">
        <f t="shared" si="347"/>
        <v>-0.10662824207492794</v>
      </c>
      <c r="DE152" s="1">
        <v>264021.18318263971</v>
      </c>
      <c r="DF152" s="13">
        <f t="shared" si="348"/>
        <v>-8.2096721789504112E-3</v>
      </c>
      <c r="DG152" s="1">
        <v>269</v>
      </c>
      <c r="DH152" s="13">
        <f t="shared" si="349"/>
        <v>-0.13225806451612898</v>
      </c>
      <c r="DI152" s="1">
        <v>263901.59133877337</v>
      </c>
      <c r="DJ152" s="13">
        <f t="shared" si="350"/>
        <v>-4.5296306313269419E-4</v>
      </c>
      <c r="DK152" s="1">
        <v>255</v>
      </c>
      <c r="DL152" s="13">
        <f t="shared" si="351"/>
        <v>-5.2044609665427455E-2</v>
      </c>
      <c r="DM152" s="1">
        <v>270482.41733605269</v>
      </c>
      <c r="DN152" s="13">
        <f t="shared" si="352"/>
        <v>2.4936666595660739E-2</v>
      </c>
      <c r="DO152" s="1">
        <v>277</v>
      </c>
      <c r="DP152" s="13">
        <f t="shared" si="353"/>
        <v>8.6274509803921484E-2</v>
      </c>
      <c r="DQ152" s="1">
        <v>268308.89959836449</v>
      </c>
      <c r="DR152" s="13">
        <f t="shared" si="354"/>
        <v>-8.035708047476442E-3</v>
      </c>
      <c r="DS152">
        <v>310</v>
      </c>
      <c r="DT152" s="13">
        <f t="shared" si="355"/>
        <v>0.11913357400722013</v>
      </c>
      <c r="DU152" s="1">
        <v>262534.24793652218</v>
      </c>
      <c r="DV152" s="13">
        <f t="shared" si="356"/>
        <v>-2.1522400749607873E-2</v>
      </c>
      <c r="DW152">
        <v>289</v>
      </c>
      <c r="DX152" s="13">
        <f t="shared" si="357"/>
        <v>-6.7741935483870974E-2</v>
      </c>
      <c r="DY152" s="1">
        <v>265453.84251032601</v>
      </c>
      <c r="DZ152" s="13">
        <f t="shared" si="358"/>
        <v>1.1120814129018886E-2</v>
      </c>
      <c r="EA152" s="1">
        <v>288</v>
      </c>
      <c r="EB152" s="13">
        <f t="shared" si="359"/>
        <v>-3.4602076124568004E-3</v>
      </c>
      <c r="EC152" s="1">
        <v>264594.25666487409</v>
      </c>
      <c r="ED152" s="13">
        <f t="shared" si="360"/>
        <v>-3.2381744310914229E-3</v>
      </c>
      <c r="EE152" s="1">
        <f>IFERROR(VLOOKUP($A152,[1]Москва_продажа_районы!$C$2:$F$148,2,0),"")</f>
        <v>267</v>
      </c>
      <c r="EF152" s="13">
        <v>-7.291666666666663E-2</v>
      </c>
      <c r="EG152" s="1">
        <v>270510.69424018322</v>
      </c>
      <c r="EH152" s="13">
        <f t="shared" si="361"/>
        <v>2.236041571681846E-2</v>
      </c>
      <c r="EI152" s="1">
        <f>IFERROR(VLOOKUP($A152,[2]Москва_продажа_районы!$C$2:$F$150,2,0),"")</f>
        <v>234</v>
      </c>
      <c r="EJ152" s="13">
        <v>-0.1235955056179775</v>
      </c>
      <c r="EK152" s="1">
        <v>272123.49908703112</v>
      </c>
      <c r="EL152" s="13">
        <f t="shared" si="362"/>
        <v>5.9620742587569442E-3</v>
      </c>
      <c r="EM152">
        <v>230</v>
      </c>
      <c r="EN152" s="13">
        <f t="shared" si="363"/>
        <v>-1.7094017094017144E-2</v>
      </c>
      <c r="EO152" s="1">
        <v>283004.10905009729</v>
      </c>
      <c r="EP152" s="13">
        <f t="shared" si="364"/>
        <v>3.9984088105475601E-2</v>
      </c>
      <c r="EQ152">
        <v>211</v>
      </c>
      <c r="ER152" s="13">
        <f t="shared" si="365"/>
        <v>-8.260869565217388E-2</v>
      </c>
      <c r="ES152" s="183">
        <v>283539.01631701418</v>
      </c>
      <c r="ET152" s="13">
        <f t="shared" si="366"/>
        <v>1.8901042416390457E-3</v>
      </c>
      <c r="EU152">
        <v>231</v>
      </c>
      <c r="EV152" s="13">
        <f t="shared" si="367"/>
        <v>9.4786729857819996E-2</v>
      </c>
      <c r="EW152" s="183">
        <v>284723.86286788539</v>
      </c>
      <c r="EX152" s="13">
        <f t="shared" si="368"/>
        <v>4.1787778142903242E-3</v>
      </c>
      <c r="EY152">
        <v>244</v>
      </c>
      <c r="EZ152" s="13">
        <f t="shared" si="369"/>
        <v>5.6277056277056259E-2</v>
      </c>
      <c r="FA152" s="1">
        <v>290983.09048049292</v>
      </c>
      <c r="FB152" s="13">
        <f t="shared" si="370"/>
        <v>2.1983502013358969E-2</v>
      </c>
      <c r="FC152" s="1">
        <v>235</v>
      </c>
      <c r="FD152" s="13">
        <f t="shared" si="371"/>
        <v>-3.688524590163933E-2</v>
      </c>
      <c r="FE152" s="1">
        <v>294282.7910623264</v>
      </c>
      <c r="FF152" s="13">
        <f t="shared" si="372"/>
        <v>1.1339836195927377E-2</v>
      </c>
      <c r="FG152" s="1">
        <v>250</v>
      </c>
      <c r="FH152" s="13">
        <f t="shared" si="373"/>
        <v>6.3829787234042534E-2</v>
      </c>
      <c r="FI152" s="1">
        <v>294166.97437530488</v>
      </c>
      <c r="FJ152" s="13">
        <f t="shared" si="374"/>
        <v>-3.9355575840316348E-4</v>
      </c>
      <c r="FK152" s="1">
        <v>261</v>
      </c>
      <c r="FL152" s="13">
        <f t="shared" si="375"/>
        <v>4.4000000000000039E-2</v>
      </c>
      <c r="FM152" s="1">
        <v>296115.1156335118</v>
      </c>
      <c r="FN152" s="13">
        <f t="shared" si="376"/>
        <v>6.6225695877111246E-3</v>
      </c>
      <c r="FO152" s="1">
        <v>277</v>
      </c>
      <c r="FP152" s="13">
        <f t="shared" si="377"/>
        <v>6.1302681992337238E-2</v>
      </c>
      <c r="FQ152" s="1">
        <v>294947.88520644832</v>
      </c>
      <c r="FR152" s="13">
        <f t="shared" si="378"/>
        <v>-3.9418130498549697E-3</v>
      </c>
      <c r="FS152">
        <v>276</v>
      </c>
      <c r="FT152" s="13">
        <f t="shared" si="379"/>
        <v>-3.6101083032491488E-3</v>
      </c>
      <c r="FU152" s="1">
        <v>291840.903709487</v>
      </c>
      <c r="FV152" s="13">
        <f t="shared" si="380"/>
        <v>-1.0534001607730104E-2</v>
      </c>
      <c r="FW152" s="1">
        <v>279</v>
      </c>
      <c r="FX152" s="13">
        <f t="shared" si="381"/>
        <v>1.0869565217391353E-2</v>
      </c>
      <c r="FY152" s="1">
        <v>294894.8031704172</v>
      </c>
      <c r="FZ152" s="13">
        <f t="shared" si="382"/>
        <v>1.0464261253693818E-2</v>
      </c>
      <c r="GA152" s="1">
        <v>285</v>
      </c>
      <c r="GB152" s="13">
        <f t="shared" si="383"/>
        <v>2.1505376344086002E-2</v>
      </c>
      <c r="GC152" s="1">
        <v>294112.8336646338</v>
      </c>
      <c r="GD152" s="13">
        <f t="shared" si="384"/>
        <v>-2.6516896784088972E-3</v>
      </c>
      <c r="GE152" s="1">
        <v>280</v>
      </c>
      <c r="GF152" s="13">
        <f t="shared" si="385"/>
        <v>-1.7543859649122862E-2</v>
      </c>
      <c r="GG152" s="1">
        <f>IFERROR(VLOOKUP(A152,[3]Москва_продажа_районы!$C$2:$F$149,3,0),"")</f>
        <v>293799.87325982098</v>
      </c>
      <c r="GH152" s="13">
        <v>-1.0640827906532868E-3</v>
      </c>
      <c r="GI152" s="1">
        <v>252</v>
      </c>
      <c r="GJ152" s="13">
        <f t="shared" si="386"/>
        <v>-9.9999999999999978E-2</v>
      </c>
      <c r="GK152" s="1">
        <v>296701.52201393939</v>
      </c>
      <c r="GL152" s="13">
        <f t="shared" si="387"/>
        <v>9.8762763983644142E-3</v>
      </c>
      <c r="GM152" s="1">
        <v>259</v>
      </c>
      <c r="GN152" s="13">
        <f t="shared" si="388"/>
        <v>2.7777777777777679E-2</v>
      </c>
      <c r="GO152" s="1">
        <v>298030.75406821747</v>
      </c>
      <c r="GP152" s="13">
        <f t="shared" si="389"/>
        <v>4.480031127766182E-3</v>
      </c>
      <c r="GQ152" s="1">
        <v>273.92</v>
      </c>
      <c r="GR152" s="13">
        <f t="shared" si="390"/>
        <v>5.7606177606177589E-2</v>
      </c>
      <c r="GS152" s="1">
        <v>296665.28732159699</v>
      </c>
      <c r="GT152" s="13">
        <f t="shared" si="411"/>
        <v>-4.5816303451284845E-3</v>
      </c>
      <c r="GU152">
        <v>269</v>
      </c>
      <c r="GV152" s="13">
        <f t="shared" si="412"/>
        <v>-1.7961448598130869E-2</v>
      </c>
      <c r="GW152">
        <v>298972.69722284109</v>
      </c>
      <c r="GX152" s="13">
        <f t="shared" si="391"/>
        <v>7.7778223467808161E-3</v>
      </c>
      <c r="GY152">
        <v>223</v>
      </c>
      <c r="GZ152" s="13">
        <f t="shared" si="392"/>
        <v>-0.17100371747211895</v>
      </c>
      <c r="HA152">
        <v>300240.25622914027</v>
      </c>
      <c r="HB152" s="13">
        <v>4.2397149240500642E-3</v>
      </c>
      <c r="HC152">
        <v>210</v>
      </c>
      <c r="HD152" s="13">
        <v>-5.8295964125560484E-2</v>
      </c>
      <c r="HE152">
        <v>308499.29731017142</v>
      </c>
      <c r="HF152" s="13">
        <v>2.7508106956609879E-2</v>
      </c>
      <c r="HG152">
        <v>199</v>
      </c>
      <c r="HH152" s="13">
        <v>-5.2380952380952417E-2</v>
      </c>
      <c r="HI152">
        <f>VLOOKUP(A152,[4]Москва_продажа_районы!$C$4:$F$151,3,0)</f>
        <v>308257.22031297989</v>
      </c>
      <c r="HJ152" s="13">
        <f t="shared" si="393"/>
        <v>-7.8469221584043236E-4</v>
      </c>
      <c r="HK152">
        <f>VLOOKUP(A152,[4]Москва_продажа_районы!$C$4:$F$151,2,0)</f>
        <v>206</v>
      </c>
      <c r="HL152" s="13">
        <f t="shared" si="394"/>
        <v>3.5175879396984966E-2</v>
      </c>
      <c r="HM152" s="1">
        <f>VLOOKUP(A152,Лист3!$C$4:$F$149,3,0)</f>
        <v>311153.05749743647</v>
      </c>
      <c r="HN152" s="13">
        <f t="shared" si="395"/>
        <v>9.3942233746102666E-3</v>
      </c>
      <c r="HO152">
        <f>VLOOKUP(A152,Лист3!$C$4:$F$149,2,0)</f>
        <v>201</v>
      </c>
      <c r="HP152" s="13">
        <f t="shared" si="396"/>
        <v>-2.4271844660194164E-2</v>
      </c>
      <c r="HQ152" s="1">
        <v>316898.43921280763</v>
      </c>
      <c r="HR152" s="13">
        <v>1.8464808803681843E-2</v>
      </c>
      <c r="HS152">
        <v>198</v>
      </c>
      <c r="HT152" s="13">
        <v>-1.4925373134328401E-2</v>
      </c>
      <c r="HU152" s="34">
        <v>315505.12557675381</v>
      </c>
      <c r="HV152" s="13">
        <v>-4.3967197803652658E-3</v>
      </c>
      <c r="HW152">
        <v>207</v>
      </c>
      <c r="HX152" s="13">
        <v>4.5454545454545414E-2</v>
      </c>
      <c r="HY152">
        <v>316816.8075063164</v>
      </c>
      <c r="HZ152" s="13">
        <v>4.1574029175113214E-3</v>
      </c>
      <c r="IA152">
        <v>208</v>
      </c>
      <c r="IB152" s="13">
        <v>4.8309178743961567E-3</v>
      </c>
      <c r="IC152" s="34">
        <v>325383.30597563821</v>
      </c>
      <c r="ID152" s="13">
        <v>2.7039280323380543E-2</v>
      </c>
      <c r="IE152">
        <v>210</v>
      </c>
      <c r="IF152" s="13">
        <v>9.6153846153845812E-3</v>
      </c>
    </row>
    <row r="153" spans="1:240" x14ac:dyDescent="0.3">
      <c r="A153" s="23" t="s">
        <v>154</v>
      </c>
      <c r="B153" s="22">
        <v>186359.77183005316</v>
      </c>
      <c r="C153">
        <v>376</v>
      </c>
      <c r="D153" s="22">
        <v>188063.71649302967</v>
      </c>
      <c r="E153">
        <v>373</v>
      </c>
      <c r="F153" s="22">
        <v>190772.44342857148</v>
      </c>
      <c r="G153">
        <v>245</v>
      </c>
      <c r="H153" s="22">
        <v>190447.62545205365</v>
      </c>
      <c r="I153">
        <v>273</v>
      </c>
      <c r="J153" s="22">
        <v>190904.70463021216</v>
      </c>
      <c r="K153">
        <v>314</v>
      </c>
      <c r="L153" s="22">
        <v>191650.94430391456</v>
      </c>
      <c r="M153">
        <v>307</v>
      </c>
      <c r="N153" s="22">
        <v>192565.39324788828</v>
      </c>
      <c r="O153" s="28">
        <v>301</v>
      </c>
      <c r="P153" s="39">
        <v>196453.7375407744</v>
      </c>
      <c r="Q153" s="28">
        <v>319</v>
      </c>
      <c r="R153" s="39">
        <v>203689.02605478518</v>
      </c>
      <c r="S153">
        <v>277</v>
      </c>
      <c r="T153" s="46">
        <v>213548.84466234737</v>
      </c>
      <c r="U153" s="47">
        <v>228</v>
      </c>
      <c r="V153" s="56">
        <v>217053.01298741889</v>
      </c>
      <c r="W153" s="47">
        <v>191</v>
      </c>
      <c r="X153" s="56">
        <v>219254.30608020921</v>
      </c>
      <c r="Y153" s="47">
        <v>194</v>
      </c>
      <c r="Z153" s="34">
        <v>219511.78164739499</v>
      </c>
      <c r="AA153" s="81">
        <v>241</v>
      </c>
      <c r="AB153" s="1">
        <v>228354.34550585339</v>
      </c>
      <c r="AC153" s="1">
        <v>273</v>
      </c>
      <c r="AD153" s="1">
        <v>235151.28182907091</v>
      </c>
      <c r="AE153">
        <v>226</v>
      </c>
      <c r="AF153" s="13">
        <f t="shared" si="341"/>
        <v>7.2504736773772338E-2</v>
      </c>
      <c r="AG153" s="85">
        <f t="shared" si="413"/>
        <v>6.0949298813376483E-2</v>
      </c>
      <c r="AH153" s="35">
        <f t="shared" si="414"/>
        <v>12.189859762675297</v>
      </c>
      <c r="AI153" s="87">
        <f t="shared" si="415"/>
        <v>238.1898597626753</v>
      </c>
      <c r="AL153" s="1">
        <v>237793.67439335701</v>
      </c>
      <c r="AM153">
        <v>263</v>
      </c>
      <c r="AN153" s="13">
        <f t="shared" si="416"/>
        <v>6.6921119592875319E-2</v>
      </c>
      <c r="AQ153">
        <f t="shared" si="417"/>
        <v>11</v>
      </c>
      <c r="AR153" s="90">
        <f t="shared" si="418"/>
        <v>274</v>
      </c>
      <c r="AS153">
        <v>295</v>
      </c>
      <c r="AT153" s="1">
        <v>237216.83640620261</v>
      </c>
      <c r="AU153" s="13">
        <f t="shared" si="419"/>
        <v>-2.4257919754425705E-3</v>
      </c>
      <c r="AV153" s="35">
        <v>298</v>
      </c>
      <c r="AW153" s="1">
        <v>237556.93648454439</v>
      </c>
      <c r="AX153" s="35">
        <v>325.63065134099617</v>
      </c>
      <c r="AY153" s="121">
        <v>242097.25173319539</v>
      </c>
      <c r="AZ153" s="122">
        <v>299</v>
      </c>
      <c r="BA153" s="119">
        <v>243973.2815108354</v>
      </c>
      <c r="BB153">
        <v>306</v>
      </c>
      <c r="BC153" s="13">
        <f t="shared" si="420"/>
        <v>7.7490750688384846E-3</v>
      </c>
      <c r="BD153">
        <v>277</v>
      </c>
      <c r="BE153" s="1">
        <v>251358.47543693529</v>
      </c>
      <c r="BF153" s="13">
        <f t="shared" si="397"/>
        <v>3.0270502902474128E-2</v>
      </c>
      <c r="BG153">
        <v>224</v>
      </c>
      <c r="BH153" s="1">
        <v>255968.37895135549</v>
      </c>
      <c r="BI153" s="13">
        <f t="shared" si="267"/>
        <v>1.8339956535807334E-2</v>
      </c>
      <c r="BJ153">
        <v>238</v>
      </c>
      <c r="BK153" s="1">
        <v>255248.51016428319</v>
      </c>
      <c r="BL153" s="13">
        <f t="shared" si="398"/>
        <v>-2.8123348283153327E-3</v>
      </c>
      <c r="BM153" s="1">
        <v>260615.83670769239</v>
      </c>
      <c r="BN153" s="109">
        <f t="shared" si="399"/>
        <v>2.102784670498048E-2</v>
      </c>
      <c r="BO153">
        <v>224</v>
      </c>
      <c r="BP153" s="13">
        <f t="shared" si="400"/>
        <v>-5.8823529411764719E-2</v>
      </c>
      <c r="BQ153" s="1">
        <v>265705.38914193632</v>
      </c>
      <c r="BR153" s="13">
        <f t="shared" si="339"/>
        <v>1.9528945357040639E-2</v>
      </c>
      <c r="BS153">
        <v>250</v>
      </c>
      <c r="BT153" s="13">
        <f t="shared" si="340"/>
        <v>0.1160714285714286</v>
      </c>
      <c r="BU153" s="1">
        <v>274420.61580996349</v>
      </c>
      <c r="BV153" s="13">
        <f t="shared" si="401"/>
        <v>3.2800338360362113E-2</v>
      </c>
      <c r="BW153">
        <v>231</v>
      </c>
      <c r="BX153" s="13">
        <f t="shared" si="402"/>
        <v>-7.5999999999999956E-2</v>
      </c>
      <c r="BY153" s="1">
        <v>273302.34651001327</v>
      </c>
      <c r="BZ153" s="13">
        <f t="shared" si="403"/>
        <v>-4.0750192788890915E-3</v>
      </c>
      <c r="CA153">
        <v>205</v>
      </c>
      <c r="CB153" s="13">
        <f t="shared" si="404"/>
        <v>-0.11255411255411252</v>
      </c>
      <c r="CC153" s="1">
        <v>273238.94098121038</v>
      </c>
      <c r="CD153" s="13">
        <f t="shared" si="405"/>
        <v>-2.3199774759552483E-4</v>
      </c>
      <c r="CE153">
        <v>256</v>
      </c>
      <c r="CF153" s="13">
        <f t="shared" si="406"/>
        <v>0.24878048780487805</v>
      </c>
      <c r="CG153" s="1">
        <v>267320.75936177082</v>
      </c>
      <c r="CH153" s="13">
        <f t="shared" si="407"/>
        <v>-2.1659363772188467E-2</v>
      </c>
      <c r="CI153">
        <v>289</v>
      </c>
      <c r="CJ153" s="13">
        <f t="shared" si="408"/>
        <v>0.12890625</v>
      </c>
      <c r="CK153" s="1">
        <v>268642.36367294739</v>
      </c>
      <c r="CL153" s="13">
        <f t="shared" si="409"/>
        <v>4.9438895592393006E-3</v>
      </c>
      <c r="CM153">
        <v>327</v>
      </c>
      <c r="CN153" s="13">
        <f t="shared" si="410"/>
        <v>0.13148788927335642</v>
      </c>
      <c r="CO153" s="1">
        <v>266684.16416345368</v>
      </c>
      <c r="CP153" s="13">
        <v>-7.2892431510828137E-3</v>
      </c>
      <c r="CQ153">
        <v>330</v>
      </c>
      <c r="CR153" s="13">
        <v>9.1743119266054496E-3</v>
      </c>
      <c r="CS153" s="1">
        <v>266444.17389910808</v>
      </c>
      <c r="CT153" s="13">
        <f t="shared" si="342"/>
        <v>-8.999044435143988E-4</v>
      </c>
      <c r="CU153">
        <v>358</v>
      </c>
      <c r="CV153" s="13">
        <f t="shared" si="343"/>
        <v>8.4848484848484951E-2</v>
      </c>
      <c r="CW153" s="1">
        <v>262515.67021042458</v>
      </c>
      <c r="CX153" s="13">
        <f t="shared" si="344"/>
        <v>-1.4744190616722053E-2</v>
      </c>
      <c r="CY153">
        <v>369</v>
      </c>
      <c r="CZ153" s="13">
        <f t="shared" si="345"/>
        <v>3.0726256983240274E-2</v>
      </c>
      <c r="DA153" s="1">
        <v>257127.6821985991</v>
      </c>
      <c r="DB153" s="13">
        <f t="shared" si="346"/>
        <v>-2.0524443388490465E-2</v>
      </c>
      <c r="DC153">
        <v>356</v>
      </c>
      <c r="DD153" s="13">
        <f t="shared" si="347"/>
        <v>-3.5230352303523005E-2</v>
      </c>
      <c r="DE153" s="1">
        <v>253023.96746579849</v>
      </c>
      <c r="DF153" s="13">
        <f t="shared" si="348"/>
        <v>-1.5959832475878621E-2</v>
      </c>
      <c r="DG153" s="1">
        <v>332</v>
      </c>
      <c r="DH153" s="13">
        <f t="shared" si="349"/>
        <v>-6.7415730337078705E-2</v>
      </c>
      <c r="DI153" s="1">
        <v>253520.39091566659</v>
      </c>
      <c r="DJ153" s="13">
        <f t="shared" si="350"/>
        <v>1.961962160502484E-3</v>
      </c>
      <c r="DK153" s="1">
        <v>300</v>
      </c>
      <c r="DL153" s="13">
        <f t="shared" si="351"/>
        <v>-9.6385542168674676E-2</v>
      </c>
      <c r="DM153" s="1">
        <v>252882.32799908691</v>
      </c>
      <c r="DN153" s="13">
        <f t="shared" si="352"/>
        <v>-2.5168110315511028E-3</v>
      </c>
      <c r="DO153" s="1">
        <v>303</v>
      </c>
      <c r="DP153" s="13">
        <f t="shared" si="353"/>
        <v>1.0000000000000009E-2</v>
      </c>
      <c r="DQ153" s="1">
        <v>253384.02489239271</v>
      </c>
      <c r="DR153" s="13">
        <f t="shared" si="354"/>
        <v>1.9839144050730617E-3</v>
      </c>
      <c r="DS153">
        <v>315</v>
      </c>
      <c r="DT153" s="13">
        <f t="shared" si="355"/>
        <v>3.9603960396039639E-2</v>
      </c>
      <c r="DU153" s="1">
        <v>256663.94691545409</v>
      </c>
      <c r="DV153" s="13">
        <f t="shared" si="356"/>
        <v>1.2944470451340839E-2</v>
      </c>
      <c r="DW153">
        <v>325</v>
      </c>
      <c r="DX153" s="13">
        <f t="shared" si="357"/>
        <v>3.1746031746031855E-2</v>
      </c>
      <c r="DY153" s="1">
        <v>256104.4332281861</v>
      </c>
      <c r="DZ153" s="13">
        <f t="shared" si="358"/>
        <v>-2.1799465565465193E-3</v>
      </c>
      <c r="EA153" s="1">
        <v>323</v>
      </c>
      <c r="EB153" s="13">
        <f t="shared" si="359"/>
        <v>-6.1538461538461764E-3</v>
      </c>
      <c r="EC153" s="1">
        <v>257287.3120329089</v>
      </c>
      <c r="ED153" s="13">
        <f t="shared" si="360"/>
        <v>4.6187361531100368E-3</v>
      </c>
      <c r="EE153" s="1">
        <f>IFERROR(VLOOKUP($A153,[1]Москва_продажа_районы!$C$2:$F$148,2,0),"")</f>
        <v>281</v>
      </c>
      <c r="EF153" s="13">
        <v>-0.13003095975232193</v>
      </c>
      <c r="EG153" s="1">
        <v>262215.96824077779</v>
      </c>
      <c r="EH153" s="13">
        <f t="shared" si="361"/>
        <v>1.9156234984640363E-2</v>
      </c>
      <c r="EI153" s="1">
        <f>IFERROR(VLOOKUP($A153,[2]Москва_продажа_районы!$C$2:$F$150,2,0),"")</f>
        <v>275</v>
      </c>
      <c r="EJ153" s="13">
        <v>-2.1352313167259829E-2</v>
      </c>
      <c r="EK153" s="1">
        <v>267535.44592389982</v>
      </c>
      <c r="EL153" s="13">
        <f t="shared" si="362"/>
        <v>2.0286627541452606E-2</v>
      </c>
      <c r="EM153">
        <v>264</v>
      </c>
      <c r="EN153" s="13">
        <f t="shared" si="363"/>
        <v>-4.0000000000000036E-2</v>
      </c>
      <c r="EO153" s="1">
        <v>274177.3719515889</v>
      </c>
      <c r="EP153" s="13">
        <f t="shared" si="364"/>
        <v>2.482634031820341E-2</v>
      </c>
      <c r="EQ153">
        <v>197</v>
      </c>
      <c r="ER153" s="13">
        <f t="shared" si="365"/>
        <v>-0.25378787878787878</v>
      </c>
      <c r="ES153" s="183">
        <v>283076.98703543423</v>
      </c>
      <c r="ET153" s="13">
        <f t="shared" si="366"/>
        <v>3.2459334701832043E-2</v>
      </c>
      <c r="EU153">
        <v>209</v>
      </c>
      <c r="EV153" s="13">
        <f t="shared" si="367"/>
        <v>6.0913705583756306E-2</v>
      </c>
      <c r="EW153" s="183">
        <v>278305.11061875062</v>
      </c>
      <c r="EX153" s="13">
        <f t="shared" si="368"/>
        <v>-1.685716831543882E-2</v>
      </c>
      <c r="EY153">
        <v>234</v>
      </c>
      <c r="EZ153" s="13">
        <f t="shared" si="369"/>
        <v>0.11961722488038284</v>
      </c>
      <c r="FA153" s="1">
        <v>279810.41199308127</v>
      </c>
      <c r="FB153" s="13">
        <f t="shared" si="370"/>
        <v>5.4088168592518748E-3</v>
      </c>
      <c r="FC153" s="1">
        <v>214</v>
      </c>
      <c r="FD153" s="13">
        <f t="shared" si="371"/>
        <v>-8.54700854700855E-2</v>
      </c>
      <c r="FE153" s="1">
        <v>280118.85391122859</v>
      </c>
      <c r="FF153" s="13">
        <f t="shared" si="372"/>
        <v>1.1023246631542971E-3</v>
      </c>
      <c r="FG153" s="1">
        <v>227</v>
      </c>
      <c r="FH153" s="13">
        <f t="shared" si="373"/>
        <v>6.0747663551401931E-2</v>
      </c>
      <c r="FI153" s="1">
        <v>282704.1835806279</v>
      </c>
      <c r="FJ153" s="13">
        <f t="shared" si="374"/>
        <v>9.2294025671639801E-3</v>
      </c>
      <c r="FK153" s="1">
        <v>258</v>
      </c>
      <c r="FL153" s="13">
        <f t="shared" si="375"/>
        <v>0.13656387665198233</v>
      </c>
      <c r="FM153" s="1">
        <v>274896.35067185719</v>
      </c>
      <c r="FN153" s="13">
        <f t="shared" si="376"/>
        <v>-2.7618384736580626E-2</v>
      </c>
      <c r="FO153" s="1">
        <v>316</v>
      </c>
      <c r="FP153" s="13">
        <f t="shared" si="377"/>
        <v>0.22480620155038755</v>
      </c>
      <c r="FQ153" s="1">
        <v>278378.66543766332</v>
      </c>
      <c r="FR153" s="13">
        <f t="shared" si="378"/>
        <v>1.2667737339165264E-2</v>
      </c>
      <c r="FS153">
        <v>311</v>
      </c>
      <c r="FT153" s="13">
        <f t="shared" si="379"/>
        <v>-1.5822784810126556E-2</v>
      </c>
      <c r="FU153" s="1">
        <v>275632.35295396863</v>
      </c>
      <c r="FV153" s="13">
        <f t="shared" si="380"/>
        <v>-9.8653841858785674E-3</v>
      </c>
      <c r="FW153" s="1">
        <v>307</v>
      </c>
      <c r="FX153" s="13">
        <f t="shared" si="381"/>
        <v>-1.2861736334405127E-2</v>
      </c>
      <c r="FY153" s="1">
        <v>275720.49508674769</v>
      </c>
      <c r="FZ153" s="13">
        <f t="shared" si="382"/>
        <v>3.1978151996470139E-4</v>
      </c>
      <c r="GA153" s="1">
        <v>323</v>
      </c>
      <c r="GB153" s="13">
        <f t="shared" si="383"/>
        <v>5.2117263843648232E-2</v>
      </c>
      <c r="GC153" s="1">
        <v>272211.76819441188</v>
      </c>
      <c r="GD153" s="13">
        <f t="shared" si="384"/>
        <v>-1.2725665864018909E-2</v>
      </c>
      <c r="GE153" s="1">
        <v>316</v>
      </c>
      <c r="GF153" s="13">
        <f t="shared" si="385"/>
        <v>-2.1671826625387025E-2</v>
      </c>
      <c r="GG153" s="1">
        <f>IFERROR(VLOOKUP(A153,[3]Москва_продажа_районы!$C$2:$F$149,3,0),"")</f>
        <v>271854.0976960386</v>
      </c>
      <c r="GH153" s="13">
        <v>-1.3139420854054729E-3</v>
      </c>
      <c r="GI153" s="1">
        <v>318</v>
      </c>
      <c r="GJ153" s="13">
        <f t="shared" si="386"/>
        <v>6.3291139240506666E-3</v>
      </c>
      <c r="GK153" s="1">
        <v>273253.77381088812</v>
      </c>
      <c r="GL153" s="13">
        <f t="shared" si="387"/>
        <v>5.1486298228047289E-3</v>
      </c>
      <c r="GM153" s="1">
        <v>334</v>
      </c>
      <c r="GN153" s="13">
        <f t="shared" si="388"/>
        <v>5.031446540880502E-2</v>
      </c>
      <c r="GO153" s="1">
        <v>272061.91436140891</v>
      </c>
      <c r="GP153" s="13">
        <f t="shared" si="389"/>
        <v>-4.3617309757780776E-3</v>
      </c>
      <c r="GQ153" s="1">
        <v>350.96000000000004</v>
      </c>
      <c r="GR153" s="13">
        <f t="shared" si="390"/>
        <v>5.0778443113772553E-2</v>
      </c>
      <c r="GS153" s="1">
        <v>273742.84024125122</v>
      </c>
      <c r="GT153" s="13">
        <f t="shared" si="411"/>
        <v>6.1784681762158122E-3</v>
      </c>
      <c r="GU153">
        <v>346</v>
      </c>
      <c r="GV153" s="13">
        <f t="shared" si="412"/>
        <v>-1.4132664691132946E-2</v>
      </c>
      <c r="GW153">
        <v>272555.77718234138</v>
      </c>
      <c r="GX153" s="13">
        <f t="shared" si="391"/>
        <v>-4.3364168277923998E-3</v>
      </c>
      <c r="GY153">
        <v>308</v>
      </c>
      <c r="GZ153" s="13">
        <f t="shared" si="392"/>
        <v>-0.10982658959537572</v>
      </c>
      <c r="HA153">
        <v>275701.10369401629</v>
      </c>
      <c r="HB153" s="13">
        <v>1.1540120500071582E-2</v>
      </c>
      <c r="HC153">
        <v>258</v>
      </c>
      <c r="HD153" s="13">
        <v>-0.16233766233766234</v>
      </c>
      <c r="HE153">
        <v>273315.18565333012</v>
      </c>
      <c r="HF153" s="13">
        <v>-8.654002500237179E-3</v>
      </c>
      <c r="HG153">
        <v>267</v>
      </c>
      <c r="HH153" s="13">
        <v>3.488372093023262E-2</v>
      </c>
      <c r="HI153">
        <f>VLOOKUP(A153,[4]Москва_продажа_районы!$C$4:$F$151,3,0)</f>
        <v>270139.81498914189</v>
      </c>
      <c r="HJ153" s="13">
        <f t="shared" si="393"/>
        <v>-1.1617981110701336E-2</v>
      </c>
      <c r="HK153">
        <f>VLOOKUP(A153,[4]Москва_продажа_районы!$C$4:$F$151,2,0)</f>
        <v>251</v>
      </c>
      <c r="HL153" s="13">
        <f t="shared" si="394"/>
        <v>-5.9925093632958837E-2</v>
      </c>
      <c r="HM153" s="1">
        <f>VLOOKUP(A153,Лист3!$C$4:$F$149,3,0)</f>
        <v>279449.57439266279</v>
      </c>
      <c r="HN153" s="13">
        <f t="shared" si="395"/>
        <v>3.4462744426974279E-2</v>
      </c>
      <c r="HO153">
        <f>VLOOKUP(A153,Лист3!$C$4:$F$149,2,0)</f>
        <v>278</v>
      </c>
      <c r="HP153" s="13">
        <f t="shared" si="396"/>
        <v>0.10756972111553775</v>
      </c>
      <c r="HQ153" s="1">
        <v>280788.73052982229</v>
      </c>
      <c r="HR153" s="13">
        <v>4.7921208685679506E-3</v>
      </c>
      <c r="HS153">
        <v>259</v>
      </c>
      <c r="HT153" s="13">
        <v>-6.8345323741007213E-2</v>
      </c>
      <c r="HU153" s="34">
        <v>278365.27887489391</v>
      </c>
      <c r="HV153" s="13">
        <v>-8.6308722232389945E-3</v>
      </c>
      <c r="HW153">
        <v>264</v>
      </c>
      <c r="HX153" s="13">
        <v>1.9305019305019266E-2</v>
      </c>
      <c r="HY153">
        <v>287522.28612429131</v>
      </c>
      <c r="HZ153" s="13">
        <v>3.2895651664634595E-2</v>
      </c>
      <c r="IA153">
        <v>243</v>
      </c>
      <c r="IB153" s="13">
        <v>-7.9545454545454586E-2</v>
      </c>
      <c r="IC153" s="34">
        <v>291125.90676134272</v>
      </c>
      <c r="ID153" s="13">
        <v>1.2533361102636809E-2</v>
      </c>
      <c r="IE153">
        <v>234</v>
      </c>
      <c r="IF153" s="13">
        <v>-3.703703703703709E-2</v>
      </c>
    </row>
    <row r="154" spans="1:240" ht="15" thickBot="1" x14ac:dyDescent="0.35">
      <c r="A154" s="29" t="s">
        <v>155</v>
      </c>
      <c r="B154" s="30">
        <v>180284.81868419235</v>
      </c>
      <c r="C154" s="31">
        <v>582</v>
      </c>
      <c r="D154" s="30">
        <v>182590.36134523826</v>
      </c>
      <c r="E154" s="31">
        <v>588</v>
      </c>
      <c r="F154" s="30">
        <v>185308.99558352958</v>
      </c>
      <c r="G154" s="31">
        <v>425</v>
      </c>
      <c r="H154" s="30">
        <v>185206.85228732304</v>
      </c>
      <c r="I154" s="31">
        <v>399</v>
      </c>
      <c r="J154" s="30">
        <v>184244.87367506942</v>
      </c>
      <c r="K154" s="31">
        <v>487</v>
      </c>
      <c r="L154" s="30">
        <v>183702.19619745124</v>
      </c>
      <c r="M154" s="31">
        <v>445</v>
      </c>
      <c r="N154" s="30">
        <v>187605.55829318828</v>
      </c>
      <c r="O154" s="32">
        <v>420</v>
      </c>
      <c r="P154" s="37">
        <v>190134.8974926761</v>
      </c>
      <c r="Q154" s="32">
        <v>408</v>
      </c>
      <c r="R154" s="37">
        <v>196451.94277678232</v>
      </c>
      <c r="S154" s="31">
        <v>399</v>
      </c>
      <c r="T154" s="48">
        <v>209458.96422343573</v>
      </c>
      <c r="U154" s="49">
        <v>335</v>
      </c>
      <c r="V154" s="57">
        <v>208112.5394985707</v>
      </c>
      <c r="W154" s="49">
        <v>289</v>
      </c>
      <c r="X154" s="57">
        <v>212802.2009569506</v>
      </c>
      <c r="Y154" s="49">
        <v>295</v>
      </c>
      <c r="Z154" s="34">
        <v>210522.15421144178</v>
      </c>
      <c r="AA154" s="81">
        <v>305</v>
      </c>
      <c r="AB154" s="1">
        <v>220979.74586538921</v>
      </c>
      <c r="AC154" s="1">
        <v>395</v>
      </c>
      <c r="AD154" s="1">
        <v>224599.63989747039</v>
      </c>
      <c r="AE154">
        <v>351</v>
      </c>
      <c r="AF154" s="13">
        <f t="shared" si="341"/>
        <v>5.5438519373708806E-2</v>
      </c>
      <c r="AG154" s="85">
        <f t="shared" si="413"/>
        <v>9.4660194174757281E-2</v>
      </c>
      <c r="AH154" s="35">
        <f t="shared" si="414"/>
        <v>18.932038834951456</v>
      </c>
      <c r="AI154" s="88">
        <f t="shared" si="415"/>
        <v>369.93203883495147</v>
      </c>
      <c r="AL154" s="1">
        <v>226555.67892681691</v>
      </c>
      <c r="AM154">
        <v>368</v>
      </c>
      <c r="AN154" s="13">
        <f t="shared" si="416"/>
        <v>9.3638676844783719E-2</v>
      </c>
      <c r="AQ154">
        <f t="shared" si="417"/>
        <v>16</v>
      </c>
      <c r="AR154" s="91">
        <f t="shared" si="418"/>
        <v>384</v>
      </c>
      <c r="AS154">
        <v>401</v>
      </c>
      <c r="AT154" s="1">
        <v>227374.5776823551</v>
      </c>
      <c r="AU154" s="13">
        <f t="shared" si="419"/>
        <v>3.614558502427645E-3</v>
      </c>
      <c r="AV154" s="35">
        <v>394</v>
      </c>
      <c r="AW154" s="1">
        <v>231831.6061966446</v>
      </c>
      <c r="AX154" s="35">
        <v>430.53180076628354</v>
      </c>
      <c r="AY154" s="123">
        <v>234279.88290869439</v>
      </c>
      <c r="AZ154" s="124">
        <v>382</v>
      </c>
      <c r="BA154" s="119">
        <v>236216.1792938718</v>
      </c>
      <c r="BB154">
        <v>392</v>
      </c>
      <c r="BC154" s="13">
        <f t="shared" si="420"/>
        <v>8.2648854060254351E-3</v>
      </c>
      <c r="BD154">
        <v>407</v>
      </c>
      <c r="BE154" s="1">
        <v>241224.7023133621</v>
      </c>
      <c r="BF154" s="13">
        <f t="shared" si="397"/>
        <v>2.1203132801751456E-2</v>
      </c>
      <c r="BG154">
        <v>384</v>
      </c>
      <c r="BH154" s="1">
        <v>243423.92500603589</v>
      </c>
      <c r="BI154" s="13">
        <f t="shared" si="267"/>
        <v>9.1169049918315981E-3</v>
      </c>
      <c r="BJ154">
        <v>353</v>
      </c>
      <c r="BK154" s="1">
        <v>248247.9525218225</v>
      </c>
      <c r="BL154" s="13">
        <f t="shared" si="398"/>
        <v>1.9817392705614223E-2</v>
      </c>
      <c r="BM154" s="1">
        <v>249868.0351475401</v>
      </c>
      <c r="BN154" s="109">
        <f t="shared" si="399"/>
        <v>6.5260664156945314E-3</v>
      </c>
      <c r="BO154">
        <v>309</v>
      </c>
      <c r="BP154" s="13">
        <f t="shared" si="400"/>
        <v>-0.12464589235127477</v>
      </c>
      <c r="BQ154" s="1">
        <v>256278.26687741309</v>
      </c>
      <c r="BR154" s="13">
        <f t="shared" si="339"/>
        <v>2.5654468872290614E-2</v>
      </c>
      <c r="BS154">
        <v>363</v>
      </c>
      <c r="BT154" s="13">
        <f t="shared" si="340"/>
        <v>0.17475728155339798</v>
      </c>
      <c r="BU154" s="1">
        <v>266007.27195278049</v>
      </c>
      <c r="BV154" s="13">
        <f t="shared" si="401"/>
        <v>3.7962661422324739E-2</v>
      </c>
      <c r="BW154">
        <v>302</v>
      </c>
      <c r="BX154" s="13">
        <f t="shared" si="402"/>
        <v>-0.16804407713498626</v>
      </c>
      <c r="BY154" s="1">
        <v>268072.14098833827</v>
      </c>
      <c r="BZ154" s="13">
        <f t="shared" si="403"/>
        <v>7.7624533359537118E-3</v>
      </c>
      <c r="CA154">
        <v>245</v>
      </c>
      <c r="CB154" s="13">
        <f t="shared" si="404"/>
        <v>-0.1887417218543046</v>
      </c>
      <c r="CC154" s="1">
        <v>267355.03071809519</v>
      </c>
      <c r="CD154" s="13">
        <f t="shared" si="405"/>
        <v>-2.6750645091251357E-3</v>
      </c>
      <c r="CE154">
        <v>281</v>
      </c>
      <c r="CF154" s="13">
        <f t="shared" si="406"/>
        <v>0.14693877551020407</v>
      </c>
      <c r="CG154" s="1">
        <v>259768.5435842358</v>
      </c>
      <c r="CH154" s="13">
        <f t="shared" si="407"/>
        <v>-2.8376077732603977E-2</v>
      </c>
      <c r="CI154">
        <v>331</v>
      </c>
      <c r="CJ154" s="13">
        <f t="shared" si="408"/>
        <v>0.17793594306049831</v>
      </c>
      <c r="CK154" s="1">
        <v>258443.54953131391</v>
      </c>
      <c r="CL154" s="13">
        <f t="shared" si="409"/>
        <v>-5.1006716773319694E-3</v>
      </c>
      <c r="CM154">
        <v>367</v>
      </c>
      <c r="CN154" s="13">
        <f t="shared" si="410"/>
        <v>0.10876132930513593</v>
      </c>
      <c r="CO154" s="1">
        <v>258157.98263126981</v>
      </c>
      <c r="CP154" s="13">
        <v>-1.1049488391642326E-3</v>
      </c>
      <c r="CQ154">
        <v>403</v>
      </c>
      <c r="CR154" s="13">
        <v>9.8092643051771011E-2</v>
      </c>
      <c r="CS154" s="1">
        <v>255854.2258601819</v>
      </c>
      <c r="CT154" s="13">
        <f t="shared" si="342"/>
        <v>-8.9238254328102284E-3</v>
      </c>
      <c r="CU154">
        <v>436</v>
      </c>
      <c r="CV154" s="13">
        <f t="shared" si="343"/>
        <v>8.1885856079404462E-2</v>
      </c>
      <c r="CW154" s="1">
        <v>248888.05140387709</v>
      </c>
      <c r="CX154" s="13">
        <f t="shared" si="344"/>
        <v>-2.7227122916905211E-2</v>
      </c>
      <c r="CY154">
        <v>432</v>
      </c>
      <c r="CZ154" s="13">
        <f t="shared" si="345"/>
        <v>-9.1743119266054496E-3</v>
      </c>
      <c r="DA154" s="1">
        <v>244395.68576152221</v>
      </c>
      <c r="DB154" s="13">
        <f t="shared" si="346"/>
        <v>-1.8049744119957745E-2</v>
      </c>
      <c r="DC154">
        <v>420</v>
      </c>
      <c r="DD154" s="13">
        <f t="shared" si="347"/>
        <v>-2.777777777777779E-2</v>
      </c>
      <c r="DE154" s="1">
        <v>244209.89207665389</v>
      </c>
      <c r="DF154" s="13">
        <f t="shared" si="348"/>
        <v>-7.6021671286630177E-4</v>
      </c>
      <c r="DG154" s="1">
        <v>413</v>
      </c>
      <c r="DH154" s="13">
        <f t="shared" si="349"/>
        <v>-1.6666666666666718E-2</v>
      </c>
      <c r="DI154" s="1">
        <v>243528.31655378261</v>
      </c>
      <c r="DJ154" s="13">
        <f t="shared" si="350"/>
        <v>-2.790941501490618E-3</v>
      </c>
      <c r="DK154" s="1">
        <v>405</v>
      </c>
      <c r="DL154" s="13">
        <f t="shared" si="351"/>
        <v>-1.937046004842613E-2</v>
      </c>
      <c r="DM154" s="1">
        <v>244421.08299028201</v>
      </c>
      <c r="DN154" s="13">
        <f t="shared" si="352"/>
        <v>3.6659656221218473E-3</v>
      </c>
      <c r="DO154" s="1">
        <v>443</v>
      </c>
      <c r="DP154" s="13">
        <f t="shared" si="353"/>
        <v>9.3827160493827222E-2</v>
      </c>
      <c r="DQ154" s="1">
        <v>245972.2508008719</v>
      </c>
      <c r="DR154" s="13">
        <f t="shared" si="354"/>
        <v>6.3462930104583037E-3</v>
      </c>
      <c r="DS154">
        <v>467</v>
      </c>
      <c r="DT154" s="13">
        <f t="shared" si="355"/>
        <v>5.4176072234763062E-2</v>
      </c>
      <c r="DU154" s="1">
        <v>248964.58001743941</v>
      </c>
      <c r="DV154" s="13">
        <f t="shared" si="356"/>
        <v>1.2165312171696918E-2</v>
      </c>
      <c r="DW154">
        <v>434</v>
      </c>
      <c r="DX154" s="13">
        <f t="shared" si="357"/>
        <v>-7.0663811563169143E-2</v>
      </c>
      <c r="DY154" s="1">
        <v>247412.0659344196</v>
      </c>
      <c r="DZ154" s="13">
        <f t="shared" si="358"/>
        <v>-6.2358833650596468E-3</v>
      </c>
      <c r="EA154" s="1">
        <v>397</v>
      </c>
      <c r="EB154" s="13">
        <f t="shared" si="359"/>
        <v>-8.5253456221198176E-2</v>
      </c>
      <c r="EC154" s="1">
        <v>248864.2986979206</v>
      </c>
      <c r="ED154" s="13">
        <f t="shared" si="360"/>
        <v>5.8696925633607844E-3</v>
      </c>
      <c r="EE154" s="1">
        <f>IFERROR(VLOOKUP($A154,[1]Москва_продажа_районы!$C$2:$F$148,2,0),"")</f>
        <v>392</v>
      </c>
      <c r="EF154" s="13">
        <v>-1.2594458438287104E-2</v>
      </c>
      <c r="EG154" s="1">
        <v>251574.2932791838</v>
      </c>
      <c r="EH154" s="13">
        <f t="shared" si="361"/>
        <v>1.0889446961424909E-2</v>
      </c>
      <c r="EI154" s="1">
        <f>IFERROR(VLOOKUP($A154,[2]Москва_продажа_районы!$C$2:$F$150,2,0),"")</f>
        <v>342</v>
      </c>
      <c r="EJ154" s="13">
        <v>-0.12755102040816324</v>
      </c>
      <c r="EK154" s="1">
        <v>259084.83484002561</v>
      </c>
      <c r="EL154" s="13">
        <f t="shared" si="362"/>
        <v>2.9854169370584271E-2</v>
      </c>
      <c r="EM154">
        <v>309</v>
      </c>
      <c r="EN154" s="13">
        <f t="shared" si="363"/>
        <v>-9.6491228070175405E-2</v>
      </c>
      <c r="EO154" s="1">
        <v>263749.55566623597</v>
      </c>
      <c r="EP154" s="13">
        <f t="shared" si="364"/>
        <v>1.8004607753636437E-2</v>
      </c>
      <c r="EQ154">
        <v>312</v>
      </c>
      <c r="ER154" s="13">
        <f t="shared" si="365"/>
        <v>9.7087378640776656E-3</v>
      </c>
      <c r="ES154" s="183">
        <v>266555.4329767641</v>
      </c>
      <c r="ET154" s="13">
        <f t="shared" si="366"/>
        <v>1.063841530819043E-2</v>
      </c>
      <c r="EU154">
        <v>304</v>
      </c>
      <c r="EV154" s="13">
        <f t="shared" si="367"/>
        <v>-2.5641025641025661E-2</v>
      </c>
      <c r="EW154" s="183">
        <v>273217.49800855352</v>
      </c>
      <c r="EX154" s="13">
        <f t="shared" si="368"/>
        <v>2.4993169178322949E-2</v>
      </c>
      <c r="EY154">
        <v>299</v>
      </c>
      <c r="EZ154" s="13">
        <f t="shared" si="369"/>
        <v>-1.6447368421052655E-2</v>
      </c>
      <c r="FA154" s="1">
        <v>276695.07357621478</v>
      </c>
      <c r="FB154" s="13">
        <f t="shared" si="370"/>
        <v>1.2728231511557109E-2</v>
      </c>
      <c r="FC154" s="1">
        <v>311</v>
      </c>
      <c r="FD154" s="13">
        <f t="shared" si="371"/>
        <v>4.013377926421402E-2</v>
      </c>
      <c r="FE154" s="1">
        <v>277236.51730962773</v>
      </c>
      <c r="FF154" s="13">
        <f t="shared" si="372"/>
        <v>1.9568246243597542E-3</v>
      </c>
      <c r="FG154" s="1">
        <v>307</v>
      </c>
      <c r="FH154" s="13">
        <f t="shared" si="373"/>
        <v>-1.2861736334405127E-2</v>
      </c>
      <c r="FI154" s="1">
        <v>276918.86274595861</v>
      </c>
      <c r="FJ154" s="13">
        <f t="shared" si="374"/>
        <v>-1.1457890423373085E-3</v>
      </c>
      <c r="FK154" s="1">
        <v>336</v>
      </c>
      <c r="FL154" s="13">
        <f t="shared" si="375"/>
        <v>9.446254071661242E-2</v>
      </c>
      <c r="FM154" s="1">
        <v>275247.58987923479</v>
      </c>
      <c r="FN154" s="13">
        <f t="shared" si="376"/>
        <v>-6.035243862232087E-3</v>
      </c>
      <c r="FO154" s="1">
        <v>366</v>
      </c>
      <c r="FP154" s="13">
        <f t="shared" si="377"/>
        <v>8.9285714285714191E-2</v>
      </c>
      <c r="FQ154" s="1">
        <v>271998.64863286662</v>
      </c>
      <c r="FR154" s="13">
        <f t="shared" si="378"/>
        <v>-1.1803704612976418E-2</v>
      </c>
      <c r="FS154">
        <v>378</v>
      </c>
      <c r="FT154" s="13">
        <f t="shared" si="379"/>
        <v>3.2786885245901676E-2</v>
      </c>
      <c r="FU154" s="1">
        <v>269970.41768861789</v>
      </c>
      <c r="FV154" s="13">
        <f t="shared" si="380"/>
        <v>-7.4567684598549899E-3</v>
      </c>
      <c r="FW154" s="1">
        <v>380</v>
      </c>
      <c r="FX154" s="13">
        <f t="shared" si="381"/>
        <v>5.2910052910053462E-3</v>
      </c>
      <c r="FY154" s="1">
        <v>271200.64554775832</v>
      </c>
      <c r="FZ154" s="13">
        <f t="shared" si="382"/>
        <v>4.5568987508823877E-3</v>
      </c>
      <c r="GA154" s="1">
        <v>398</v>
      </c>
      <c r="GB154" s="13">
        <f t="shared" si="383"/>
        <v>4.7368421052631504E-2</v>
      </c>
      <c r="GC154" s="1">
        <v>271315.87780389033</v>
      </c>
      <c r="GD154" s="13">
        <f t="shared" si="384"/>
        <v>4.248966882038907E-4</v>
      </c>
      <c r="GE154" s="1">
        <v>410</v>
      </c>
      <c r="GF154" s="13">
        <f t="shared" si="385"/>
        <v>3.015075376884413E-2</v>
      </c>
      <c r="GG154" s="1">
        <f>IFERROR(VLOOKUP(A154,[3]Москва_продажа_районы!$C$2:$F$149,3,0),"")</f>
        <v>270851.59620707209</v>
      </c>
      <c r="GH154" s="13">
        <v>-1.7112216232100241E-3</v>
      </c>
      <c r="GI154" s="1">
        <v>400</v>
      </c>
      <c r="GJ154" s="13">
        <f t="shared" si="386"/>
        <v>-2.4390243902439046E-2</v>
      </c>
      <c r="GK154" s="1">
        <v>273700.03724498441</v>
      </c>
      <c r="GL154" s="13">
        <f t="shared" si="387"/>
        <v>1.0516611597646275E-2</v>
      </c>
      <c r="GM154" s="1">
        <v>405</v>
      </c>
      <c r="GN154" s="13">
        <f t="shared" si="388"/>
        <v>1.2499999999999956E-2</v>
      </c>
      <c r="GO154" s="1">
        <v>271515.19793759543</v>
      </c>
      <c r="GP154" s="13">
        <f t="shared" si="389"/>
        <v>-7.9826050788344149E-3</v>
      </c>
      <c r="GQ154" s="1">
        <v>424.79</v>
      </c>
      <c r="GR154" s="13">
        <f t="shared" si="390"/>
        <v>4.8864197530864351E-2</v>
      </c>
      <c r="GS154" s="1">
        <v>269261.16464302881</v>
      </c>
      <c r="GT154" s="13">
        <f t="shared" si="411"/>
        <v>-8.3016837056932857E-3</v>
      </c>
      <c r="GU154">
        <v>424</v>
      </c>
      <c r="GV154" s="13">
        <f t="shared" si="412"/>
        <v>-1.8597424609807511E-3</v>
      </c>
      <c r="GW154">
        <v>269050.34271410567</v>
      </c>
      <c r="GX154" s="13">
        <f t="shared" si="391"/>
        <v>-7.8296448432368937E-4</v>
      </c>
      <c r="GY154">
        <v>371</v>
      </c>
      <c r="GZ154" s="13">
        <f t="shared" si="392"/>
        <v>-0.125</v>
      </c>
      <c r="HA154">
        <v>274054.58586745203</v>
      </c>
      <c r="HB154" s="13">
        <v>1.8599653517869186E-2</v>
      </c>
      <c r="HC154">
        <v>335</v>
      </c>
      <c r="HD154" s="13">
        <v>-9.7035040431266872E-2</v>
      </c>
      <c r="HE154">
        <v>276774.85018336878</v>
      </c>
      <c r="HF154" s="13">
        <v>9.9259945142184947E-3</v>
      </c>
      <c r="HG154">
        <v>351</v>
      </c>
      <c r="HH154" s="13">
        <v>4.7761194029850795E-2</v>
      </c>
      <c r="HI154">
        <f>VLOOKUP(A154,[4]Москва_продажа_районы!$C$4:$F$151,3,0)</f>
        <v>277690.88123425661</v>
      </c>
      <c r="HJ154" s="13">
        <f t="shared" si="393"/>
        <v>3.3096614460488283E-3</v>
      </c>
      <c r="HK154">
        <f>VLOOKUP(A154,[4]Москва_продажа_районы!$C$4:$F$151,2,0)</f>
        <v>351</v>
      </c>
      <c r="HL154" s="13">
        <f t="shared" si="394"/>
        <v>0</v>
      </c>
      <c r="HM154" s="1">
        <f>VLOOKUP(A154,Лист3!$C$4:$F$149,3,0)</f>
        <v>278429.83119495428</v>
      </c>
      <c r="HN154" s="13">
        <f t="shared" si="395"/>
        <v>2.6610523090035976E-3</v>
      </c>
      <c r="HO154">
        <f>VLOOKUP(A154,Лист3!$C$4:$F$149,2,0)</f>
        <v>355</v>
      </c>
      <c r="HP154" s="13">
        <f t="shared" si="396"/>
        <v>1.139601139601143E-2</v>
      </c>
      <c r="HQ154" s="1">
        <v>277723.14659016492</v>
      </c>
      <c r="HR154" s="13">
        <v>-2.5381066452414558E-3</v>
      </c>
      <c r="HS154">
        <v>357</v>
      </c>
      <c r="HT154" s="13">
        <v>5.6338028169014009E-3</v>
      </c>
      <c r="HU154" s="34">
        <v>277694.16892366158</v>
      </c>
      <c r="HV154" s="13">
        <v>-1.0434012022086936E-4</v>
      </c>
      <c r="HW154">
        <v>329</v>
      </c>
      <c r="HX154" s="13">
        <v>-7.8431372549019662E-2</v>
      </c>
      <c r="HY154">
        <v>275763.67910578899</v>
      </c>
      <c r="HZ154" s="13">
        <v>-6.9518557964509675E-3</v>
      </c>
      <c r="IA154">
        <v>329</v>
      </c>
      <c r="IB154" s="13">
        <v>0</v>
      </c>
      <c r="IC154" s="34">
        <v>281250.72833467828</v>
      </c>
      <c r="ID154" s="13">
        <v>1.9897650215147999E-2</v>
      </c>
      <c r="IE154">
        <v>313</v>
      </c>
      <c r="IF154" s="13">
        <v>-4.8632218844984809E-2</v>
      </c>
    </row>
    <row r="155" spans="1:240" ht="14.4" customHeight="1" thickTop="1" x14ac:dyDescent="0.3"/>
  </sheetData>
  <mergeCells count="33">
    <mergeCell ref="A3:Q3"/>
    <mergeCell ref="B1:C1"/>
    <mergeCell ref="D1:E1"/>
    <mergeCell ref="A81:Q81"/>
    <mergeCell ref="A63:Q63"/>
    <mergeCell ref="A46:Q46"/>
    <mergeCell ref="A34:Q34"/>
    <mergeCell ref="A20:Q20"/>
    <mergeCell ref="A138:Q138"/>
    <mergeCell ref="A125:Q125"/>
    <mergeCell ref="A112:Q112"/>
    <mergeCell ref="A101:Q101"/>
    <mergeCell ref="A90:Q90"/>
    <mergeCell ref="AD1:AI1"/>
    <mergeCell ref="Z1:AA1"/>
    <mergeCell ref="AB1:AC1"/>
    <mergeCell ref="X1:Y1"/>
    <mergeCell ref="F1:G1"/>
    <mergeCell ref="T1:U1"/>
    <mergeCell ref="H1:I1"/>
    <mergeCell ref="J1:K1"/>
    <mergeCell ref="L1:M1"/>
    <mergeCell ref="N1:O1"/>
    <mergeCell ref="R1:S1"/>
    <mergeCell ref="V1:W1"/>
    <mergeCell ref="P1:Q1"/>
    <mergeCell ref="BG1:BH1"/>
    <mergeCell ref="AY1:AZ1"/>
    <mergeCell ref="AV1:AX1"/>
    <mergeCell ref="AS1:AT1"/>
    <mergeCell ref="AL1:AR1"/>
    <mergeCell ref="BA1:BB1"/>
    <mergeCell ref="BD1:BE1"/>
  </mergeCells>
  <phoneticPr fontId="7" type="noConversion"/>
  <pageMargins left="0.7" right="0.7" top="0.75" bottom="0.75" header="0.3" footer="0.3"/>
  <pageSetup paperSize="9" orientation="portrait" r:id="rId1"/>
  <ignoredErrors>
    <ignoredError sqref="EE4:EE154 EI4 EI5:EI15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9183-88EB-47FD-8EA9-A4B213A04DCE}">
  <dimension ref="A1:E147"/>
  <sheetViews>
    <sheetView topLeftCell="A7" workbookViewId="0">
      <selection activeCell="C2" sqref="C2"/>
    </sheetView>
  </sheetViews>
  <sheetFormatPr defaultRowHeight="14.4" x14ac:dyDescent="0.3"/>
  <cols>
    <col min="2" max="2" width="20.109375" customWidth="1"/>
    <col min="3" max="3" width="20.88671875" customWidth="1"/>
  </cols>
  <sheetData>
    <row r="1" spans="1:5" x14ac:dyDescent="0.3">
      <c r="B1" t="s">
        <v>263</v>
      </c>
      <c r="C1" t="s">
        <v>264</v>
      </c>
      <c r="D1" s="216" t="s">
        <v>250</v>
      </c>
      <c r="E1" s="216" t="s">
        <v>251</v>
      </c>
    </row>
    <row r="2" spans="1:5" x14ac:dyDescent="0.3">
      <c r="A2" s="216">
        <v>0</v>
      </c>
      <c r="B2" t="s">
        <v>7</v>
      </c>
      <c r="C2" t="s">
        <v>20</v>
      </c>
      <c r="D2">
        <v>330</v>
      </c>
      <c r="E2">
        <v>313985.81715044391</v>
      </c>
    </row>
    <row r="3" spans="1:5" x14ac:dyDescent="0.3">
      <c r="A3" s="216">
        <v>1</v>
      </c>
      <c r="B3" t="s">
        <v>7</v>
      </c>
      <c r="C3" t="s">
        <v>21</v>
      </c>
      <c r="D3">
        <v>313</v>
      </c>
      <c r="E3">
        <v>262974.08619281289</v>
      </c>
    </row>
    <row r="4" spans="1:5" x14ac:dyDescent="0.3">
      <c r="A4" s="216">
        <v>2</v>
      </c>
      <c r="B4" t="s">
        <v>7</v>
      </c>
      <c r="C4" t="s">
        <v>22</v>
      </c>
      <c r="D4">
        <v>218</v>
      </c>
      <c r="E4">
        <v>301658.16514922841</v>
      </c>
    </row>
    <row r="5" spans="1:5" x14ac:dyDescent="0.3">
      <c r="A5" s="216">
        <v>3</v>
      </c>
      <c r="B5" t="s">
        <v>7</v>
      </c>
      <c r="C5" t="s">
        <v>23</v>
      </c>
      <c r="D5">
        <v>29</v>
      </c>
      <c r="E5">
        <v>218672.39922799039</v>
      </c>
    </row>
    <row r="6" spans="1:5" x14ac:dyDescent="0.3">
      <c r="A6" s="216">
        <v>4</v>
      </c>
      <c r="B6" t="s">
        <v>7</v>
      </c>
      <c r="C6" t="s">
        <v>24</v>
      </c>
      <c r="D6">
        <v>401</v>
      </c>
      <c r="E6">
        <v>267483.13656650198</v>
      </c>
    </row>
    <row r="7" spans="1:5" x14ac:dyDescent="0.3">
      <c r="A7" s="216">
        <v>5</v>
      </c>
      <c r="B7" t="s">
        <v>7</v>
      </c>
      <c r="C7" t="s">
        <v>25</v>
      </c>
      <c r="D7">
        <v>334</v>
      </c>
      <c r="E7">
        <v>262147.73827198212</v>
      </c>
    </row>
    <row r="8" spans="1:5" x14ac:dyDescent="0.3">
      <c r="A8" s="216">
        <v>6</v>
      </c>
      <c r="B8" t="s">
        <v>7</v>
      </c>
      <c r="C8" t="s">
        <v>26</v>
      </c>
      <c r="D8">
        <v>248</v>
      </c>
      <c r="E8">
        <v>301503.63392131758</v>
      </c>
    </row>
    <row r="9" spans="1:5" x14ac:dyDescent="0.3">
      <c r="A9" s="216">
        <v>7</v>
      </c>
      <c r="B9" t="s">
        <v>7</v>
      </c>
      <c r="C9" t="s">
        <v>27</v>
      </c>
      <c r="D9">
        <v>174</v>
      </c>
      <c r="E9">
        <v>267396.9697877001</v>
      </c>
    </row>
    <row r="10" spans="1:5" x14ac:dyDescent="0.3">
      <c r="A10" s="216">
        <v>8</v>
      </c>
      <c r="B10" t="s">
        <v>7</v>
      </c>
      <c r="C10" t="s">
        <v>28</v>
      </c>
      <c r="D10">
        <v>86</v>
      </c>
      <c r="E10">
        <v>283169.83151751797</v>
      </c>
    </row>
    <row r="11" spans="1:5" x14ac:dyDescent="0.3">
      <c r="A11" s="216">
        <v>9</v>
      </c>
      <c r="B11" t="s">
        <v>7</v>
      </c>
      <c r="C11" t="s">
        <v>29</v>
      </c>
      <c r="D11">
        <v>237</v>
      </c>
      <c r="E11">
        <v>295388.30873122357</v>
      </c>
    </row>
    <row r="12" spans="1:5" x14ac:dyDescent="0.3">
      <c r="A12" s="216">
        <v>10</v>
      </c>
      <c r="B12" t="s">
        <v>7</v>
      </c>
      <c r="C12" t="s">
        <v>30</v>
      </c>
      <c r="D12">
        <v>108</v>
      </c>
      <c r="E12">
        <v>267658.53630341141</v>
      </c>
    </row>
    <row r="13" spans="1:5" x14ac:dyDescent="0.3">
      <c r="A13" s="216">
        <v>11</v>
      </c>
      <c r="B13" t="s">
        <v>7</v>
      </c>
      <c r="C13" t="s">
        <v>31</v>
      </c>
      <c r="D13">
        <v>382</v>
      </c>
      <c r="E13">
        <v>293542.0793765586</v>
      </c>
    </row>
    <row r="14" spans="1:5" x14ac:dyDescent="0.3">
      <c r="A14" s="216">
        <v>12</v>
      </c>
      <c r="B14" t="s">
        <v>7</v>
      </c>
      <c r="C14" t="s">
        <v>32</v>
      </c>
      <c r="D14">
        <v>242</v>
      </c>
      <c r="E14">
        <v>329824.22479669598</v>
      </c>
    </row>
    <row r="15" spans="1:5" x14ac:dyDescent="0.3">
      <c r="A15" s="216">
        <v>13</v>
      </c>
      <c r="B15" t="s">
        <v>7</v>
      </c>
      <c r="C15" t="s">
        <v>33</v>
      </c>
      <c r="D15">
        <v>241</v>
      </c>
      <c r="E15">
        <v>301131.05073269177</v>
      </c>
    </row>
    <row r="16" spans="1:5" x14ac:dyDescent="0.3">
      <c r="A16" s="216">
        <v>14</v>
      </c>
      <c r="B16" t="s">
        <v>7</v>
      </c>
      <c r="C16" t="s">
        <v>34</v>
      </c>
      <c r="D16">
        <v>359</v>
      </c>
      <c r="E16">
        <v>332615.15418598679</v>
      </c>
    </row>
    <row r="17" spans="1:5" x14ac:dyDescent="0.3">
      <c r="A17" s="216">
        <v>15</v>
      </c>
      <c r="B17" t="s">
        <v>7</v>
      </c>
      <c r="C17" t="s">
        <v>35</v>
      </c>
      <c r="D17">
        <v>235</v>
      </c>
      <c r="E17">
        <v>410744.86400057352</v>
      </c>
    </row>
    <row r="18" spans="1:5" x14ac:dyDescent="0.3">
      <c r="A18" s="216">
        <v>16</v>
      </c>
      <c r="B18" t="s">
        <v>8</v>
      </c>
      <c r="C18" t="s">
        <v>36</v>
      </c>
      <c r="D18">
        <v>73</v>
      </c>
      <c r="E18">
        <v>215261.43652302571</v>
      </c>
    </row>
    <row r="19" spans="1:5" x14ac:dyDescent="0.3">
      <c r="A19" s="216">
        <v>17</v>
      </c>
      <c r="B19" t="s">
        <v>8</v>
      </c>
      <c r="C19" t="s">
        <v>37</v>
      </c>
      <c r="D19">
        <v>355</v>
      </c>
      <c r="E19">
        <v>571287.53149344202</v>
      </c>
    </row>
    <row r="20" spans="1:5" x14ac:dyDescent="0.3">
      <c r="A20" s="216">
        <v>18</v>
      </c>
      <c r="B20" t="s">
        <v>8</v>
      </c>
      <c r="C20" t="s">
        <v>38</v>
      </c>
      <c r="D20">
        <v>204</v>
      </c>
      <c r="E20">
        <v>380632.15360293159</v>
      </c>
    </row>
    <row r="21" spans="1:5" x14ac:dyDescent="0.3">
      <c r="A21" s="216">
        <v>19</v>
      </c>
      <c r="B21" t="s">
        <v>8</v>
      </c>
      <c r="C21" t="s">
        <v>39</v>
      </c>
      <c r="D21">
        <v>411</v>
      </c>
      <c r="E21">
        <v>342621.49864847271</v>
      </c>
    </row>
    <row r="22" spans="1:5" x14ac:dyDescent="0.3">
      <c r="A22" s="216">
        <v>20</v>
      </c>
      <c r="B22" t="s">
        <v>8</v>
      </c>
      <c r="C22" t="s">
        <v>40</v>
      </c>
      <c r="D22">
        <v>576</v>
      </c>
      <c r="E22">
        <v>318571.43917687301</v>
      </c>
    </row>
    <row r="23" spans="1:5" x14ac:dyDescent="0.3">
      <c r="A23" s="216">
        <v>21</v>
      </c>
      <c r="B23" t="s">
        <v>8</v>
      </c>
      <c r="C23" t="s">
        <v>41</v>
      </c>
      <c r="D23">
        <v>203</v>
      </c>
      <c r="E23">
        <v>263097.83758937172</v>
      </c>
    </row>
    <row r="24" spans="1:5" x14ac:dyDescent="0.3">
      <c r="A24" s="216">
        <v>22</v>
      </c>
      <c r="B24" t="s">
        <v>8</v>
      </c>
      <c r="C24" t="s">
        <v>42</v>
      </c>
      <c r="D24">
        <v>391</v>
      </c>
      <c r="E24">
        <v>335635.53076687938</v>
      </c>
    </row>
    <row r="25" spans="1:5" x14ac:dyDescent="0.3">
      <c r="A25" s="216">
        <v>23</v>
      </c>
      <c r="B25" t="s">
        <v>8</v>
      </c>
      <c r="C25" t="s">
        <v>43</v>
      </c>
      <c r="D25">
        <v>213</v>
      </c>
      <c r="E25">
        <v>455039.56547034608</v>
      </c>
    </row>
    <row r="26" spans="1:5" x14ac:dyDescent="0.3">
      <c r="A26" s="216">
        <v>24</v>
      </c>
      <c r="B26" t="s">
        <v>8</v>
      </c>
      <c r="C26" t="s">
        <v>44</v>
      </c>
      <c r="D26">
        <v>495</v>
      </c>
      <c r="E26">
        <v>468920.66485310189</v>
      </c>
    </row>
    <row r="27" spans="1:5" x14ac:dyDescent="0.3">
      <c r="A27" s="216">
        <v>25</v>
      </c>
      <c r="B27" t="s">
        <v>8</v>
      </c>
      <c r="C27" t="s">
        <v>45</v>
      </c>
      <c r="D27">
        <v>303</v>
      </c>
      <c r="E27">
        <v>280478.82052024099</v>
      </c>
    </row>
    <row r="28" spans="1:5" x14ac:dyDescent="0.3">
      <c r="A28" s="216">
        <v>26</v>
      </c>
      <c r="B28" t="s">
        <v>8</v>
      </c>
      <c r="C28" t="s">
        <v>46</v>
      </c>
      <c r="D28">
        <v>342</v>
      </c>
      <c r="E28">
        <v>382022.68774727941</v>
      </c>
    </row>
    <row r="29" spans="1:5" x14ac:dyDescent="0.3">
      <c r="A29" s="216">
        <v>27</v>
      </c>
      <c r="B29" t="s">
        <v>8</v>
      </c>
      <c r="C29" t="s">
        <v>47</v>
      </c>
      <c r="D29">
        <v>256</v>
      </c>
      <c r="E29">
        <v>391760.10974454368</v>
      </c>
    </row>
    <row r="30" spans="1:5" x14ac:dyDescent="0.3">
      <c r="A30" s="216">
        <v>28</v>
      </c>
      <c r="B30" t="s">
        <v>8</v>
      </c>
      <c r="C30" t="s">
        <v>48</v>
      </c>
      <c r="D30">
        <v>302</v>
      </c>
      <c r="E30">
        <v>383356.52144688013</v>
      </c>
    </row>
    <row r="31" spans="1:5" x14ac:dyDescent="0.3">
      <c r="A31" s="216">
        <v>29</v>
      </c>
      <c r="B31" t="s">
        <v>175</v>
      </c>
      <c r="C31" t="s">
        <v>255</v>
      </c>
      <c r="D31">
        <v>495</v>
      </c>
      <c r="E31">
        <v>244314.75891432539</v>
      </c>
    </row>
    <row r="32" spans="1:5" x14ac:dyDescent="0.3">
      <c r="A32" s="216">
        <v>30</v>
      </c>
      <c r="B32" t="s">
        <v>175</v>
      </c>
      <c r="C32" t="s">
        <v>257</v>
      </c>
      <c r="D32">
        <v>4</v>
      </c>
      <c r="E32">
        <v>263251.76779219968</v>
      </c>
    </row>
    <row r="33" spans="1:5" x14ac:dyDescent="0.3">
      <c r="A33" s="216">
        <v>31</v>
      </c>
      <c r="B33" t="s">
        <v>175</v>
      </c>
      <c r="C33" t="s">
        <v>258</v>
      </c>
      <c r="D33">
        <v>31</v>
      </c>
      <c r="E33">
        <v>253961.77420096839</v>
      </c>
    </row>
    <row r="34" spans="1:5" x14ac:dyDescent="0.3">
      <c r="A34" s="216">
        <v>32</v>
      </c>
      <c r="B34" t="s">
        <v>175</v>
      </c>
      <c r="C34" t="s">
        <v>261</v>
      </c>
      <c r="D34">
        <v>1</v>
      </c>
      <c r="E34">
        <v>35714.28571428571</v>
      </c>
    </row>
    <row r="35" spans="1:5" x14ac:dyDescent="0.3">
      <c r="A35" s="216">
        <v>33</v>
      </c>
      <c r="B35" t="s">
        <v>175</v>
      </c>
      <c r="C35" t="s">
        <v>262</v>
      </c>
      <c r="D35">
        <v>3</v>
      </c>
      <c r="E35">
        <v>275379.62962962961</v>
      </c>
    </row>
    <row r="36" spans="1:5" x14ac:dyDescent="0.3">
      <c r="A36" s="216">
        <v>34</v>
      </c>
      <c r="B36" t="s">
        <v>9</v>
      </c>
      <c r="C36" t="s">
        <v>49</v>
      </c>
      <c r="D36">
        <v>79</v>
      </c>
      <c r="E36">
        <v>265984.6255679786</v>
      </c>
    </row>
    <row r="37" spans="1:5" x14ac:dyDescent="0.3">
      <c r="A37" s="216">
        <v>35</v>
      </c>
      <c r="B37" t="s">
        <v>9</v>
      </c>
      <c r="C37" t="s">
        <v>50</v>
      </c>
      <c r="D37">
        <v>78</v>
      </c>
      <c r="E37">
        <v>233216.57274003391</v>
      </c>
    </row>
    <row r="38" spans="1:5" x14ac:dyDescent="0.3">
      <c r="A38" s="216">
        <v>36</v>
      </c>
      <c r="B38" t="s">
        <v>9</v>
      </c>
      <c r="C38" t="s">
        <v>51</v>
      </c>
      <c r="D38">
        <v>166</v>
      </c>
      <c r="E38">
        <v>215687.2035624572</v>
      </c>
    </row>
    <row r="39" spans="1:5" x14ac:dyDescent="0.3">
      <c r="A39" s="216">
        <v>37</v>
      </c>
      <c r="B39" t="s">
        <v>9</v>
      </c>
      <c r="C39" t="s">
        <v>52</v>
      </c>
      <c r="D39">
        <v>60</v>
      </c>
      <c r="E39">
        <v>192383.85898150509</v>
      </c>
    </row>
    <row r="40" spans="1:5" x14ac:dyDescent="0.3">
      <c r="A40" s="216">
        <v>38</v>
      </c>
      <c r="B40" t="s">
        <v>9</v>
      </c>
      <c r="C40" t="s">
        <v>53</v>
      </c>
      <c r="D40">
        <v>41</v>
      </c>
      <c r="E40">
        <v>200375.3904790869</v>
      </c>
    </row>
    <row r="41" spans="1:5" x14ac:dyDescent="0.3">
      <c r="A41" s="216">
        <v>39</v>
      </c>
      <c r="B41" t="s">
        <v>9</v>
      </c>
      <c r="C41" t="s">
        <v>54</v>
      </c>
      <c r="D41">
        <v>435</v>
      </c>
      <c r="E41">
        <v>268819.40954510513</v>
      </c>
    </row>
    <row r="42" spans="1:5" x14ac:dyDescent="0.3">
      <c r="A42" s="216">
        <v>40</v>
      </c>
      <c r="B42" t="s">
        <v>9</v>
      </c>
      <c r="C42" t="s">
        <v>55</v>
      </c>
      <c r="D42">
        <v>71</v>
      </c>
      <c r="E42">
        <v>221051.14721003859</v>
      </c>
    </row>
    <row r="43" spans="1:5" x14ac:dyDescent="0.3">
      <c r="A43" s="216">
        <v>41</v>
      </c>
      <c r="B43" t="s">
        <v>9</v>
      </c>
      <c r="C43" t="s">
        <v>56</v>
      </c>
      <c r="D43">
        <v>141</v>
      </c>
      <c r="E43">
        <v>195086.782771392</v>
      </c>
    </row>
    <row r="44" spans="1:5" x14ac:dyDescent="0.3">
      <c r="A44" s="216">
        <v>42</v>
      </c>
      <c r="B44" t="s">
        <v>9</v>
      </c>
      <c r="C44" t="s">
        <v>57</v>
      </c>
      <c r="D44">
        <v>548</v>
      </c>
      <c r="E44">
        <v>275010.83748853899</v>
      </c>
    </row>
    <row r="45" spans="1:5" x14ac:dyDescent="0.3">
      <c r="A45" s="216">
        <v>43</v>
      </c>
      <c r="B45" t="s">
        <v>9</v>
      </c>
      <c r="C45" t="s">
        <v>58</v>
      </c>
      <c r="D45">
        <v>182</v>
      </c>
      <c r="E45">
        <v>178825.10100327971</v>
      </c>
    </row>
    <row r="46" spans="1:5" x14ac:dyDescent="0.3">
      <c r="A46" s="216">
        <v>44</v>
      </c>
      <c r="B46" t="s">
        <v>9</v>
      </c>
      <c r="C46" t="s">
        <v>59</v>
      </c>
      <c r="D46">
        <v>111</v>
      </c>
      <c r="E46">
        <v>197604.62484524591</v>
      </c>
    </row>
    <row r="47" spans="1:5" x14ac:dyDescent="0.3">
      <c r="A47" s="216">
        <v>45</v>
      </c>
      <c r="B47" t="s">
        <v>10</v>
      </c>
      <c r="C47" t="s">
        <v>60</v>
      </c>
      <c r="D47">
        <v>255</v>
      </c>
      <c r="E47">
        <v>401894.34640521498</v>
      </c>
    </row>
    <row r="48" spans="1:5" x14ac:dyDescent="0.3">
      <c r="A48" s="216">
        <v>46</v>
      </c>
      <c r="B48" t="s">
        <v>10</v>
      </c>
      <c r="C48" t="s">
        <v>61</v>
      </c>
      <c r="D48">
        <v>233</v>
      </c>
      <c r="E48">
        <v>428893.21257800772</v>
      </c>
    </row>
    <row r="49" spans="1:5" x14ac:dyDescent="0.3">
      <c r="A49" s="216">
        <v>47</v>
      </c>
      <c r="B49" t="s">
        <v>10</v>
      </c>
      <c r="C49" t="s">
        <v>62</v>
      </c>
      <c r="D49">
        <v>217</v>
      </c>
      <c r="E49">
        <v>321159.91848719312</v>
      </c>
    </row>
    <row r="50" spans="1:5" x14ac:dyDescent="0.3">
      <c r="A50" s="216">
        <v>48</v>
      </c>
      <c r="B50" t="s">
        <v>10</v>
      </c>
      <c r="C50" t="s">
        <v>63</v>
      </c>
      <c r="D50">
        <v>213</v>
      </c>
      <c r="E50">
        <v>353974.34273654717</v>
      </c>
    </row>
    <row r="51" spans="1:5" x14ac:dyDescent="0.3">
      <c r="A51" s="216">
        <v>49</v>
      </c>
      <c r="B51" t="s">
        <v>10</v>
      </c>
      <c r="C51" t="s">
        <v>64</v>
      </c>
      <c r="D51">
        <v>197</v>
      </c>
      <c r="E51">
        <v>277636.72992452508</v>
      </c>
    </row>
    <row r="52" spans="1:5" x14ac:dyDescent="0.3">
      <c r="A52" s="216">
        <v>50</v>
      </c>
      <c r="B52" t="s">
        <v>10</v>
      </c>
      <c r="C52" t="s">
        <v>65</v>
      </c>
      <c r="D52">
        <v>326</v>
      </c>
      <c r="E52">
        <v>323759.29858397192</v>
      </c>
    </row>
    <row r="53" spans="1:5" x14ac:dyDescent="0.3">
      <c r="A53" s="216">
        <v>51</v>
      </c>
      <c r="B53" t="s">
        <v>10</v>
      </c>
      <c r="C53" t="s">
        <v>66</v>
      </c>
      <c r="D53">
        <v>227</v>
      </c>
      <c r="E53">
        <v>283307.94474450231</v>
      </c>
    </row>
    <row r="54" spans="1:5" x14ac:dyDescent="0.3">
      <c r="A54" s="216">
        <v>52</v>
      </c>
      <c r="B54" t="s">
        <v>10</v>
      </c>
      <c r="C54" t="s">
        <v>67</v>
      </c>
      <c r="D54">
        <v>234</v>
      </c>
      <c r="E54">
        <v>289285.19665948558</v>
      </c>
    </row>
    <row r="55" spans="1:5" x14ac:dyDescent="0.3">
      <c r="A55" s="216">
        <v>53</v>
      </c>
      <c r="B55" t="s">
        <v>10</v>
      </c>
      <c r="C55" t="s">
        <v>68</v>
      </c>
      <c r="D55">
        <v>292</v>
      </c>
      <c r="E55">
        <v>317994.7836479976</v>
      </c>
    </row>
    <row r="56" spans="1:5" x14ac:dyDescent="0.3">
      <c r="A56" s="216">
        <v>54</v>
      </c>
      <c r="B56" t="s">
        <v>10</v>
      </c>
      <c r="C56" t="s">
        <v>69</v>
      </c>
      <c r="D56">
        <v>183</v>
      </c>
      <c r="E56">
        <v>356009.3195087185</v>
      </c>
    </row>
    <row r="57" spans="1:5" x14ac:dyDescent="0.3">
      <c r="A57" s="216">
        <v>55</v>
      </c>
      <c r="B57" t="s">
        <v>10</v>
      </c>
      <c r="C57" t="s">
        <v>70</v>
      </c>
      <c r="D57">
        <v>36</v>
      </c>
      <c r="E57">
        <v>199391.54592558631</v>
      </c>
    </row>
    <row r="58" spans="1:5" x14ac:dyDescent="0.3">
      <c r="A58" s="216">
        <v>56</v>
      </c>
      <c r="B58" t="s">
        <v>10</v>
      </c>
      <c r="C58" t="s">
        <v>71</v>
      </c>
      <c r="D58">
        <v>207</v>
      </c>
      <c r="E58">
        <v>374477.63342555892</v>
      </c>
    </row>
    <row r="59" spans="1:5" x14ac:dyDescent="0.3">
      <c r="A59" s="216">
        <v>57</v>
      </c>
      <c r="B59" t="s">
        <v>10</v>
      </c>
      <c r="C59" t="s">
        <v>72</v>
      </c>
      <c r="D59">
        <v>270</v>
      </c>
      <c r="E59">
        <v>401902.87136944762</v>
      </c>
    </row>
    <row r="60" spans="1:5" x14ac:dyDescent="0.3">
      <c r="A60" s="216">
        <v>58</v>
      </c>
      <c r="B60" t="s">
        <v>10</v>
      </c>
      <c r="C60" t="s">
        <v>73</v>
      </c>
      <c r="D60">
        <v>203</v>
      </c>
      <c r="E60">
        <v>339758.91706666228</v>
      </c>
    </row>
    <row r="61" spans="1:5" x14ac:dyDescent="0.3">
      <c r="A61" s="216">
        <v>59</v>
      </c>
      <c r="B61" t="s">
        <v>10</v>
      </c>
      <c r="C61" t="s">
        <v>74</v>
      </c>
      <c r="D61">
        <v>315</v>
      </c>
      <c r="E61">
        <v>310559.8154415614</v>
      </c>
    </row>
    <row r="62" spans="1:5" x14ac:dyDescent="0.3">
      <c r="A62" s="216">
        <v>60</v>
      </c>
      <c r="B62" t="s">
        <v>10</v>
      </c>
      <c r="C62" t="s">
        <v>75</v>
      </c>
      <c r="D62">
        <v>234</v>
      </c>
      <c r="E62">
        <v>419414.12623166072</v>
      </c>
    </row>
    <row r="63" spans="1:5" x14ac:dyDescent="0.3">
      <c r="A63" s="216">
        <v>61</v>
      </c>
      <c r="B63" t="s">
        <v>11</v>
      </c>
      <c r="C63" t="s">
        <v>76</v>
      </c>
      <c r="D63">
        <v>223</v>
      </c>
      <c r="E63">
        <v>386174.41088220739</v>
      </c>
    </row>
    <row r="64" spans="1:5" x14ac:dyDescent="0.3">
      <c r="A64" s="216">
        <v>62</v>
      </c>
      <c r="B64" t="s">
        <v>11</v>
      </c>
      <c r="C64" t="s">
        <v>77</v>
      </c>
      <c r="D64">
        <v>104</v>
      </c>
      <c r="E64">
        <v>279100.97246794932</v>
      </c>
    </row>
    <row r="65" spans="1:5" x14ac:dyDescent="0.3">
      <c r="A65" s="216">
        <v>63</v>
      </c>
      <c r="B65" t="s">
        <v>11</v>
      </c>
      <c r="C65" t="s">
        <v>78</v>
      </c>
      <c r="D65">
        <v>236</v>
      </c>
      <c r="E65">
        <v>309280.82180492999</v>
      </c>
    </row>
    <row r="66" spans="1:5" x14ac:dyDescent="0.3">
      <c r="A66" s="216">
        <v>64</v>
      </c>
      <c r="B66" t="s">
        <v>11</v>
      </c>
      <c r="C66" t="s">
        <v>79</v>
      </c>
      <c r="D66">
        <v>312</v>
      </c>
      <c r="E66">
        <v>275218.11354563938</v>
      </c>
    </row>
    <row r="67" spans="1:5" x14ac:dyDescent="0.3">
      <c r="A67" s="216">
        <v>65</v>
      </c>
      <c r="B67" t="s">
        <v>11</v>
      </c>
      <c r="C67" t="s">
        <v>80</v>
      </c>
      <c r="D67">
        <v>158</v>
      </c>
      <c r="E67">
        <v>362071.50498732273</v>
      </c>
    </row>
    <row r="68" spans="1:5" x14ac:dyDescent="0.3">
      <c r="A68" s="216">
        <v>66</v>
      </c>
      <c r="B68" t="s">
        <v>11</v>
      </c>
      <c r="C68" t="s">
        <v>81</v>
      </c>
      <c r="D68">
        <v>164</v>
      </c>
      <c r="E68">
        <v>284554.29377785831</v>
      </c>
    </row>
    <row r="69" spans="1:5" x14ac:dyDescent="0.3">
      <c r="A69" s="216">
        <v>67</v>
      </c>
      <c r="B69" t="s">
        <v>11</v>
      </c>
      <c r="C69" t="s">
        <v>82</v>
      </c>
      <c r="D69">
        <v>226</v>
      </c>
      <c r="E69">
        <v>282090.80625238048</v>
      </c>
    </row>
    <row r="70" spans="1:5" x14ac:dyDescent="0.3">
      <c r="A70" s="216">
        <v>68</v>
      </c>
      <c r="B70" t="s">
        <v>11</v>
      </c>
      <c r="C70" t="s">
        <v>83</v>
      </c>
      <c r="D70">
        <v>108</v>
      </c>
      <c r="E70">
        <v>353069.24524660507</v>
      </c>
    </row>
    <row r="71" spans="1:5" x14ac:dyDescent="0.3">
      <c r="A71" s="216">
        <v>69</v>
      </c>
      <c r="B71" t="s">
        <v>11</v>
      </c>
      <c r="C71" t="s">
        <v>84</v>
      </c>
      <c r="D71">
        <v>236</v>
      </c>
      <c r="E71">
        <v>401536.1373564931</v>
      </c>
    </row>
    <row r="72" spans="1:5" x14ac:dyDescent="0.3">
      <c r="A72" s="216">
        <v>70</v>
      </c>
      <c r="B72" t="s">
        <v>11</v>
      </c>
      <c r="C72" t="s">
        <v>85</v>
      </c>
      <c r="D72">
        <v>189</v>
      </c>
      <c r="E72">
        <v>374867.5255532703</v>
      </c>
    </row>
    <row r="73" spans="1:5" x14ac:dyDescent="0.3">
      <c r="A73" s="216">
        <v>71</v>
      </c>
      <c r="B73" t="s">
        <v>11</v>
      </c>
      <c r="C73" t="s">
        <v>86</v>
      </c>
      <c r="D73">
        <v>344</v>
      </c>
      <c r="E73">
        <v>290967.08111801418</v>
      </c>
    </row>
    <row r="74" spans="1:5" x14ac:dyDescent="0.3">
      <c r="A74" s="216">
        <v>72</v>
      </c>
      <c r="B74" t="s">
        <v>11</v>
      </c>
      <c r="C74" t="s">
        <v>87</v>
      </c>
      <c r="D74">
        <v>158</v>
      </c>
      <c r="E74">
        <v>336940.12352037622</v>
      </c>
    </row>
    <row r="75" spans="1:5" x14ac:dyDescent="0.3">
      <c r="A75" s="216">
        <v>73</v>
      </c>
      <c r="B75" t="s">
        <v>11</v>
      </c>
      <c r="C75" t="s">
        <v>88</v>
      </c>
      <c r="D75">
        <v>115</v>
      </c>
      <c r="E75">
        <v>351018.60559157468</v>
      </c>
    </row>
    <row r="76" spans="1:5" x14ac:dyDescent="0.3">
      <c r="A76" s="216">
        <v>74</v>
      </c>
      <c r="B76" t="s">
        <v>11</v>
      </c>
      <c r="C76" t="s">
        <v>89</v>
      </c>
      <c r="D76">
        <v>271</v>
      </c>
      <c r="E76">
        <v>286296.43040413712</v>
      </c>
    </row>
    <row r="77" spans="1:5" x14ac:dyDescent="0.3">
      <c r="A77" s="216">
        <v>75</v>
      </c>
      <c r="B77" t="s">
        <v>11</v>
      </c>
      <c r="C77" t="s">
        <v>90</v>
      </c>
      <c r="D77">
        <v>167</v>
      </c>
      <c r="E77">
        <v>271139.69807515049</v>
      </c>
    </row>
    <row r="78" spans="1:5" x14ac:dyDescent="0.3">
      <c r="A78" s="216">
        <v>76</v>
      </c>
      <c r="B78" t="s">
        <v>11</v>
      </c>
      <c r="C78" t="s">
        <v>91</v>
      </c>
      <c r="D78">
        <v>182</v>
      </c>
      <c r="E78">
        <v>305539.8612676037</v>
      </c>
    </row>
    <row r="79" spans="1:5" x14ac:dyDescent="0.3">
      <c r="A79" s="216">
        <v>77</v>
      </c>
      <c r="B79" t="s">
        <v>11</v>
      </c>
      <c r="C79" t="s">
        <v>92</v>
      </c>
      <c r="D79">
        <v>227</v>
      </c>
      <c r="E79">
        <v>267087.87558236689</v>
      </c>
    </row>
    <row r="80" spans="1:5" x14ac:dyDescent="0.3">
      <c r="A80" s="216">
        <v>78</v>
      </c>
      <c r="B80" t="s">
        <v>12</v>
      </c>
      <c r="C80" t="s">
        <v>93</v>
      </c>
      <c r="D80">
        <v>153</v>
      </c>
      <c r="E80">
        <v>321177.63672512397</v>
      </c>
    </row>
    <row r="81" spans="1:5" x14ac:dyDescent="0.3">
      <c r="A81" s="216">
        <v>79</v>
      </c>
      <c r="B81" t="s">
        <v>12</v>
      </c>
      <c r="C81" t="s">
        <v>94</v>
      </c>
      <c r="D81">
        <v>421</v>
      </c>
      <c r="E81">
        <v>291393.78633140231</v>
      </c>
    </row>
    <row r="82" spans="1:5" x14ac:dyDescent="0.3">
      <c r="A82" s="216">
        <v>80</v>
      </c>
      <c r="B82" t="s">
        <v>12</v>
      </c>
      <c r="C82" t="s">
        <v>95</v>
      </c>
      <c r="D82">
        <v>238</v>
      </c>
      <c r="E82">
        <v>388483.42701078323</v>
      </c>
    </row>
    <row r="83" spans="1:5" x14ac:dyDescent="0.3">
      <c r="A83" s="216">
        <v>81</v>
      </c>
      <c r="B83" t="s">
        <v>12</v>
      </c>
      <c r="C83" t="s">
        <v>96</v>
      </c>
      <c r="D83">
        <v>325</v>
      </c>
      <c r="E83">
        <v>302206.60633678263</v>
      </c>
    </row>
    <row r="84" spans="1:5" x14ac:dyDescent="0.3">
      <c r="A84" s="216">
        <v>82</v>
      </c>
      <c r="B84" t="s">
        <v>12</v>
      </c>
      <c r="C84" t="s">
        <v>97</v>
      </c>
      <c r="D84">
        <v>241</v>
      </c>
      <c r="E84">
        <v>319347.64790601289</v>
      </c>
    </row>
    <row r="85" spans="1:5" x14ac:dyDescent="0.3">
      <c r="A85" s="216">
        <v>83</v>
      </c>
      <c r="B85" t="s">
        <v>12</v>
      </c>
      <c r="C85" t="s">
        <v>98</v>
      </c>
      <c r="D85">
        <v>477</v>
      </c>
      <c r="E85">
        <v>398307.07112683589</v>
      </c>
    </row>
    <row r="86" spans="1:5" x14ac:dyDescent="0.3">
      <c r="A86" s="216">
        <v>84</v>
      </c>
      <c r="B86" t="s">
        <v>12</v>
      </c>
      <c r="C86" t="s">
        <v>99</v>
      </c>
      <c r="D86">
        <v>284</v>
      </c>
      <c r="E86">
        <v>354908.1116776776</v>
      </c>
    </row>
    <row r="87" spans="1:5" x14ac:dyDescent="0.3">
      <c r="A87" s="216">
        <v>85</v>
      </c>
      <c r="B87" t="s">
        <v>12</v>
      </c>
      <c r="C87" t="s">
        <v>100</v>
      </c>
      <c r="D87">
        <v>265</v>
      </c>
      <c r="E87">
        <v>299627.34616410319</v>
      </c>
    </row>
    <row r="88" spans="1:5" x14ac:dyDescent="0.3">
      <c r="A88" s="216">
        <v>86</v>
      </c>
      <c r="B88" t="s">
        <v>13</v>
      </c>
      <c r="C88" t="s">
        <v>177</v>
      </c>
      <c r="D88">
        <v>31</v>
      </c>
      <c r="E88">
        <v>175173.3789927102</v>
      </c>
    </row>
    <row r="89" spans="1:5" x14ac:dyDescent="0.3">
      <c r="A89" s="216">
        <v>87</v>
      </c>
      <c r="B89" t="s">
        <v>13</v>
      </c>
      <c r="C89" t="s">
        <v>178</v>
      </c>
      <c r="D89">
        <v>43</v>
      </c>
      <c r="E89">
        <v>164390.5122800403</v>
      </c>
    </row>
    <row r="90" spans="1:5" x14ac:dyDescent="0.3">
      <c r="A90" s="216">
        <v>88</v>
      </c>
      <c r="B90" t="s">
        <v>13</v>
      </c>
      <c r="C90" t="s">
        <v>101</v>
      </c>
      <c r="D90">
        <v>8</v>
      </c>
      <c r="E90">
        <v>171193.621753671</v>
      </c>
    </row>
    <row r="91" spans="1:5" x14ac:dyDescent="0.3">
      <c r="A91" s="216">
        <v>89</v>
      </c>
      <c r="B91" t="s">
        <v>13</v>
      </c>
      <c r="C91" t="s">
        <v>102</v>
      </c>
      <c r="D91">
        <v>17</v>
      </c>
      <c r="E91">
        <v>176103.85382319131</v>
      </c>
    </row>
    <row r="92" spans="1:5" x14ac:dyDescent="0.3">
      <c r="A92" s="216">
        <v>90</v>
      </c>
      <c r="B92" t="s">
        <v>13</v>
      </c>
      <c r="C92" t="s">
        <v>169</v>
      </c>
      <c r="D92">
        <v>10</v>
      </c>
      <c r="E92">
        <v>167767.77427812421</v>
      </c>
    </row>
    <row r="93" spans="1:5" x14ac:dyDescent="0.3">
      <c r="A93" s="216">
        <v>91</v>
      </c>
      <c r="B93" t="s">
        <v>13</v>
      </c>
      <c r="C93" t="s">
        <v>103</v>
      </c>
      <c r="D93">
        <v>68</v>
      </c>
      <c r="E93">
        <v>159830.84257017469</v>
      </c>
    </row>
    <row r="94" spans="1:5" x14ac:dyDescent="0.3">
      <c r="A94" s="216">
        <v>92</v>
      </c>
      <c r="B94" t="s">
        <v>13</v>
      </c>
      <c r="C94" t="s">
        <v>104</v>
      </c>
      <c r="D94">
        <v>166</v>
      </c>
      <c r="E94">
        <v>174130.55999732859</v>
      </c>
    </row>
    <row r="95" spans="1:5" x14ac:dyDescent="0.3">
      <c r="A95" s="216">
        <v>93</v>
      </c>
      <c r="B95" t="s">
        <v>13</v>
      </c>
      <c r="C95" t="s">
        <v>105</v>
      </c>
      <c r="D95">
        <v>19</v>
      </c>
      <c r="E95">
        <v>126953.8197177964</v>
      </c>
    </row>
    <row r="96" spans="1:5" x14ac:dyDescent="0.3">
      <c r="A96" s="216">
        <v>94</v>
      </c>
      <c r="B96" t="s">
        <v>13</v>
      </c>
      <c r="C96" t="s">
        <v>106</v>
      </c>
      <c r="D96">
        <v>192</v>
      </c>
      <c r="E96">
        <v>208090.5479617278</v>
      </c>
    </row>
    <row r="97" spans="1:5" x14ac:dyDescent="0.3">
      <c r="A97" s="216">
        <v>95</v>
      </c>
      <c r="B97" t="s">
        <v>13</v>
      </c>
      <c r="C97" t="s">
        <v>107</v>
      </c>
      <c r="D97">
        <v>33</v>
      </c>
      <c r="E97">
        <v>167928.0420569203</v>
      </c>
    </row>
    <row r="98" spans="1:5" x14ac:dyDescent="0.3">
      <c r="A98" s="216">
        <v>96</v>
      </c>
      <c r="B98" t="s">
        <v>14</v>
      </c>
      <c r="C98" t="s">
        <v>108</v>
      </c>
      <c r="D98">
        <v>275</v>
      </c>
      <c r="E98">
        <v>905097.15360209334</v>
      </c>
    </row>
    <row r="99" spans="1:5" x14ac:dyDescent="0.3">
      <c r="A99" s="216">
        <v>97</v>
      </c>
      <c r="B99" t="s">
        <v>14</v>
      </c>
      <c r="C99" t="s">
        <v>109</v>
      </c>
      <c r="D99">
        <v>625</v>
      </c>
      <c r="E99">
        <v>520778.84372068208</v>
      </c>
    </row>
    <row r="100" spans="1:5" x14ac:dyDescent="0.3">
      <c r="A100" s="216">
        <v>98</v>
      </c>
      <c r="B100" t="s">
        <v>14</v>
      </c>
      <c r="C100" t="s">
        <v>110</v>
      </c>
      <c r="D100">
        <v>294</v>
      </c>
      <c r="E100">
        <v>605385.56694164302</v>
      </c>
    </row>
    <row r="101" spans="1:5" x14ac:dyDescent="0.3">
      <c r="A101" s="216">
        <v>99</v>
      </c>
      <c r="B101" t="s">
        <v>14</v>
      </c>
      <c r="C101" t="s">
        <v>111</v>
      </c>
      <c r="D101">
        <v>279</v>
      </c>
      <c r="E101">
        <v>526276.23815291934</v>
      </c>
    </row>
    <row r="102" spans="1:5" x14ac:dyDescent="0.3">
      <c r="A102" s="216">
        <v>100</v>
      </c>
      <c r="B102" t="s">
        <v>14</v>
      </c>
      <c r="C102" t="s">
        <v>112</v>
      </c>
      <c r="D102">
        <v>299</v>
      </c>
      <c r="E102">
        <v>611622.06519003026</v>
      </c>
    </row>
    <row r="103" spans="1:5" x14ac:dyDescent="0.3">
      <c r="A103" s="216">
        <v>101</v>
      </c>
      <c r="B103" t="s">
        <v>14</v>
      </c>
      <c r="C103" t="s">
        <v>113</v>
      </c>
      <c r="D103">
        <v>922</v>
      </c>
      <c r="E103">
        <v>756448.45636767871</v>
      </c>
    </row>
    <row r="104" spans="1:5" x14ac:dyDescent="0.3">
      <c r="A104" s="216">
        <v>102</v>
      </c>
      <c r="B104" t="s">
        <v>14</v>
      </c>
      <c r="C104" t="s">
        <v>114</v>
      </c>
      <c r="D104">
        <v>524</v>
      </c>
      <c r="E104">
        <v>482481.56758583733</v>
      </c>
    </row>
    <row r="105" spans="1:5" x14ac:dyDescent="0.3">
      <c r="A105" s="216">
        <v>103</v>
      </c>
      <c r="B105" t="s">
        <v>14</v>
      </c>
      <c r="C105" t="s">
        <v>115</v>
      </c>
      <c r="D105">
        <v>703</v>
      </c>
      <c r="E105">
        <v>803746.6752742239</v>
      </c>
    </row>
    <row r="106" spans="1:5" x14ac:dyDescent="0.3">
      <c r="A106" s="216">
        <v>104</v>
      </c>
      <c r="B106" t="s">
        <v>14</v>
      </c>
      <c r="C106" t="s">
        <v>116</v>
      </c>
      <c r="D106">
        <v>614</v>
      </c>
      <c r="E106">
        <v>827282.53281359642</v>
      </c>
    </row>
    <row r="107" spans="1:5" x14ac:dyDescent="0.3">
      <c r="A107" s="216">
        <v>105</v>
      </c>
      <c r="B107" t="s">
        <v>14</v>
      </c>
      <c r="C107" t="s">
        <v>117</v>
      </c>
      <c r="D107">
        <v>171</v>
      </c>
      <c r="E107">
        <v>854323.70265725139</v>
      </c>
    </row>
    <row r="108" spans="1:5" x14ac:dyDescent="0.3">
      <c r="A108" s="216">
        <v>106</v>
      </c>
      <c r="B108" t="s">
        <v>15</v>
      </c>
      <c r="C108" t="s">
        <v>118</v>
      </c>
      <c r="D108">
        <v>448</v>
      </c>
      <c r="E108">
        <v>270087.29869147053</v>
      </c>
    </row>
    <row r="109" spans="1:5" x14ac:dyDescent="0.3">
      <c r="A109" s="216">
        <v>107</v>
      </c>
      <c r="B109" t="s">
        <v>15</v>
      </c>
      <c r="C109" t="s">
        <v>179</v>
      </c>
      <c r="D109">
        <v>26</v>
      </c>
      <c r="E109">
        <v>215703.36137790151</v>
      </c>
    </row>
    <row r="110" spans="1:5" x14ac:dyDescent="0.3">
      <c r="A110" s="216">
        <v>108</v>
      </c>
      <c r="B110" t="s">
        <v>15</v>
      </c>
      <c r="C110" t="s">
        <v>119</v>
      </c>
      <c r="D110">
        <v>317</v>
      </c>
      <c r="E110">
        <v>302263.70042132592</v>
      </c>
    </row>
    <row r="111" spans="1:5" x14ac:dyDescent="0.3">
      <c r="A111" s="216">
        <v>109</v>
      </c>
      <c r="B111" t="s">
        <v>15</v>
      </c>
      <c r="C111" t="s">
        <v>120</v>
      </c>
      <c r="D111">
        <v>231</v>
      </c>
      <c r="E111">
        <v>348146.29055774998</v>
      </c>
    </row>
    <row r="112" spans="1:5" x14ac:dyDescent="0.3">
      <c r="A112" s="216">
        <v>110</v>
      </c>
      <c r="B112" t="s">
        <v>15</v>
      </c>
      <c r="C112" t="s">
        <v>121</v>
      </c>
      <c r="D112">
        <v>581</v>
      </c>
      <c r="E112">
        <v>273178.61749529169</v>
      </c>
    </row>
    <row r="113" spans="1:5" x14ac:dyDescent="0.3">
      <c r="A113" s="216">
        <v>111</v>
      </c>
      <c r="B113" t="s">
        <v>15</v>
      </c>
      <c r="C113" t="s">
        <v>122</v>
      </c>
      <c r="D113">
        <v>643</v>
      </c>
      <c r="E113">
        <v>280988.38637572719</v>
      </c>
    </row>
    <row r="114" spans="1:5" x14ac:dyDescent="0.3">
      <c r="A114" s="216">
        <v>112</v>
      </c>
      <c r="B114" t="s">
        <v>15</v>
      </c>
      <c r="C114" t="s">
        <v>123</v>
      </c>
      <c r="D114">
        <v>228</v>
      </c>
      <c r="E114">
        <v>227776.74598850461</v>
      </c>
    </row>
    <row r="115" spans="1:5" x14ac:dyDescent="0.3">
      <c r="A115" s="216">
        <v>113</v>
      </c>
      <c r="B115" t="s">
        <v>15</v>
      </c>
      <c r="C115" t="s">
        <v>124</v>
      </c>
      <c r="D115">
        <v>181</v>
      </c>
      <c r="E115">
        <v>305205.29431491689</v>
      </c>
    </row>
    <row r="116" spans="1:5" x14ac:dyDescent="0.3">
      <c r="A116" s="216">
        <v>114</v>
      </c>
      <c r="B116" t="s">
        <v>15</v>
      </c>
      <c r="C116" t="s">
        <v>125</v>
      </c>
      <c r="D116">
        <v>169</v>
      </c>
      <c r="E116">
        <v>288536.60354275478</v>
      </c>
    </row>
    <row r="117" spans="1:5" x14ac:dyDescent="0.3">
      <c r="A117" s="216">
        <v>115</v>
      </c>
      <c r="B117" t="s">
        <v>15</v>
      </c>
      <c r="C117" t="s">
        <v>170</v>
      </c>
      <c r="D117">
        <v>309</v>
      </c>
      <c r="E117">
        <v>292768.90259174851</v>
      </c>
    </row>
    <row r="118" spans="1:5" x14ac:dyDescent="0.3">
      <c r="A118" s="216">
        <v>116</v>
      </c>
      <c r="B118" t="s">
        <v>15</v>
      </c>
      <c r="C118" t="s">
        <v>126</v>
      </c>
      <c r="D118">
        <v>288</v>
      </c>
      <c r="E118">
        <v>282943.386516292</v>
      </c>
    </row>
    <row r="119" spans="1:5" x14ac:dyDescent="0.3">
      <c r="A119" s="216">
        <v>117</v>
      </c>
      <c r="B119" t="s">
        <v>15</v>
      </c>
      <c r="C119" t="s">
        <v>127</v>
      </c>
      <c r="D119">
        <v>252</v>
      </c>
      <c r="E119">
        <v>350840.44965045218</v>
      </c>
    </row>
    <row r="120" spans="1:5" x14ac:dyDescent="0.3">
      <c r="A120" s="216">
        <v>118</v>
      </c>
      <c r="B120" t="s">
        <v>16</v>
      </c>
      <c r="C120" t="s">
        <v>128</v>
      </c>
      <c r="D120">
        <v>394</v>
      </c>
      <c r="E120">
        <v>388204.64061408368</v>
      </c>
    </row>
    <row r="121" spans="1:5" x14ac:dyDescent="0.3">
      <c r="A121" s="216">
        <v>119</v>
      </c>
      <c r="B121" t="s">
        <v>16</v>
      </c>
      <c r="C121" t="s">
        <v>129</v>
      </c>
      <c r="D121">
        <v>248</v>
      </c>
      <c r="E121">
        <v>488704.69441596698</v>
      </c>
    </row>
    <row r="122" spans="1:5" x14ac:dyDescent="0.3">
      <c r="A122" s="216">
        <v>120</v>
      </c>
      <c r="B122" t="s">
        <v>16</v>
      </c>
      <c r="C122" t="s">
        <v>130</v>
      </c>
      <c r="D122">
        <v>278</v>
      </c>
      <c r="E122">
        <v>344751.30953848409</v>
      </c>
    </row>
    <row r="123" spans="1:5" x14ac:dyDescent="0.3">
      <c r="A123" s="216">
        <v>121</v>
      </c>
      <c r="B123" t="s">
        <v>16</v>
      </c>
      <c r="C123" t="s">
        <v>131</v>
      </c>
      <c r="D123">
        <v>415</v>
      </c>
      <c r="E123">
        <v>330476.68625878071</v>
      </c>
    </row>
    <row r="124" spans="1:5" x14ac:dyDescent="0.3">
      <c r="A124" s="216">
        <v>122</v>
      </c>
      <c r="B124" t="s">
        <v>16</v>
      </c>
      <c r="C124" t="s">
        <v>132</v>
      </c>
      <c r="D124">
        <v>241</v>
      </c>
      <c r="E124">
        <v>358450.01921994833</v>
      </c>
    </row>
    <row r="125" spans="1:5" x14ac:dyDescent="0.3">
      <c r="A125" s="216">
        <v>123</v>
      </c>
      <c r="B125" t="s">
        <v>16</v>
      </c>
      <c r="C125" t="s">
        <v>133</v>
      </c>
      <c r="D125">
        <v>349</v>
      </c>
      <c r="E125">
        <v>411558.52405091468</v>
      </c>
    </row>
    <row r="126" spans="1:5" x14ac:dyDescent="0.3">
      <c r="A126" s="216">
        <v>124</v>
      </c>
      <c r="B126" t="s">
        <v>16</v>
      </c>
      <c r="C126" t="s">
        <v>134</v>
      </c>
      <c r="D126">
        <v>263</v>
      </c>
      <c r="E126">
        <v>389097.27833677921</v>
      </c>
    </row>
    <row r="127" spans="1:5" x14ac:dyDescent="0.3">
      <c r="A127" s="216">
        <v>125</v>
      </c>
      <c r="B127" t="s">
        <v>16</v>
      </c>
      <c r="C127" t="s">
        <v>135</v>
      </c>
      <c r="D127">
        <v>192</v>
      </c>
      <c r="E127">
        <v>273723.15457409568</v>
      </c>
    </row>
    <row r="128" spans="1:5" x14ac:dyDescent="0.3">
      <c r="A128" s="216">
        <v>126</v>
      </c>
      <c r="B128" t="s">
        <v>16</v>
      </c>
      <c r="C128" t="s">
        <v>136</v>
      </c>
      <c r="D128">
        <v>357</v>
      </c>
      <c r="E128">
        <v>308718.24620862782</v>
      </c>
    </row>
    <row r="129" spans="1:5" x14ac:dyDescent="0.3">
      <c r="A129" s="216">
        <v>127</v>
      </c>
      <c r="B129" t="s">
        <v>16</v>
      </c>
      <c r="C129" t="s">
        <v>137</v>
      </c>
      <c r="D129">
        <v>336</v>
      </c>
      <c r="E129">
        <v>374009.55851854372</v>
      </c>
    </row>
    <row r="130" spans="1:5" x14ac:dyDescent="0.3">
      <c r="A130" s="216">
        <v>128</v>
      </c>
      <c r="B130" t="s">
        <v>16</v>
      </c>
      <c r="C130" t="s">
        <v>138</v>
      </c>
      <c r="D130">
        <v>603</v>
      </c>
      <c r="E130">
        <v>241477.4690727368</v>
      </c>
    </row>
    <row r="131" spans="1:5" x14ac:dyDescent="0.3">
      <c r="A131" s="216">
        <v>129</v>
      </c>
      <c r="B131" t="s">
        <v>16</v>
      </c>
      <c r="C131" t="s">
        <v>139</v>
      </c>
      <c r="D131">
        <v>339</v>
      </c>
      <c r="E131">
        <v>280854.81003734691</v>
      </c>
    </row>
    <row r="132" spans="1:5" x14ac:dyDescent="0.3">
      <c r="A132" s="216">
        <v>130</v>
      </c>
      <c r="B132" t="s">
        <v>17</v>
      </c>
      <c r="C132" t="s">
        <v>140</v>
      </c>
      <c r="D132">
        <v>273</v>
      </c>
      <c r="E132">
        <v>242104.83769750519</v>
      </c>
    </row>
    <row r="133" spans="1:5" x14ac:dyDescent="0.3">
      <c r="A133" s="216">
        <v>131</v>
      </c>
      <c r="B133" t="s">
        <v>17</v>
      </c>
      <c r="C133" t="s">
        <v>141</v>
      </c>
      <c r="D133">
        <v>143</v>
      </c>
      <c r="E133">
        <v>233326.4967293776</v>
      </c>
    </row>
    <row r="134" spans="1:5" x14ac:dyDescent="0.3">
      <c r="A134" s="216">
        <v>132</v>
      </c>
      <c r="B134" t="s">
        <v>17</v>
      </c>
      <c r="C134" t="s">
        <v>142</v>
      </c>
      <c r="D134">
        <v>180</v>
      </c>
      <c r="E134">
        <v>282053.78275668732</v>
      </c>
    </row>
    <row r="135" spans="1:5" x14ac:dyDescent="0.3">
      <c r="A135" s="216">
        <v>133</v>
      </c>
      <c r="B135" t="s">
        <v>17</v>
      </c>
      <c r="C135" t="s">
        <v>143</v>
      </c>
      <c r="D135">
        <v>477</v>
      </c>
      <c r="E135">
        <v>425507.14580552332</v>
      </c>
    </row>
    <row r="136" spans="1:5" x14ac:dyDescent="0.3">
      <c r="A136" s="216">
        <v>134</v>
      </c>
      <c r="B136" t="s">
        <v>17</v>
      </c>
      <c r="C136" t="s">
        <v>144</v>
      </c>
      <c r="D136">
        <v>195</v>
      </c>
      <c r="E136">
        <v>411132.22508146038</v>
      </c>
    </row>
    <row r="137" spans="1:5" x14ac:dyDescent="0.3">
      <c r="A137" s="216">
        <v>135</v>
      </c>
      <c r="B137" t="s">
        <v>17</v>
      </c>
      <c r="C137" t="s">
        <v>145</v>
      </c>
      <c r="D137">
        <v>214</v>
      </c>
      <c r="E137">
        <v>271185.49549396063</v>
      </c>
    </row>
    <row r="138" spans="1:5" x14ac:dyDescent="0.3">
      <c r="A138" s="216">
        <v>136</v>
      </c>
      <c r="B138" t="s">
        <v>17</v>
      </c>
      <c r="C138" t="s">
        <v>146</v>
      </c>
      <c r="D138">
        <v>166</v>
      </c>
      <c r="E138">
        <v>298018.18906628393</v>
      </c>
    </row>
    <row r="139" spans="1:5" x14ac:dyDescent="0.3">
      <c r="A139" s="216">
        <v>137</v>
      </c>
      <c r="B139" t="s">
        <v>17</v>
      </c>
      <c r="C139" t="s">
        <v>147</v>
      </c>
      <c r="D139">
        <v>259</v>
      </c>
      <c r="E139">
        <v>347711.91862762842</v>
      </c>
    </row>
    <row r="140" spans="1:5" x14ac:dyDescent="0.3">
      <c r="A140" s="216">
        <v>138</v>
      </c>
      <c r="B140" t="s">
        <v>17</v>
      </c>
      <c r="C140" t="s">
        <v>148</v>
      </c>
      <c r="D140">
        <v>276</v>
      </c>
      <c r="E140">
        <v>346965.64616682532</v>
      </c>
    </row>
    <row r="141" spans="1:5" x14ac:dyDescent="0.3">
      <c r="A141" s="216">
        <v>139</v>
      </c>
      <c r="B141" t="s">
        <v>17</v>
      </c>
      <c r="C141" t="s">
        <v>149</v>
      </c>
      <c r="D141">
        <v>258</v>
      </c>
      <c r="E141">
        <v>329734.70434768661</v>
      </c>
    </row>
    <row r="142" spans="1:5" x14ac:dyDescent="0.3">
      <c r="A142" s="216">
        <v>140</v>
      </c>
      <c r="B142" t="s">
        <v>17</v>
      </c>
      <c r="C142" t="s">
        <v>150</v>
      </c>
      <c r="D142">
        <v>216</v>
      </c>
      <c r="E142">
        <v>286327.84263779101</v>
      </c>
    </row>
    <row r="143" spans="1:5" x14ac:dyDescent="0.3">
      <c r="A143" s="216">
        <v>141</v>
      </c>
      <c r="B143" t="s">
        <v>17</v>
      </c>
      <c r="C143" t="s">
        <v>151</v>
      </c>
      <c r="D143">
        <v>259</v>
      </c>
      <c r="E143">
        <v>272972.69262333307</v>
      </c>
    </row>
    <row r="144" spans="1:5" x14ac:dyDescent="0.3">
      <c r="A144" s="216">
        <v>142</v>
      </c>
      <c r="B144" t="s">
        <v>17</v>
      </c>
      <c r="C144" t="s">
        <v>152</v>
      </c>
      <c r="D144">
        <v>257</v>
      </c>
      <c r="E144">
        <v>292878.85506388813</v>
      </c>
    </row>
    <row r="145" spans="1:5" x14ac:dyDescent="0.3">
      <c r="A145" s="216">
        <v>143</v>
      </c>
      <c r="B145" t="s">
        <v>17</v>
      </c>
      <c r="C145" t="s">
        <v>153</v>
      </c>
      <c r="D145">
        <v>198</v>
      </c>
      <c r="E145">
        <v>316898.43921280763</v>
      </c>
    </row>
    <row r="146" spans="1:5" x14ac:dyDescent="0.3">
      <c r="A146" s="216">
        <v>144</v>
      </c>
      <c r="B146" t="s">
        <v>17</v>
      </c>
      <c r="C146" t="s">
        <v>154</v>
      </c>
      <c r="D146">
        <v>259</v>
      </c>
      <c r="E146">
        <v>280788.73052982229</v>
      </c>
    </row>
    <row r="147" spans="1:5" x14ac:dyDescent="0.3">
      <c r="A147" s="216">
        <v>145</v>
      </c>
      <c r="B147" t="s">
        <v>17</v>
      </c>
      <c r="C147" t="s">
        <v>155</v>
      </c>
      <c r="D147">
        <v>357</v>
      </c>
      <c r="E147">
        <v>277723.14659016492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C324-C679-4F86-805C-812E99F2797E}">
  <dimension ref="A1:F149"/>
  <sheetViews>
    <sheetView topLeftCell="A81" workbookViewId="0">
      <selection activeCell="C8" sqref="C8"/>
    </sheetView>
  </sheetViews>
  <sheetFormatPr defaultColWidth="14" defaultRowHeight="14.4" x14ac:dyDescent="0.3"/>
  <sheetData>
    <row r="1" spans="1:6" x14ac:dyDescent="0.3">
      <c r="A1" s="216"/>
      <c r="B1" s="216" t="s">
        <v>248</v>
      </c>
      <c r="C1" s="216" t="s">
        <v>249</v>
      </c>
      <c r="D1" s="216" t="s">
        <v>250</v>
      </c>
      <c r="E1" s="216" t="s">
        <v>251</v>
      </c>
      <c r="F1" s="216" t="s">
        <v>252</v>
      </c>
    </row>
    <row r="2" spans="1:6" x14ac:dyDescent="0.3">
      <c r="A2" s="216"/>
      <c r="B2" s="216"/>
      <c r="C2" s="216"/>
      <c r="D2" s="216" t="s">
        <v>253</v>
      </c>
      <c r="E2" s="216" t="s">
        <v>253</v>
      </c>
      <c r="F2" s="216"/>
    </row>
    <row r="4" spans="1:6" x14ac:dyDescent="0.3">
      <c r="A4" s="216">
        <v>0</v>
      </c>
      <c r="B4" t="s">
        <v>7</v>
      </c>
      <c r="C4" t="s">
        <v>20</v>
      </c>
      <c r="D4">
        <v>330</v>
      </c>
      <c r="E4">
        <v>317031.91585241031</v>
      </c>
      <c r="F4">
        <v>104620532.23129541</v>
      </c>
    </row>
    <row r="5" spans="1:6" x14ac:dyDescent="0.3">
      <c r="A5" s="216">
        <v>1</v>
      </c>
      <c r="B5" t="s">
        <v>7</v>
      </c>
      <c r="C5" t="s">
        <v>21</v>
      </c>
      <c r="D5">
        <v>295</v>
      </c>
      <c r="E5">
        <v>262590.70549426117</v>
      </c>
      <c r="F5">
        <v>77464258.120807067</v>
      </c>
    </row>
    <row r="6" spans="1:6" x14ac:dyDescent="0.3">
      <c r="A6" s="216">
        <v>2</v>
      </c>
      <c r="B6" t="s">
        <v>7</v>
      </c>
      <c r="C6" t="s">
        <v>22</v>
      </c>
      <c r="D6">
        <v>223</v>
      </c>
      <c r="E6">
        <v>300016.31813922332</v>
      </c>
      <c r="F6">
        <v>66903638.945046797</v>
      </c>
    </row>
    <row r="7" spans="1:6" x14ac:dyDescent="0.3">
      <c r="A7" s="216">
        <v>3</v>
      </c>
      <c r="B7" t="s">
        <v>7</v>
      </c>
      <c r="C7" t="s">
        <v>23</v>
      </c>
      <c r="D7">
        <v>26</v>
      </c>
      <c r="E7">
        <v>222229.42139901451</v>
      </c>
      <c r="F7">
        <v>5777964.9563743761</v>
      </c>
    </row>
    <row r="8" spans="1:6" x14ac:dyDescent="0.3">
      <c r="A8" s="216">
        <v>4</v>
      </c>
      <c r="B8" t="s">
        <v>7</v>
      </c>
      <c r="C8" t="s">
        <v>24</v>
      </c>
      <c r="D8">
        <v>394</v>
      </c>
      <c r="E8">
        <v>265264.07473364082</v>
      </c>
      <c r="F8">
        <v>104514045.4450545</v>
      </c>
    </row>
    <row r="9" spans="1:6" x14ac:dyDescent="0.3">
      <c r="A9" s="216">
        <v>5</v>
      </c>
      <c r="B9" t="s">
        <v>7</v>
      </c>
      <c r="C9" t="s">
        <v>25</v>
      </c>
      <c r="D9">
        <v>353</v>
      </c>
      <c r="E9">
        <v>258430.87013287819</v>
      </c>
      <c r="F9">
        <v>91226097.156905994</v>
      </c>
    </row>
    <row r="10" spans="1:6" x14ac:dyDescent="0.3">
      <c r="A10" s="216">
        <v>6</v>
      </c>
      <c r="B10" t="s">
        <v>7</v>
      </c>
      <c r="C10" t="s">
        <v>26</v>
      </c>
      <c r="D10">
        <v>243</v>
      </c>
      <c r="E10">
        <v>301963.9683231606</v>
      </c>
      <c r="F10">
        <v>73377244.302528024</v>
      </c>
    </row>
    <row r="11" spans="1:6" x14ac:dyDescent="0.3">
      <c r="A11" s="216">
        <v>7</v>
      </c>
      <c r="B11" t="s">
        <v>7</v>
      </c>
      <c r="C11" t="s">
        <v>27</v>
      </c>
      <c r="D11">
        <v>170</v>
      </c>
      <c r="E11">
        <v>263456.49575234042</v>
      </c>
      <c r="F11">
        <v>44787604.277897857</v>
      </c>
    </row>
    <row r="12" spans="1:6" x14ac:dyDescent="0.3">
      <c r="A12" s="216">
        <v>8</v>
      </c>
      <c r="B12" t="s">
        <v>7</v>
      </c>
      <c r="C12" t="s">
        <v>28</v>
      </c>
      <c r="D12">
        <v>78</v>
      </c>
      <c r="E12">
        <v>285604.23931073828</v>
      </c>
      <c r="F12">
        <v>22277130.666237589</v>
      </c>
    </row>
    <row r="13" spans="1:6" x14ac:dyDescent="0.3">
      <c r="A13" s="216">
        <v>9</v>
      </c>
      <c r="B13" t="s">
        <v>7</v>
      </c>
      <c r="C13" t="s">
        <v>29</v>
      </c>
      <c r="D13">
        <v>231</v>
      </c>
      <c r="E13">
        <v>297223.46485330479</v>
      </c>
      <c r="F13">
        <v>68658620.38111341</v>
      </c>
    </row>
    <row r="14" spans="1:6" x14ac:dyDescent="0.3">
      <c r="A14" s="216">
        <v>10</v>
      </c>
      <c r="B14" t="s">
        <v>7</v>
      </c>
      <c r="C14" t="s">
        <v>30</v>
      </c>
      <c r="D14">
        <v>112</v>
      </c>
      <c r="E14">
        <v>266195.78120533313</v>
      </c>
      <c r="F14">
        <v>29813927.494997311</v>
      </c>
    </row>
    <row r="15" spans="1:6" x14ac:dyDescent="0.3">
      <c r="A15" s="216">
        <v>11</v>
      </c>
      <c r="B15" t="s">
        <v>7</v>
      </c>
      <c r="C15" t="s">
        <v>31</v>
      </c>
      <c r="D15">
        <v>382</v>
      </c>
      <c r="E15">
        <v>292300.30299360002</v>
      </c>
      <c r="F15">
        <v>111658715.7435552</v>
      </c>
    </row>
    <row r="16" spans="1:6" x14ac:dyDescent="0.3">
      <c r="A16" s="216">
        <v>12</v>
      </c>
      <c r="B16" t="s">
        <v>7</v>
      </c>
      <c r="C16" t="s">
        <v>32</v>
      </c>
      <c r="D16">
        <v>236</v>
      </c>
      <c r="E16">
        <v>333759.82197111589</v>
      </c>
      <c r="F16">
        <v>78767317.985183358</v>
      </c>
    </row>
    <row r="17" spans="1:6" x14ac:dyDescent="0.3">
      <c r="A17" s="216">
        <v>13</v>
      </c>
      <c r="B17" t="s">
        <v>7</v>
      </c>
      <c r="C17" t="s">
        <v>33</v>
      </c>
      <c r="D17">
        <v>261</v>
      </c>
      <c r="E17">
        <v>297825.39211746462</v>
      </c>
      <c r="F17">
        <v>77732427.342658266</v>
      </c>
    </row>
    <row r="18" spans="1:6" x14ac:dyDescent="0.3">
      <c r="A18" s="216">
        <v>14</v>
      </c>
      <c r="B18" t="s">
        <v>7</v>
      </c>
      <c r="C18" t="s">
        <v>34</v>
      </c>
      <c r="D18">
        <v>404</v>
      </c>
      <c r="E18">
        <v>331161.19254535588</v>
      </c>
      <c r="F18">
        <v>133789121.7883238</v>
      </c>
    </row>
    <row r="19" spans="1:6" x14ac:dyDescent="0.3">
      <c r="A19" s="216">
        <v>15</v>
      </c>
      <c r="B19" t="s">
        <v>7</v>
      </c>
      <c r="C19" t="s">
        <v>35</v>
      </c>
      <c r="D19">
        <v>207</v>
      </c>
      <c r="E19">
        <v>394922.41589011322</v>
      </c>
      <c r="F19">
        <v>81748940.08925344</v>
      </c>
    </row>
    <row r="20" spans="1:6" x14ac:dyDescent="0.3">
      <c r="A20" s="216">
        <v>16</v>
      </c>
      <c r="B20" t="s">
        <v>8</v>
      </c>
      <c r="C20" t="s">
        <v>36</v>
      </c>
      <c r="D20">
        <v>67</v>
      </c>
      <c r="E20">
        <v>210813.913085065</v>
      </c>
      <c r="F20">
        <v>14124532.176699361</v>
      </c>
    </row>
    <row r="21" spans="1:6" x14ac:dyDescent="0.3">
      <c r="A21" s="216">
        <v>17</v>
      </c>
      <c r="B21" t="s">
        <v>8</v>
      </c>
      <c r="C21" t="s">
        <v>37</v>
      </c>
      <c r="D21">
        <v>348</v>
      </c>
      <c r="E21">
        <v>568132.92209945049</v>
      </c>
      <c r="F21">
        <v>197710256.89060879</v>
      </c>
    </row>
    <row r="22" spans="1:6" x14ac:dyDescent="0.3">
      <c r="A22" s="216">
        <v>18</v>
      </c>
      <c r="B22" t="s">
        <v>8</v>
      </c>
      <c r="C22" t="s">
        <v>38</v>
      </c>
      <c r="D22">
        <v>202</v>
      </c>
      <c r="E22">
        <v>382503.81622809009</v>
      </c>
      <c r="F22">
        <v>77265770.878074199</v>
      </c>
    </row>
    <row r="23" spans="1:6" x14ac:dyDescent="0.3">
      <c r="A23" s="216">
        <v>19</v>
      </c>
      <c r="B23" t="s">
        <v>8</v>
      </c>
      <c r="C23" t="s">
        <v>39</v>
      </c>
      <c r="D23">
        <v>418</v>
      </c>
      <c r="E23">
        <v>339893.66431780037</v>
      </c>
      <c r="F23">
        <v>142075551.68484059</v>
      </c>
    </row>
    <row r="24" spans="1:6" x14ac:dyDescent="0.3">
      <c r="A24" s="216">
        <v>20</v>
      </c>
      <c r="B24" t="s">
        <v>8</v>
      </c>
      <c r="C24" t="s">
        <v>40</v>
      </c>
      <c r="D24">
        <v>592</v>
      </c>
      <c r="E24">
        <v>317266.25042147608</v>
      </c>
      <c r="F24">
        <v>187821620.2495138</v>
      </c>
    </row>
    <row r="25" spans="1:6" x14ac:dyDescent="0.3">
      <c r="A25" s="216">
        <v>21</v>
      </c>
      <c r="B25" t="s">
        <v>8</v>
      </c>
      <c r="C25" t="s">
        <v>41</v>
      </c>
      <c r="D25">
        <v>229</v>
      </c>
      <c r="E25">
        <v>262419.26523850817</v>
      </c>
      <c r="F25">
        <v>60094011.739618368</v>
      </c>
    </row>
    <row r="26" spans="1:6" x14ac:dyDescent="0.3">
      <c r="A26" s="216">
        <v>22</v>
      </c>
      <c r="B26" t="s">
        <v>8</v>
      </c>
      <c r="C26" t="s">
        <v>42</v>
      </c>
      <c r="D26">
        <v>384</v>
      </c>
      <c r="E26">
        <v>332995.68311928009</v>
      </c>
      <c r="F26">
        <v>127870342.31780361</v>
      </c>
    </row>
    <row r="27" spans="1:6" x14ac:dyDescent="0.3">
      <c r="A27" s="216">
        <v>23</v>
      </c>
      <c r="B27" t="s">
        <v>8</v>
      </c>
      <c r="C27" t="s">
        <v>43</v>
      </c>
      <c r="D27">
        <v>207</v>
      </c>
      <c r="E27">
        <v>458634.59632487741</v>
      </c>
      <c r="F27">
        <v>94937361.43924962</v>
      </c>
    </row>
    <row r="28" spans="1:6" x14ac:dyDescent="0.3">
      <c r="A28" s="216">
        <v>24</v>
      </c>
      <c r="B28" t="s">
        <v>8</v>
      </c>
      <c r="C28" t="s">
        <v>44</v>
      </c>
      <c r="D28">
        <v>467</v>
      </c>
      <c r="E28">
        <v>464288.07712909899</v>
      </c>
      <c r="F28">
        <v>216822532.0192892</v>
      </c>
    </row>
    <row r="29" spans="1:6" x14ac:dyDescent="0.3">
      <c r="A29" s="216">
        <v>25</v>
      </c>
      <c r="B29" t="s">
        <v>8</v>
      </c>
      <c r="C29" t="s">
        <v>45</v>
      </c>
      <c r="D29">
        <v>285</v>
      </c>
      <c r="E29">
        <v>279575.14420603373</v>
      </c>
      <c r="F29">
        <v>79678916.098719612</v>
      </c>
    </row>
    <row r="30" spans="1:6" x14ac:dyDescent="0.3">
      <c r="A30" s="216">
        <v>26</v>
      </c>
      <c r="B30" t="s">
        <v>8</v>
      </c>
      <c r="C30" t="s">
        <v>46</v>
      </c>
      <c r="D30">
        <v>334</v>
      </c>
      <c r="E30">
        <v>375766.97795527033</v>
      </c>
      <c r="F30">
        <v>125506170.6370603</v>
      </c>
    </row>
    <row r="31" spans="1:6" x14ac:dyDescent="0.3">
      <c r="A31" s="216">
        <v>27</v>
      </c>
      <c r="B31" t="s">
        <v>8</v>
      </c>
      <c r="C31" t="s">
        <v>47</v>
      </c>
      <c r="D31">
        <v>235</v>
      </c>
      <c r="E31">
        <v>399212.09492834588</v>
      </c>
      <c r="F31">
        <v>93814842.308161288</v>
      </c>
    </row>
    <row r="32" spans="1:6" x14ac:dyDescent="0.3">
      <c r="A32" s="216">
        <v>28</v>
      </c>
      <c r="B32" t="s">
        <v>8</v>
      </c>
      <c r="C32" t="s">
        <v>48</v>
      </c>
      <c r="D32">
        <v>285</v>
      </c>
      <c r="E32">
        <v>379838.4030429761</v>
      </c>
      <c r="F32">
        <v>108253944.86724821</v>
      </c>
    </row>
    <row r="33" spans="1:6" x14ac:dyDescent="0.3">
      <c r="A33" s="216">
        <v>29</v>
      </c>
      <c r="B33" t="s">
        <v>175</v>
      </c>
      <c r="C33" t="s">
        <v>255</v>
      </c>
      <c r="D33">
        <v>522</v>
      </c>
      <c r="E33">
        <v>243557.88740029591</v>
      </c>
      <c r="F33">
        <v>127137217.2229545</v>
      </c>
    </row>
    <row r="34" spans="1:6" x14ac:dyDescent="0.3">
      <c r="A34" s="216">
        <v>30</v>
      </c>
      <c r="B34" t="s">
        <v>175</v>
      </c>
      <c r="C34" t="s">
        <v>257</v>
      </c>
      <c r="D34">
        <v>4</v>
      </c>
      <c r="E34">
        <v>278149.77047273179</v>
      </c>
      <c r="F34">
        <v>1112599.0818909269</v>
      </c>
    </row>
    <row r="35" spans="1:6" x14ac:dyDescent="0.3">
      <c r="A35" s="216">
        <v>31</v>
      </c>
      <c r="B35" t="s">
        <v>175</v>
      </c>
      <c r="C35" t="s">
        <v>258</v>
      </c>
      <c r="D35">
        <v>33</v>
      </c>
      <c r="E35">
        <v>258266.39049949689</v>
      </c>
      <c r="F35">
        <v>8522790.8864833992</v>
      </c>
    </row>
    <row r="36" spans="1:6" x14ac:dyDescent="0.3">
      <c r="A36" s="216">
        <v>32</v>
      </c>
      <c r="B36" t="s">
        <v>175</v>
      </c>
      <c r="C36" t="s">
        <v>261</v>
      </c>
      <c r="D36">
        <v>1</v>
      </c>
      <c r="E36">
        <v>42016.806722689071</v>
      </c>
      <c r="F36">
        <v>42016.806722689071</v>
      </c>
    </row>
    <row r="37" spans="1:6" x14ac:dyDescent="0.3">
      <c r="A37" s="216">
        <v>33</v>
      </c>
      <c r="B37" t="s">
        <v>175</v>
      </c>
      <c r="C37" t="s">
        <v>262</v>
      </c>
      <c r="D37">
        <v>2</v>
      </c>
      <c r="E37">
        <v>302569.44444444438</v>
      </c>
      <c r="F37">
        <v>605138.88888888888</v>
      </c>
    </row>
    <row r="38" spans="1:6" x14ac:dyDescent="0.3">
      <c r="A38" s="216">
        <v>34</v>
      </c>
      <c r="B38" t="s">
        <v>9</v>
      </c>
      <c r="C38" t="s">
        <v>49</v>
      </c>
      <c r="D38">
        <v>81</v>
      </c>
      <c r="E38">
        <v>267446.06971365551</v>
      </c>
      <c r="F38">
        <v>21663131.646806091</v>
      </c>
    </row>
    <row r="39" spans="1:6" x14ac:dyDescent="0.3">
      <c r="A39" s="216">
        <v>35</v>
      </c>
      <c r="B39" t="s">
        <v>9</v>
      </c>
      <c r="C39" t="s">
        <v>50</v>
      </c>
      <c r="D39">
        <v>79</v>
      </c>
      <c r="E39">
        <v>226504.8403761372</v>
      </c>
      <c r="F39">
        <v>17893882.389714841</v>
      </c>
    </row>
    <row r="40" spans="1:6" x14ac:dyDescent="0.3">
      <c r="A40" s="216">
        <v>36</v>
      </c>
      <c r="B40" t="s">
        <v>9</v>
      </c>
      <c r="C40" t="s">
        <v>51</v>
      </c>
      <c r="D40">
        <v>139</v>
      </c>
      <c r="E40">
        <v>217042.25073748271</v>
      </c>
      <c r="F40">
        <v>30168872.852510091</v>
      </c>
    </row>
    <row r="41" spans="1:6" x14ac:dyDescent="0.3">
      <c r="A41" s="216">
        <v>37</v>
      </c>
      <c r="B41" t="s">
        <v>9</v>
      </c>
      <c r="C41" t="s">
        <v>52</v>
      </c>
      <c r="D41">
        <v>66</v>
      </c>
      <c r="E41">
        <v>183613.73060052609</v>
      </c>
      <c r="F41">
        <v>12118506.219634719</v>
      </c>
    </row>
    <row r="42" spans="1:6" x14ac:dyDescent="0.3">
      <c r="A42" s="216">
        <v>38</v>
      </c>
      <c r="B42" t="s">
        <v>9</v>
      </c>
      <c r="C42" t="s">
        <v>53</v>
      </c>
      <c r="D42">
        <v>38</v>
      </c>
      <c r="E42">
        <v>196052.32361932739</v>
      </c>
      <c r="F42">
        <v>7449988.2975344434</v>
      </c>
    </row>
    <row r="43" spans="1:6" x14ac:dyDescent="0.3">
      <c r="A43" s="216">
        <v>39</v>
      </c>
      <c r="B43" t="s">
        <v>9</v>
      </c>
      <c r="C43" t="s">
        <v>54</v>
      </c>
      <c r="D43">
        <v>424</v>
      </c>
      <c r="E43">
        <v>266029.75355753611</v>
      </c>
      <c r="F43">
        <v>112796615.5083953</v>
      </c>
    </row>
    <row r="44" spans="1:6" x14ac:dyDescent="0.3">
      <c r="A44" s="216">
        <v>40</v>
      </c>
      <c r="B44" t="s">
        <v>9</v>
      </c>
      <c r="C44" t="s">
        <v>55</v>
      </c>
      <c r="D44">
        <v>82</v>
      </c>
      <c r="E44">
        <v>219137.43554717189</v>
      </c>
      <c r="F44">
        <v>17969269.714868091</v>
      </c>
    </row>
    <row r="45" spans="1:6" x14ac:dyDescent="0.3">
      <c r="A45" s="216">
        <v>41</v>
      </c>
      <c r="B45" t="s">
        <v>9</v>
      </c>
      <c r="C45" t="s">
        <v>56</v>
      </c>
      <c r="D45">
        <v>153</v>
      </c>
      <c r="E45">
        <v>192643.2413240684</v>
      </c>
      <c r="F45">
        <v>29474415.92258247</v>
      </c>
    </row>
    <row r="46" spans="1:6" x14ac:dyDescent="0.3">
      <c r="A46" s="216">
        <v>42</v>
      </c>
      <c r="B46" t="s">
        <v>9</v>
      </c>
      <c r="C46" t="s">
        <v>57</v>
      </c>
      <c r="D46">
        <v>585</v>
      </c>
      <c r="E46">
        <v>274021.02858416818</v>
      </c>
      <c r="F46">
        <v>160302301.7217384</v>
      </c>
    </row>
    <row r="47" spans="1:6" x14ac:dyDescent="0.3">
      <c r="A47" s="216">
        <v>43</v>
      </c>
      <c r="B47" t="s">
        <v>9</v>
      </c>
      <c r="C47" t="s">
        <v>58</v>
      </c>
      <c r="D47">
        <v>175</v>
      </c>
      <c r="E47">
        <v>185124.99251268589</v>
      </c>
      <c r="F47">
        <v>32396873.689720038</v>
      </c>
    </row>
    <row r="48" spans="1:6" x14ac:dyDescent="0.3">
      <c r="A48" s="216">
        <v>44</v>
      </c>
      <c r="B48" t="s">
        <v>9</v>
      </c>
      <c r="C48" t="s">
        <v>59</v>
      </c>
      <c r="D48">
        <v>124</v>
      </c>
      <c r="E48">
        <v>200481.46351758909</v>
      </c>
      <c r="F48">
        <v>24859701.476181049</v>
      </c>
    </row>
    <row r="49" spans="1:6" x14ac:dyDescent="0.3">
      <c r="A49" s="216">
        <v>45</v>
      </c>
      <c r="B49" t="s">
        <v>10</v>
      </c>
      <c r="C49" t="s">
        <v>60</v>
      </c>
      <c r="D49">
        <v>246</v>
      </c>
      <c r="E49">
        <v>391466.39153849927</v>
      </c>
      <c r="F49">
        <v>96300732.318470821</v>
      </c>
    </row>
    <row r="50" spans="1:6" x14ac:dyDescent="0.3">
      <c r="A50" s="216">
        <v>46</v>
      </c>
      <c r="B50" t="s">
        <v>10</v>
      </c>
      <c r="C50" t="s">
        <v>61</v>
      </c>
      <c r="D50">
        <v>244</v>
      </c>
      <c r="E50">
        <v>426556.36392129329</v>
      </c>
      <c r="F50">
        <v>104079752.79679561</v>
      </c>
    </row>
    <row r="51" spans="1:6" x14ac:dyDescent="0.3">
      <c r="A51" s="216">
        <v>47</v>
      </c>
      <c r="B51" t="s">
        <v>10</v>
      </c>
      <c r="C51" t="s">
        <v>62</v>
      </c>
      <c r="D51">
        <v>225</v>
      </c>
      <c r="E51">
        <v>322031.03268624278</v>
      </c>
      <c r="F51">
        <v>72456982.354404643</v>
      </c>
    </row>
    <row r="52" spans="1:6" x14ac:dyDescent="0.3">
      <c r="A52" s="216">
        <v>48</v>
      </c>
      <c r="B52" t="s">
        <v>10</v>
      </c>
      <c r="C52" t="s">
        <v>63</v>
      </c>
      <c r="D52">
        <v>187</v>
      </c>
      <c r="E52">
        <v>355739.60837105417</v>
      </c>
      <c r="F52">
        <v>66523306.765387133</v>
      </c>
    </row>
    <row r="53" spans="1:6" x14ac:dyDescent="0.3">
      <c r="A53" s="216">
        <v>49</v>
      </c>
      <c r="B53" t="s">
        <v>10</v>
      </c>
      <c r="C53" t="s">
        <v>64</v>
      </c>
      <c r="D53">
        <v>193</v>
      </c>
      <c r="E53">
        <v>270846.69657425402</v>
      </c>
      <c r="F53">
        <v>52273412.438831016</v>
      </c>
    </row>
    <row r="54" spans="1:6" x14ac:dyDescent="0.3">
      <c r="A54" s="216">
        <v>50</v>
      </c>
      <c r="B54" t="s">
        <v>10</v>
      </c>
      <c r="C54" t="s">
        <v>65</v>
      </c>
      <c r="D54">
        <v>311</v>
      </c>
      <c r="E54">
        <v>321811.65785350779</v>
      </c>
      <c r="F54">
        <v>100083425.5924409</v>
      </c>
    </row>
    <row r="55" spans="1:6" x14ac:dyDescent="0.3">
      <c r="A55" s="216">
        <v>51</v>
      </c>
      <c r="B55" t="s">
        <v>10</v>
      </c>
      <c r="C55" t="s">
        <v>66</v>
      </c>
      <c r="D55">
        <v>226</v>
      </c>
      <c r="E55">
        <v>279369.44550910679</v>
      </c>
      <c r="F55">
        <v>63137494.685058132</v>
      </c>
    </row>
    <row r="56" spans="1:6" x14ac:dyDescent="0.3">
      <c r="A56" s="216">
        <v>52</v>
      </c>
      <c r="B56" t="s">
        <v>10</v>
      </c>
      <c r="C56" t="s">
        <v>67</v>
      </c>
      <c r="D56">
        <v>247</v>
      </c>
      <c r="E56">
        <v>285070.10869113449</v>
      </c>
      <c r="F56">
        <v>70412316.84671022</v>
      </c>
    </row>
    <row r="57" spans="1:6" x14ac:dyDescent="0.3">
      <c r="A57" s="216">
        <v>53</v>
      </c>
      <c r="B57" t="s">
        <v>10</v>
      </c>
      <c r="C57" t="s">
        <v>68</v>
      </c>
      <c r="D57">
        <v>291</v>
      </c>
      <c r="E57">
        <v>316204.5280567783</v>
      </c>
      <c r="F57">
        <v>92015517.664522484</v>
      </c>
    </row>
    <row r="58" spans="1:6" x14ac:dyDescent="0.3">
      <c r="A58" s="216">
        <v>54</v>
      </c>
      <c r="B58" t="s">
        <v>10</v>
      </c>
      <c r="C58" t="s">
        <v>69</v>
      </c>
      <c r="D58">
        <v>169</v>
      </c>
      <c r="E58">
        <v>360052.53094912268</v>
      </c>
      <c r="F58">
        <v>60848877.730401739</v>
      </c>
    </row>
    <row r="59" spans="1:6" x14ac:dyDescent="0.3">
      <c r="A59" s="216">
        <v>55</v>
      </c>
      <c r="B59" t="s">
        <v>10</v>
      </c>
      <c r="C59" t="s">
        <v>70</v>
      </c>
      <c r="D59">
        <v>25</v>
      </c>
      <c r="E59">
        <v>192168.28077297489</v>
      </c>
      <c r="F59">
        <v>4804207.0193243716</v>
      </c>
    </row>
    <row r="60" spans="1:6" x14ac:dyDescent="0.3">
      <c r="A60" s="216">
        <v>56</v>
      </c>
      <c r="B60" t="s">
        <v>10</v>
      </c>
      <c r="C60" t="s">
        <v>71</v>
      </c>
      <c r="D60">
        <v>209</v>
      </c>
      <c r="E60">
        <v>378828.23346210399</v>
      </c>
      <c r="F60">
        <v>79175100.793579742</v>
      </c>
    </row>
    <row r="61" spans="1:6" x14ac:dyDescent="0.3">
      <c r="A61" s="216">
        <v>57</v>
      </c>
      <c r="B61" t="s">
        <v>10</v>
      </c>
      <c r="C61" t="s">
        <v>72</v>
      </c>
      <c r="D61">
        <v>258</v>
      </c>
      <c r="E61">
        <v>400257.0080343564</v>
      </c>
      <c r="F61">
        <v>103266308.072864</v>
      </c>
    </row>
    <row r="62" spans="1:6" x14ac:dyDescent="0.3">
      <c r="A62" s="216">
        <v>58</v>
      </c>
      <c r="B62" t="s">
        <v>10</v>
      </c>
      <c r="C62" t="s">
        <v>73</v>
      </c>
      <c r="D62">
        <v>214</v>
      </c>
      <c r="E62">
        <v>341785.10185767768</v>
      </c>
      <c r="F62">
        <v>73142011.797543019</v>
      </c>
    </row>
    <row r="63" spans="1:6" x14ac:dyDescent="0.3">
      <c r="A63" s="216">
        <v>59</v>
      </c>
      <c r="B63" t="s">
        <v>10</v>
      </c>
      <c r="C63" t="s">
        <v>74</v>
      </c>
      <c r="D63">
        <v>328</v>
      </c>
      <c r="E63">
        <v>312861.4821143194</v>
      </c>
      <c r="F63">
        <v>102618566.13349681</v>
      </c>
    </row>
    <row r="64" spans="1:6" x14ac:dyDescent="0.3">
      <c r="A64" s="216">
        <v>60</v>
      </c>
      <c r="B64" t="s">
        <v>10</v>
      </c>
      <c r="C64" t="s">
        <v>75</v>
      </c>
      <c r="D64">
        <v>227</v>
      </c>
      <c r="E64">
        <v>416582.53816609387</v>
      </c>
      <c r="F64">
        <v>94564236.163703322</v>
      </c>
    </row>
    <row r="65" spans="1:6" x14ac:dyDescent="0.3">
      <c r="A65" s="216">
        <v>61</v>
      </c>
      <c r="B65" t="s">
        <v>11</v>
      </c>
      <c r="C65" t="s">
        <v>76</v>
      </c>
      <c r="D65">
        <v>232</v>
      </c>
      <c r="E65">
        <v>381284.79024882981</v>
      </c>
      <c r="F65">
        <v>88458071.3377285</v>
      </c>
    </row>
    <row r="66" spans="1:6" x14ac:dyDescent="0.3">
      <c r="A66" s="216">
        <v>62</v>
      </c>
      <c r="B66" t="s">
        <v>11</v>
      </c>
      <c r="C66" t="s">
        <v>77</v>
      </c>
      <c r="D66">
        <v>94</v>
      </c>
      <c r="E66">
        <v>275135.45387867407</v>
      </c>
      <c r="F66">
        <v>25862732.664595369</v>
      </c>
    </row>
    <row r="67" spans="1:6" x14ac:dyDescent="0.3">
      <c r="A67" s="216">
        <v>63</v>
      </c>
      <c r="B67" t="s">
        <v>11</v>
      </c>
      <c r="C67" t="s">
        <v>78</v>
      </c>
      <c r="D67">
        <v>237</v>
      </c>
      <c r="E67">
        <v>305608.05487249658</v>
      </c>
      <c r="F67">
        <v>72429109.004781708</v>
      </c>
    </row>
    <row r="68" spans="1:6" x14ac:dyDescent="0.3">
      <c r="A68" s="216">
        <v>64</v>
      </c>
      <c r="B68" t="s">
        <v>11</v>
      </c>
      <c r="C68" t="s">
        <v>79</v>
      </c>
      <c r="D68">
        <v>302</v>
      </c>
      <c r="E68">
        <v>272317.33331638761</v>
      </c>
      <c r="F68">
        <v>82239834.661549062</v>
      </c>
    </row>
    <row r="69" spans="1:6" x14ac:dyDescent="0.3">
      <c r="A69" s="216">
        <v>65</v>
      </c>
      <c r="B69" t="s">
        <v>11</v>
      </c>
      <c r="C69" t="s">
        <v>80</v>
      </c>
      <c r="D69">
        <v>139</v>
      </c>
      <c r="E69">
        <v>360276.17222062987</v>
      </c>
      <c r="F69">
        <v>50078387.938667551</v>
      </c>
    </row>
    <row r="70" spans="1:6" x14ac:dyDescent="0.3">
      <c r="A70" s="216">
        <v>66</v>
      </c>
      <c r="B70" t="s">
        <v>11</v>
      </c>
      <c r="C70" t="s">
        <v>81</v>
      </c>
      <c r="D70">
        <v>152</v>
      </c>
      <c r="E70">
        <v>284930.91111353098</v>
      </c>
      <c r="F70">
        <v>43309498.48925671</v>
      </c>
    </row>
    <row r="71" spans="1:6" x14ac:dyDescent="0.3">
      <c r="A71" s="216">
        <v>67</v>
      </c>
      <c r="B71" t="s">
        <v>11</v>
      </c>
      <c r="C71" t="s">
        <v>82</v>
      </c>
      <c r="D71">
        <v>222</v>
      </c>
      <c r="E71">
        <v>279170.03328353609</v>
      </c>
      <c r="F71">
        <v>61975747.388945013</v>
      </c>
    </row>
    <row r="72" spans="1:6" x14ac:dyDescent="0.3">
      <c r="A72" s="216">
        <v>68</v>
      </c>
      <c r="B72" t="s">
        <v>11</v>
      </c>
      <c r="C72" t="s">
        <v>83</v>
      </c>
      <c r="D72">
        <v>119</v>
      </c>
      <c r="E72">
        <v>353414.31319593953</v>
      </c>
      <c r="F72">
        <v>42056303.270316787</v>
      </c>
    </row>
    <row r="73" spans="1:6" x14ac:dyDescent="0.3">
      <c r="A73" s="216">
        <v>69</v>
      </c>
      <c r="B73" t="s">
        <v>11</v>
      </c>
      <c r="C73" t="s">
        <v>84</v>
      </c>
      <c r="D73">
        <v>241</v>
      </c>
      <c r="E73">
        <v>403497.23413418158</v>
      </c>
      <c r="F73">
        <v>97242833.426337764</v>
      </c>
    </row>
    <row r="74" spans="1:6" x14ac:dyDescent="0.3">
      <c r="A74" s="216">
        <v>70</v>
      </c>
      <c r="B74" t="s">
        <v>11</v>
      </c>
      <c r="C74" t="s">
        <v>85</v>
      </c>
      <c r="D74">
        <v>187</v>
      </c>
      <c r="E74">
        <v>373935.89500322979</v>
      </c>
      <c r="F74">
        <v>69926012.365603983</v>
      </c>
    </row>
    <row r="75" spans="1:6" x14ac:dyDescent="0.3">
      <c r="A75" s="216">
        <v>71</v>
      </c>
      <c r="B75" t="s">
        <v>11</v>
      </c>
      <c r="C75" t="s">
        <v>86</v>
      </c>
      <c r="D75">
        <v>366</v>
      </c>
      <c r="E75">
        <v>291005.4861622873</v>
      </c>
      <c r="F75">
        <v>106508007.9353971</v>
      </c>
    </row>
    <row r="76" spans="1:6" x14ac:dyDescent="0.3">
      <c r="A76" s="216">
        <v>72</v>
      </c>
      <c r="B76" t="s">
        <v>11</v>
      </c>
      <c r="C76" t="s">
        <v>87</v>
      </c>
      <c r="D76">
        <v>160</v>
      </c>
      <c r="E76">
        <v>343291.39980680851</v>
      </c>
      <c r="F76">
        <v>54926623.969089359</v>
      </c>
    </row>
    <row r="77" spans="1:6" x14ac:dyDescent="0.3">
      <c r="A77" s="216">
        <v>73</v>
      </c>
      <c r="B77" t="s">
        <v>11</v>
      </c>
      <c r="C77" t="s">
        <v>88</v>
      </c>
      <c r="D77">
        <v>124</v>
      </c>
      <c r="E77">
        <v>346242.72988388583</v>
      </c>
      <c r="F77">
        <v>42934098.505601853</v>
      </c>
    </row>
    <row r="78" spans="1:6" x14ac:dyDescent="0.3">
      <c r="A78" s="216">
        <v>74</v>
      </c>
      <c r="B78" t="s">
        <v>11</v>
      </c>
      <c r="C78" t="s">
        <v>89</v>
      </c>
      <c r="D78">
        <v>263</v>
      </c>
      <c r="E78">
        <v>286708.00808859977</v>
      </c>
      <c r="F78">
        <v>75404206.127301753</v>
      </c>
    </row>
    <row r="79" spans="1:6" x14ac:dyDescent="0.3">
      <c r="A79" s="216">
        <v>75</v>
      </c>
      <c r="B79" t="s">
        <v>11</v>
      </c>
      <c r="C79" t="s">
        <v>90</v>
      </c>
      <c r="D79">
        <v>150</v>
      </c>
      <c r="E79">
        <v>279418.07344221591</v>
      </c>
      <c r="F79">
        <v>41912711.01633238</v>
      </c>
    </row>
    <row r="80" spans="1:6" x14ac:dyDescent="0.3">
      <c r="A80" s="216">
        <v>76</v>
      </c>
      <c r="B80" t="s">
        <v>11</v>
      </c>
      <c r="C80" t="s">
        <v>91</v>
      </c>
      <c r="D80">
        <v>166</v>
      </c>
      <c r="E80">
        <v>303295.98909332871</v>
      </c>
      <c r="F80">
        <v>50347134.189492568</v>
      </c>
    </row>
    <row r="81" spans="1:6" x14ac:dyDescent="0.3">
      <c r="A81" s="216">
        <v>77</v>
      </c>
      <c r="B81" t="s">
        <v>11</v>
      </c>
      <c r="C81" t="s">
        <v>92</v>
      </c>
      <c r="D81">
        <v>252</v>
      </c>
      <c r="E81">
        <v>263249.23985876917</v>
      </c>
      <c r="F81">
        <v>66338808.444409847</v>
      </c>
    </row>
    <row r="82" spans="1:6" x14ac:dyDescent="0.3">
      <c r="A82" s="216">
        <v>78</v>
      </c>
      <c r="B82" t="s">
        <v>12</v>
      </c>
      <c r="C82" t="s">
        <v>93</v>
      </c>
      <c r="D82">
        <v>155</v>
      </c>
      <c r="E82">
        <v>326180.14076134341</v>
      </c>
      <c r="F82">
        <v>50557921.818008222</v>
      </c>
    </row>
    <row r="83" spans="1:6" x14ac:dyDescent="0.3">
      <c r="A83" s="216">
        <v>79</v>
      </c>
      <c r="B83" t="s">
        <v>12</v>
      </c>
      <c r="C83" t="s">
        <v>94</v>
      </c>
      <c r="D83">
        <v>422</v>
      </c>
      <c r="E83">
        <v>294373.12846310338</v>
      </c>
      <c r="F83">
        <v>124225460.2114297</v>
      </c>
    </row>
    <row r="84" spans="1:6" x14ac:dyDescent="0.3">
      <c r="A84" s="216">
        <v>80</v>
      </c>
      <c r="B84" t="s">
        <v>12</v>
      </c>
      <c r="C84" t="s">
        <v>95</v>
      </c>
      <c r="D84">
        <v>239</v>
      </c>
      <c r="E84">
        <v>384102.05340605212</v>
      </c>
      <c r="F84">
        <v>91800390.76404646</v>
      </c>
    </row>
    <row r="85" spans="1:6" x14ac:dyDescent="0.3">
      <c r="A85" s="216">
        <v>81</v>
      </c>
      <c r="B85" t="s">
        <v>12</v>
      </c>
      <c r="C85" t="s">
        <v>96</v>
      </c>
      <c r="D85">
        <v>327</v>
      </c>
      <c r="E85">
        <v>302182.77961601049</v>
      </c>
      <c r="F85">
        <v>98813768.934435457</v>
      </c>
    </row>
    <row r="86" spans="1:6" x14ac:dyDescent="0.3">
      <c r="A86" s="216">
        <v>82</v>
      </c>
      <c r="B86" t="s">
        <v>12</v>
      </c>
      <c r="C86" t="s">
        <v>97</v>
      </c>
      <c r="D86">
        <v>244</v>
      </c>
      <c r="E86">
        <v>321484.03469322028</v>
      </c>
      <c r="F86">
        <v>78442104.465145767</v>
      </c>
    </row>
    <row r="87" spans="1:6" x14ac:dyDescent="0.3">
      <c r="A87" s="216">
        <v>83</v>
      </c>
      <c r="B87" t="s">
        <v>12</v>
      </c>
      <c r="C87" t="s">
        <v>98</v>
      </c>
      <c r="D87">
        <v>459</v>
      </c>
      <c r="E87">
        <v>391485.51432944072</v>
      </c>
      <c r="F87">
        <v>179691851.07721329</v>
      </c>
    </row>
    <row r="88" spans="1:6" x14ac:dyDescent="0.3">
      <c r="A88" s="216">
        <v>84</v>
      </c>
      <c r="B88" t="s">
        <v>12</v>
      </c>
      <c r="C88" t="s">
        <v>99</v>
      </c>
      <c r="D88">
        <v>293</v>
      </c>
      <c r="E88">
        <v>354815.48038371012</v>
      </c>
      <c r="F88">
        <v>103960935.752427</v>
      </c>
    </row>
    <row r="89" spans="1:6" x14ac:dyDescent="0.3">
      <c r="A89" s="216">
        <v>85</v>
      </c>
      <c r="B89" t="s">
        <v>12</v>
      </c>
      <c r="C89" t="s">
        <v>100</v>
      </c>
      <c r="D89">
        <v>281</v>
      </c>
      <c r="E89">
        <v>302572.97426919121</v>
      </c>
      <c r="F89">
        <v>85023005.769642711</v>
      </c>
    </row>
    <row r="90" spans="1:6" x14ac:dyDescent="0.3">
      <c r="A90" s="216">
        <v>86</v>
      </c>
      <c r="B90" t="s">
        <v>13</v>
      </c>
      <c r="C90" t="s">
        <v>177</v>
      </c>
      <c r="D90">
        <v>29</v>
      </c>
      <c r="E90">
        <v>179962.1067617581</v>
      </c>
      <c r="F90">
        <v>5218901.0960909855</v>
      </c>
    </row>
    <row r="91" spans="1:6" x14ac:dyDescent="0.3">
      <c r="A91" s="216">
        <v>87</v>
      </c>
      <c r="B91" t="s">
        <v>13</v>
      </c>
      <c r="C91" t="s">
        <v>178</v>
      </c>
      <c r="D91">
        <v>37</v>
      </c>
      <c r="E91">
        <v>169681.2427593027</v>
      </c>
      <c r="F91">
        <v>6278205.9820942003</v>
      </c>
    </row>
    <row r="92" spans="1:6" x14ac:dyDescent="0.3">
      <c r="A92" s="216">
        <v>88</v>
      </c>
      <c r="B92" t="s">
        <v>13</v>
      </c>
      <c r="C92" t="s">
        <v>101</v>
      </c>
      <c r="D92">
        <v>7</v>
      </c>
      <c r="E92">
        <v>168864.1391470526</v>
      </c>
      <c r="F92">
        <v>1182048.974029368</v>
      </c>
    </row>
    <row r="93" spans="1:6" x14ac:dyDescent="0.3">
      <c r="A93" s="216">
        <v>89</v>
      </c>
      <c r="B93" t="s">
        <v>13</v>
      </c>
      <c r="C93" t="s">
        <v>102</v>
      </c>
      <c r="D93">
        <v>18</v>
      </c>
      <c r="E93">
        <v>165417.7969103755</v>
      </c>
      <c r="F93">
        <v>2977520.3443867578</v>
      </c>
    </row>
    <row r="94" spans="1:6" x14ac:dyDescent="0.3">
      <c r="A94" s="216">
        <v>90</v>
      </c>
      <c r="B94" t="s">
        <v>13</v>
      </c>
      <c r="C94" t="s">
        <v>169</v>
      </c>
      <c r="D94">
        <v>10</v>
      </c>
      <c r="E94">
        <v>161749.3978868082</v>
      </c>
      <c r="F94">
        <v>1617493.9788680819</v>
      </c>
    </row>
    <row r="95" spans="1:6" x14ac:dyDescent="0.3">
      <c r="A95" s="216">
        <v>91</v>
      </c>
      <c r="B95" t="s">
        <v>13</v>
      </c>
      <c r="C95" t="s">
        <v>103</v>
      </c>
      <c r="D95">
        <v>71</v>
      </c>
      <c r="E95">
        <v>160323.29770615659</v>
      </c>
      <c r="F95">
        <v>11382954.137137121</v>
      </c>
    </row>
    <row r="96" spans="1:6" x14ac:dyDescent="0.3">
      <c r="A96" s="216">
        <v>92</v>
      </c>
      <c r="B96" t="s">
        <v>13</v>
      </c>
      <c r="C96" t="s">
        <v>104</v>
      </c>
      <c r="D96">
        <v>166</v>
      </c>
      <c r="E96">
        <v>173071.84726721249</v>
      </c>
      <c r="F96">
        <v>28729926.646357279</v>
      </c>
    </row>
    <row r="97" spans="1:6" x14ac:dyDescent="0.3">
      <c r="A97" s="216">
        <v>93</v>
      </c>
      <c r="B97" t="s">
        <v>13</v>
      </c>
      <c r="C97" t="s">
        <v>105</v>
      </c>
      <c r="D97">
        <v>13</v>
      </c>
      <c r="E97">
        <v>128611.4485569455</v>
      </c>
      <c r="F97">
        <v>1671948.8312402919</v>
      </c>
    </row>
    <row r="98" spans="1:6" x14ac:dyDescent="0.3">
      <c r="A98" s="216">
        <v>94</v>
      </c>
      <c r="B98" t="s">
        <v>13</v>
      </c>
      <c r="C98" t="s">
        <v>106</v>
      </c>
      <c r="D98">
        <v>200</v>
      </c>
      <c r="E98">
        <v>208848.3691125224</v>
      </c>
      <c r="F98">
        <v>41769673.822504483</v>
      </c>
    </row>
    <row r="99" spans="1:6" x14ac:dyDescent="0.3">
      <c r="A99" s="216">
        <v>95</v>
      </c>
      <c r="B99" t="s">
        <v>13</v>
      </c>
      <c r="C99" t="s">
        <v>107</v>
      </c>
      <c r="D99">
        <v>27</v>
      </c>
      <c r="E99">
        <v>166976.93398620791</v>
      </c>
      <c r="F99">
        <v>4508377.2176276129</v>
      </c>
    </row>
    <row r="100" spans="1:6" x14ac:dyDescent="0.3">
      <c r="A100" s="216">
        <v>96</v>
      </c>
      <c r="B100" t="s">
        <v>14</v>
      </c>
      <c r="C100" t="s">
        <v>108</v>
      </c>
      <c r="D100">
        <v>276</v>
      </c>
      <c r="E100">
        <v>938665.10130205017</v>
      </c>
      <c r="F100">
        <v>259071567.95936579</v>
      </c>
    </row>
    <row r="101" spans="1:6" x14ac:dyDescent="0.3">
      <c r="A101" s="216">
        <v>97</v>
      </c>
      <c r="B101" t="s">
        <v>14</v>
      </c>
      <c r="C101" t="s">
        <v>109</v>
      </c>
      <c r="D101">
        <v>582</v>
      </c>
      <c r="E101">
        <v>511614.01204793272</v>
      </c>
      <c r="F101">
        <v>297759355.01189679</v>
      </c>
    </row>
    <row r="102" spans="1:6" x14ac:dyDescent="0.3">
      <c r="A102" s="216">
        <v>98</v>
      </c>
      <c r="B102" t="s">
        <v>14</v>
      </c>
      <c r="C102" t="s">
        <v>110</v>
      </c>
      <c r="D102">
        <v>315</v>
      </c>
      <c r="E102">
        <v>593810.36026462517</v>
      </c>
      <c r="F102">
        <v>187050263.48335689</v>
      </c>
    </row>
    <row r="103" spans="1:6" x14ac:dyDescent="0.3">
      <c r="A103" s="216">
        <v>99</v>
      </c>
      <c r="B103" t="s">
        <v>14</v>
      </c>
      <c r="C103" t="s">
        <v>111</v>
      </c>
      <c r="D103">
        <v>286</v>
      </c>
      <c r="E103">
        <v>526820.56017513131</v>
      </c>
      <c r="F103">
        <v>150670680.2100876</v>
      </c>
    </row>
    <row r="104" spans="1:6" x14ac:dyDescent="0.3">
      <c r="A104" s="216">
        <v>100</v>
      </c>
      <c r="B104" t="s">
        <v>14</v>
      </c>
      <c r="C104" t="s">
        <v>112</v>
      </c>
      <c r="D104">
        <v>318</v>
      </c>
      <c r="E104">
        <v>591873.81051250407</v>
      </c>
      <c r="F104">
        <v>188215871.74297631</v>
      </c>
    </row>
    <row r="105" spans="1:6" x14ac:dyDescent="0.3">
      <c r="A105" s="216">
        <v>101</v>
      </c>
      <c r="B105" t="s">
        <v>14</v>
      </c>
      <c r="C105" t="s">
        <v>113</v>
      </c>
      <c r="D105">
        <v>937</v>
      </c>
      <c r="E105">
        <v>758092.32176338765</v>
      </c>
      <c r="F105">
        <v>710332505.49229419</v>
      </c>
    </row>
    <row r="106" spans="1:6" x14ac:dyDescent="0.3">
      <c r="A106" s="216">
        <v>102</v>
      </c>
      <c r="B106" t="s">
        <v>14</v>
      </c>
      <c r="C106" t="s">
        <v>114</v>
      </c>
      <c r="D106">
        <v>520</v>
      </c>
      <c r="E106">
        <v>479983.96168827591</v>
      </c>
      <c r="F106">
        <v>249591660.07790339</v>
      </c>
    </row>
    <row r="107" spans="1:6" x14ac:dyDescent="0.3">
      <c r="A107" s="216">
        <v>103</v>
      </c>
      <c r="B107" t="s">
        <v>14</v>
      </c>
      <c r="C107" t="s">
        <v>115</v>
      </c>
      <c r="D107">
        <v>674</v>
      </c>
      <c r="E107">
        <v>729262.64212501666</v>
      </c>
      <c r="F107">
        <v>491523020.79226118</v>
      </c>
    </row>
    <row r="108" spans="1:6" x14ac:dyDescent="0.3">
      <c r="A108" s="216">
        <v>104</v>
      </c>
      <c r="B108" t="s">
        <v>14</v>
      </c>
      <c r="C108" t="s">
        <v>116</v>
      </c>
      <c r="D108">
        <v>639</v>
      </c>
      <c r="E108">
        <v>814464.40604526026</v>
      </c>
      <c r="F108">
        <v>520442755.46292132</v>
      </c>
    </row>
    <row r="109" spans="1:6" x14ac:dyDescent="0.3">
      <c r="A109" s="216">
        <v>105</v>
      </c>
      <c r="B109" t="s">
        <v>14</v>
      </c>
      <c r="C109" t="s">
        <v>117</v>
      </c>
      <c r="D109">
        <v>155</v>
      </c>
      <c r="E109">
        <v>841368.63506190933</v>
      </c>
      <c r="F109">
        <v>130412138.4345959</v>
      </c>
    </row>
    <row r="110" spans="1:6" x14ac:dyDescent="0.3">
      <c r="A110" s="216">
        <v>106</v>
      </c>
      <c r="B110" t="s">
        <v>15</v>
      </c>
      <c r="C110" t="s">
        <v>118</v>
      </c>
      <c r="D110">
        <v>430</v>
      </c>
      <c r="E110">
        <v>264546.06281685177</v>
      </c>
      <c r="F110">
        <v>113754807.01124629</v>
      </c>
    </row>
    <row r="111" spans="1:6" x14ac:dyDescent="0.3">
      <c r="A111" s="216">
        <v>107</v>
      </c>
      <c r="B111" t="s">
        <v>15</v>
      </c>
      <c r="C111" t="s">
        <v>179</v>
      </c>
      <c r="D111">
        <v>32</v>
      </c>
      <c r="E111">
        <v>212665.76306683291</v>
      </c>
      <c r="F111">
        <v>6805304.418138653</v>
      </c>
    </row>
    <row r="112" spans="1:6" x14ac:dyDescent="0.3">
      <c r="A112" s="216">
        <v>108</v>
      </c>
      <c r="B112" t="s">
        <v>15</v>
      </c>
      <c r="C112" t="s">
        <v>119</v>
      </c>
      <c r="D112">
        <v>311</v>
      </c>
      <c r="E112">
        <v>303370.67182921403</v>
      </c>
      <c r="F112">
        <v>94348278.93888554</v>
      </c>
    </row>
    <row r="113" spans="1:6" x14ac:dyDescent="0.3">
      <c r="A113" s="216">
        <v>109</v>
      </c>
      <c r="B113" t="s">
        <v>15</v>
      </c>
      <c r="C113" t="s">
        <v>120</v>
      </c>
      <c r="D113">
        <v>238</v>
      </c>
      <c r="E113">
        <v>348443.20057315641</v>
      </c>
      <c r="F113">
        <v>82929481.736411229</v>
      </c>
    </row>
    <row r="114" spans="1:6" x14ac:dyDescent="0.3">
      <c r="A114" s="216">
        <v>110</v>
      </c>
      <c r="B114" t="s">
        <v>15</v>
      </c>
      <c r="C114" t="s">
        <v>121</v>
      </c>
      <c r="D114">
        <v>579</v>
      </c>
      <c r="E114">
        <v>268958.49072907632</v>
      </c>
      <c r="F114">
        <v>155726966.13213521</v>
      </c>
    </row>
    <row r="115" spans="1:6" x14ac:dyDescent="0.3">
      <c r="A115" s="216">
        <v>111</v>
      </c>
      <c r="B115" t="s">
        <v>15</v>
      </c>
      <c r="C115" t="s">
        <v>122</v>
      </c>
      <c r="D115">
        <v>620</v>
      </c>
      <c r="E115">
        <v>281219.01195943262</v>
      </c>
      <c r="F115">
        <v>174355787.41484821</v>
      </c>
    </row>
    <row r="116" spans="1:6" x14ac:dyDescent="0.3">
      <c r="A116" s="216">
        <v>112</v>
      </c>
      <c r="B116" t="s">
        <v>15</v>
      </c>
      <c r="C116" t="s">
        <v>123</v>
      </c>
      <c r="D116">
        <v>233</v>
      </c>
      <c r="E116">
        <v>226428.88243678739</v>
      </c>
      <c r="F116">
        <v>52757929.607771471</v>
      </c>
    </row>
    <row r="117" spans="1:6" x14ac:dyDescent="0.3">
      <c r="A117" s="216">
        <v>113</v>
      </c>
      <c r="B117" t="s">
        <v>15</v>
      </c>
      <c r="C117" t="s">
        <v>124</v>
      </c>
      <c r="D117">
        <v>172</v>
      </c>
      <c r="E117">
        <v>303934.20270433318</v>
      </c>
      <c r="F117">
        <v>52276682.865145303</v>
      </c>
    </row>
    <row r="118" spans="1:6" x14ac:dyDescent="0.3">
      <c r="A118" s="216">
        <v>114</v>
      </c>
      <c r="B118" t="s">
        <v>15</v>
      </c>
      <c r="C118" t="s">
        <v>125</v>
      </c>
      <c r="D118">
        <v>180</v>
      </c>
      <c r="E118">
        <v>284792.50229701912</v>
      </c>
      <c r="F118">
        <v>51262650.413463429</v>
      </c>
    </row>
    <row r="119" spans="1:6" x14ac:dyDescent="0.3">
      <c r="A119" s="216">
        <v>115</v>
      </c>
      <c r="B119" t="s">
        <v>15</v>
      </c>
      <c r="C119" t="s">
        <v>170</v>
      </c>
      <c r="D119">
        <v>294</v>
      </c>
      <c r="E119">
        <v>291120.03682246828</v>
      </c>
      <c r="F119">
        <v>85589290.825805679</v>
      </c>
    </row>
    <row r="120" spans="1:6" x14ac:dyDescent="0.3">
      <c r="A120" s="216">
        <v>116</v>
      </c>
      <c r="B120" t="s">
        <v>15</v>
      </c>
      <c r="C120" t="s">
        <v>126</v>
      </c>
      <c r="D120">
        <v>302</v>
      </c>
      <c r="E120">
        <v>282003.78028166923</v>
      </c>
      <c r="F120">
        <v>85165141.645064101</v>
      </c>
    </row>
    <row r="121" spans="1:6" x14ac:dyDescent="0.3">
      <c r="A121" s="216">
        <v>117</v>
      </c>
      <c r="B121" t="s">
        <v>15</v>
      </c>
      <c r="C121" t="s">
        <v>127</v>
      </c>
      <c r="D121">
        <v>249</v>
      </c>
      <c r="E121">
        <v>348888.68307720817</v>
      </c>
      <c r="F121">
        <v>86873282.086224854</v>
      </c>
    </row>
    <row r="122" spans="1:6" x14ac:dyDescent="0.3">
      <c r="A122" s="216">
        <v>118</v>
      </c>
      <c r="B122" t="s">
        <v>16</v>
      </c>
      <c r="C122" t="s">
        <v>128</v>
      </c>
      <c r="D122">
        <v>394</v>
      </c>
      <c r="E122">
        <v>384778.27616465063</v>
      </c>
      <c r="F122">
        <v>151602640.80887231</v>
      </c>
    </row>
    <row r="123" spans="1:6" x14ac:dyDescent="0.3">
      <c r="A123" s="216">
        <v>119</v>
      </c>
      <c r="B123" t="s">
        <v>16</v>
      </c>
      <c r="C123" t="s">
        <v>129</v>
      </c>
      <c r="D123">
        <v>228</v>
      </c>
      <c r="E123">
        <v>482330.49900617352</v>
      </c>
      <c r="F123">
        <v>109971353.7734075</v>
      </c>
    </row>
    <row r="124" spans="1:6" x14ac:dyDescent="0.3">
      <c r="A124" s="216">
        <v>120</v>
      </c>
      <c r="B124" t="s">
        <v>16</v>
      </c>
      <c r="C124" t="s">
        <v>130</v>
      </c>
      <c r="D124">
        <v>271</v>
      </c>
      <c r="E124">
        <v>341592.68515358318</v>
      </c>
      <c r="F124">
        <v>92571617.676621035</v>
      </c>
    </row>
    <row r="125" spans="1:6" x14ac:dyDescent="0.3">
      <c r="A125" s="216">
        <v>121</v>
      </c>
      <c r="B125" t="s">
        <v>16</v>
      </c>
      <c r="C125" t="s">
        <v>131</v>
      </c>
      <c r="D125">
        <v>390</v>
      </c>
      <c r="E125">
        <v>329067.49557793041</v>
      </c>
      <c r="F125">
        <v>128336323.2753929</v>
      </c>
    </row>
    <row r="126" spans="1:6" x14ac:dyDescent="0.3">
      <c r="A126" s="216">
        <v>122</v>
      </c>
      <c r="B126" t="s">
        <v>16</v>
      </c>
      <c r="C126" t="s">
        <v>132</v>
      </c>
      <c r="D126">
        <v>247</v>
      </c>
      <c r="E126">
        <v>359108.82652310858</v>
      </c>
      <c r="F126">
        <v>88699880.151207834</v>
      </c>
    </row>
    <row r="127" spans="1:6" x14ac:dyDescent="0.3">
      <c r="A127" s="216">
        <v>123</v>
      </c>
      <c r="B127" t="s">
        <v>16</v>
      </c>
      <c r="C127" t="s">
        <v>133</v>
      </c>
      <c r="D127">
        <v>336</v>
      </c>
      <c r="E127">
        <v>413161.19468372612</v>
      </c>
      <c r="F127">
        <v>138822161.41373199</v>
      </c>
    </row>
    <row r="128" spans="1:6" x14ac:dyDescent="0.3">
      <c r="A128" s="216">
        <v>124</v>
      </c>
      <c r="B128" t="s">
        <v>16</v>
      </c>
      <c r="C128" t="s">
        <v>134</v>
      </c>
      <c r="D128">
        <v>255</v>
      </c>
      <c r="E128">
        <v>384366.83002594882</v>
      </c>
      <c r="F128">
        <v>98013541.656616926</v>
      </c>
    </row>
    <row r="129" spans="1:6" x14ac:dyDescent="0.3">
      <c r="A129" s="216">
        <v>125</v>
      </c>
      <c r="B129" t="s">
        <v>16</v>
      </c>
      <c r="C129" t="s">
        <v>135</v>
      </c>
      <c r="D129">
        <v>204</v>
      </c>
      <c r="E129">
        <v>272077.56255835929</v>
      </c>
      <c r="F129">
        <v>55503822.761905298</v>
      </c>
    </row>
    <row r="130" spans="1:6" x14ac:dyDescent="0.3">
      <c r="A130" s="216">
        <v>126</v>
      </c>
      <c r="B130" t="s">
        <v>16</v>
      </c>
      <c r="C130" t="s">
        <v>136</v>
      </c>
      <c r="D130">
        <v>339</v>
      </c>
      <c r="E130">
        <v>309777.81628871051</v>
      </c>
      <c r="F130">
        <v>105014679.7218729</v>
      </c>
    </row>
    <row r="131" spans="1:6" x14ac:dyDescent="0.3">
      <c r="A131" s="216">
        <v>127</v>
      </c>
      <c r="B131" t="s">
        <v>16</v>
      </c>
      <c r="C131" t="s">
        <v>137</v>
      </c>
      <c r="D131">
        <v>327</v>
      </c>
      <c r="E131">
        <v>368712.78996882739</v>
      </c>
      <c r="F131">
        <v>120569082.31980661</v>
      </c>
    </row>
    <row r="132" spans="1:6" x14ac:dyDescent="0.3">
      <c r="A132" s="216">
        <v>128</v>
      </c>
      <c r="B132" t="s">
        <v>16</v>
      </c>
      <c r="C132" t="s">
        <v>138</v>
      </c>
      <c r="D132">
        <v>621</v>
      </c>
      <c r="E132">
        <v>239555.56954453859</v>
      </c>
      <c r="F132">
        <v>148764008.6871585</v>
      </c>
    </row>
    <row r="133" spans="1:6" x14ac:dyDescent="0.3">
      <c r="A133" s="216">
        <v>129</v>
      </c>
      <c r="B133" t="s">
        <v>16</v>
      </c>
      <c r="C133" t="s">
        <v>139</v>
      </c>
      <c r="D133">
        <v>335</v>
      </c>
      <c r="E133">
        <v>280570.5270947981</v>
      </c>
      <c r="F133">
        <v>93991126.576757371</v>
      </c>
    </row>
    <row r="134" spans="1:6" x14ac:dyDescent="0.3">
      <c r="A134" s="216">
        <v>130</v>
      </c>
      <c r="B134" t="s">
        <v>17</v>
      </c>
      <c r="C134" t="s">
        <v>140</v>
      </c>
      <c r="D134">
        <v>258</v>
      </c>
      <c r="E134">
        <v>243946.55291590129</v>
      </c>
      <c r="F134">
        <v>62938210.652302541</v>
      </c>
    </row>
    <row r="135" spans="1:6" x14ac:dyDescent="0.3">
      <c r="A135" s="216">
        <v>131</v>
      </c>
      <c r="B135" t="s">
        <v>17</v>
      </c>
      <c r="C135" t="s">
        <v>141</v>
      </c>
      <c r="D135">
        <v>151</v>
      </c>
      <c r="E135">
        <v>232173.61214364349</v>
      </c>
      <c r="F135">
        <v>35058215.433690183</v>
      </c>
    </row>
    <row r="136" spans="1:6" x14ac:dyDescent="0.3">
      <c r="A136" s="216">
        <v>132</v>
      </c>
      <c r="B136" t="s">
        <v>17</v>
      </c>
      <c r="C136" t="s">
        <v>142</v>
      </c>
      <c r="D136">
        <v>171</v>
      </c>
      <c r="E136">
        <v>279041.05622526881</v>
      </c>
      <c r="F136">
        <v>47716020.614520967</v>
      </c>
    </row>
    <row r="137" spans="1:6" x14ac:dyDescent="0.3">
      <c r="A137" s="216">
        <v>133</v>
      </c>
      <c r="B137" t="s">
        <v>17</v>
      </c>
      <c r="C137" t="s">
        <v>143</v>
      </c>
      <c r="D137">
        <v>438</v>
      </c>
      <c r="E137">
        <v>421396.57953855558</v>
      </c>
      <c r="F137">
        <v>184571701.83788729</v>
      </c>
    </row>
    <row r="138" spans="1:6" x14ac:dyDescent="0.3">
      <c r="A138" s="216">
        <v>134</v>
      </c>
      <c r="B138" t="s">
        <v>17</v>
      </c>
      <c r="C138" t="s">
        <v>144</v>
      </c>
      <c r="D138">
        <v>182</v>
      </c>
      <c r="E138">
        <v>414251.97288548457</v>
      </c>
      <c r="F138">
        <v>75393859.065158188</v>
      </c>
    </row>
    <row r="139" spans="1:6" x14ac:dyDescent="0.3">
      <c r="A139" s="216">
        <v>135</v>
      </c>
      <c r="B139" t="s">
        <v>17</v>
      </c>
      <c r="C139" t="s">
        <v>145</v>
      </c>
      <c r="D139">
        <v>201</v>
      </c>
      <c r="E139">
        <v>272547.47661016311</v>
      </c>
      <c r="F139">
        <v>54782042.798642777</v>
      </c>
    </row>
    <row r="140" spans="1:6" x14ac:dyDescent="0.3">
      <c r="A140" s="216">
        <v>136</v>
      </c>
      <c r="B140" t="s">
        <v>17</v>
      </c>
      <c r="C140" t="s">
        <v>146</v>
      </c>
      <c r="D140">
        <v>167</v>
      </c>
      <c r="E140">
        <v>292930.30233449809</v>
      </c>
      <c r="F140">
        <v>48919360.48986119</v>
      </c>
    </row>
    <row r="141" spans="1:6" x14ac:dyDescent="0.3">
      <c r="A141" s="216">
        <v>137</v>
      </c>
      <c r="B141" t="s">
        <v>17</v>
      </c>
      <c r="C141" t="s">
        <v>147</v>
      </c>
      <c r="D141">
        <v>259</v>
      </c>
      <c r="E141">
        <v>345231.04794777749</v>
      </c>
      <c r="F141">
        <v>89414841.418474376</v>
      </c>
    </row>
    <row r="142" spans="1:6" x14ac:dyDescent="0.3">
      <c r="A142" s="216">
        <v>138</v>
      </c>
      <c r="B142" t="s">
        <v>17</v>
      </c>
      <c r="C142" t="s">
        <v>148</v>
      </c>
      <c r="D142">
        <v>237</v>
      </c>
      <c r="E142">
        <v>347640.29917699652</v>
      </c>
      <c r="F142">
        <v>82390750.90494816</v>
      </c>
    </row>
    <row r="143" spans="1:6" x14ac:dyDescent="0.3">
      <c r="A143" s="216">
        <v>139</v>
      </c>
      <c r="B143" t="s">
        <v>17</v>
      </c>
      <c r="C143" t="s">
        <v>149</v>
      </c>
      <c r="D143">
        <v>282</v>
      </c>
      <c r="E143">
        <v>328068.22447726887</v>
      </c>
      <c r="F143">
        <v>92515239.302589819</v>
      </c>
    </row>
    <row r="144" spans="1:6" x14ac:dyDescent="0.3">
      <c r="A144" s="216">
        <v>140</v>
      </c>
      <c r="B144" t="s">
        <v>17</v>
      </c>
      <c r="C144" t="s">
        <v>150</v>
      </c>
      <c r="D144">
        <v>231</v>
      </c>
      <c r="E144">
        <v>288530.44931305031</v>
      </c>
      <c r="F144">
        <v>66650533.791314609</v>
      </c>
    </row>
    <row r="145" spans="1:6" x14ac:dyDescent="0.3">
      <c r="A145" s="216">
        <v>141</v>
      </c>
      <c r="B145" t="s">
        <v>17</v>
      </c>
      <c r="C145" t="s">
        <v>151</v>
      </c>
      <c r="D145">
        <v>245</v>
      </c>
      <c r="E145">
        <v>275303.05940808082</v>
      </c>
      <c r="F145">
        <v>67449249.554979801</v>
      </c>
    </row>
    <row r="146" spans="1:6" x14ac:dyDescent="0.3">
      <c r="A146" s="216">
        <v>142</v>
      </c>
      <c r="B146" t="s">
        <v>17</v>
      </c>
      <c r="C146" t="s">
        <v>152</v>
      </c>
      <c r="D146">
        <v>242</v>
      </c>
      <c r="E146">
        <v>297908.34999441018</v>
      </c>
      <c r="F146">
        <v>72093820.698647276</v>
      </c>
    </row>
    <row r="147" spans="1:6" x14ac:dyDescent="0.3">
      <c r="A147" s="216">
        <v>143</v>
      </c>
      <c r="B147" t="s">
        <v>17</v>
      </c>
      <c r="C147" t="s">
        <v>153</v>
      </c>
      <c r="D147">
        <v>201</v>
      </c>
      <c r="E147">
        <v>311153.05749743647</v>
      </c>
      <c r="F147">
        <v>62541764.55698473</v>
      </c>
    </row>
    <row r="148" spans="1:6" x14ac:dyDescent="0.3">
      <c r="A148" s="216">
        <v>144</v>
      </c>
      <c r="B148" t="s">
        <v>17</v>
      </c>
      <c r="C148" t="s">
        <v>154</v>
      </c>
      <c r="D148">
        <v>278</v>
      </c>
      <c r="E148">
        <v>279449.57439266279</v>
      </c>
      <c r="F148">
        <v>77686981.681160271</v>
      </c>
    </row>
    <row r="149" spans="1:6" x14ac:dyDescent="0.3">
      <c r="A149" s="216">
        <v>145</v>
      </c>
      <c r="B149" t="s">
        <v>17</v>
      </c>
      <c r="C149" t="s">
        <v>155</v>
      </c>
      <c r="D149">
        <v>355</v>
      </c>
      <c r="E149">
        <v>278429.83119495428</v>
      </c>
      <c r="F149">
        <v>98842590.074208766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D62B-2440-49FE-9E0B-14E059ECC132}">
  <dimension ref="A1:F153"/>
  <sheetViews>
    <sheetView workbookViewId="0">
      <selection activeCell="G4" sqref="G4"/>
    </sheetView>
  </sheetViews>
  <sheetFormatPr defaultRowHeight="14.4" x14ac:dyDescent="0.3"/>
  <cols>
    <col min="2" max="2" width="19.33203125" customWidth="1"/>
    <col min="3" max="3" width="22" customWidth="1"/>
    <col min="6" max="6" width="17.109375" customWidth="1"/>
  </cols>
  <sheetData>
    <row r="1" spans="1:6" x14ac:dyDescent="0.3">
      <c r="A1" s="79"/>
      <c r="B1" s="79" t="s">
        <v>248</v>
      </c>
      <c r="C1" s="79" t="s">
        <v>249</v>
      </c>
      <c r="D1" s="79" t="s">
        <v>250</v>
      </c>
      <c r="E1" s="79" t="s">
        <v>251</v>
      </c>
      <c r="F1" s="79" t="s">
        <v>252</v>
      </c>
    </row>
    <row r="2" spans="1:6" x14ac:dyDescent="0.3">
      <c r="A2" s="79"/>
      <c r="B2" s="79"/>
      <c r="C2" s="79"/>
      <c r="D2" s="79" t="s">
        <v>253</v>
      </c>
      <c r="E2" s="79" t="s">
        <v>253</v>
      </c>
      <c r="F2" s="79"/>
    </row>
    <row r="4" spans="1:6" x14ac:dyDescent="0.3">
      <c r="A4" s="79">
        <v>0</v>
      </c>
      <c r="B4" t="s">
        <v>7</v>
      </c>
      <c r="C4" t="s">
        <v>20</v>
      </c>
      <c r="D4">
        <v>399</v>
      </c>
      <c r="E4">
        <v>305303.28808976267</v>
      </c>
      <c r="F4">
        <v>121816011.9478153</v>
      </c>
    </row>
    <row r="5" spans="1:6" x14ac:dyDescent="0.3">
      <c r="A5" s="79">
        <v>1</v>
      </c>
      <c r="B5" t="s">
        <v>7</v>
      </c>
      <c r="C5" t="s">
        <v>21</v>
      </c>
      <c r="D5">
        <v>387</v>
      </c>
      <c r="E5">
        <v>254869.73666226651</v>
      </c>
      <c r="F5">
        <v>98634588.088297114</v>
      </c>
    </row>
    <row r="6" spans="1:6" x14ac:dyDescent="0.3">
      <c r="A6" s="79">
        <v>2</v>
      </c>
      <c r="B6" t="s">
        <v>7</v>
      </c>
      <c r="C6" t="s">
        <v>22</v>
      </c>
      <c r="D6">
        <v>239</v>
      </c>
      <c r="E6">
        <v>289160.5342022847</v>
      </c>
      <c r="F6">
        <v>69109367.674346045</v>
      </c>
    </row>
    <row r="7" spans="1:6" x14ac:dyDescent="0.3">
      <c r="A7" s="79">
        <v>3</v>
      </c>
      <c r="B7" t="s">
        <v>7</v>
      </c>
      <c r="C7" t="s">
        <v>23</v>
      </c>
      <c r="D7">
        <v>33</v>
      </c>
      <c r="E7">
        <v>216066.70652305381</v>
      </c>
      <c r="F7">
        <v>7130201.3152607754</v>
      </c>
    </row>
    <row r="8" spans="1:6" x14ac:dyDescent="0.3">
      <c r="A8" s="79">
        <v>4</v>
      </c>
      <c r="B8" t="s">
        <v>7</v>
      </c>
      <c r="C8" t="s">
        <v>24</v>
      </c>
      <c r="D8">
        <v>529</v>
      </c>
      <c r="E8">
        <v>265293.67485871399</v>
      </c>
      <c r="F8">
        <v>140340354.0002597</v>
      </c>
    </row>
    <row r="9" spans="1:6" x14ac:dyDescent="0.3">
      <c r="A9" s="79">
        <v>5</v>
      </c>
      <c r="B9" t="s">
        <v>7</v>
      </c>
      <c r="C9" t="s">
        <v>25</v>
      </c>
      <c r="D9">
        <v>355</v>
      </c>
      <c r="E9">
        <v>252269.8892114397</v>
      </c>
      <c r="F9">
        <v>89555810.670061097</v>
      </c>
    </row>
    <row r="10" spans="1:6" x14ac:dyDescent="0.3">
      <c r="A10" s="79">
        <v>6</v>
      </c>
      <c r="B10" t="s">
        <v>7</v>
      </c>
      <c r="C10" t="s">
        <v>26</v>
      </c>
      <c r="D10">
        <v>322</v>
      </c>
      <c r="E10">
        <v>297567.67326185817</v>
      </c>
      <c r="F10">
        <v>95816790.790318325</v>
      </c>
    </row>
    <row r="11" spans="1:6" x14ac:dyDescent="0.3">
      <c r="A11" s="79">
        <v>7</v>
      </c>
      <c r="B11" t="s">
        <v>7</v>
      </c>
      <c r="C11" t="s">
        <v>27</v>
      </c>
      <c r="D11">
        <v>232</v>
      </c>
      <c r="E11">
        <v>250456.84974188521</v>
      </c>
      <c r="F11">
        <v>58105989.14011737</v>
      </c>
    </row>
    <row r="12" spans="1:6" x14ac:dyDescent="0.3">
      <c r="A12" s="79">
        <v>8</v>
      </c>
      <c r="B12" t="s">
        <v>7</v>
      </c>
      <c r="C12" t="s">
        <v>28</v>
      </c>
      <c r="D12">
        <v>167</v>
      </c>
      <c r="E12">
        <v>284844.7937607218</v>
      </c>
      <c r="F12">
        <v>47569080.558040537</v>
      </c>
    </row>
    <row r="13" spans="1:6" x14ac:dyDescent="0.3">
      <c r="A13" s="79">
        <v>9</v>
      </c>
      <c r="B13" t="s">
        <v>7</v>
      </c>
      <c r="C13" t="s">
        <v>29</v>
      </c>
      <c r="D13">
        <v>258</v>
      </c>
      <c r="E13">
        <v>288143.42728457588</v>
      </c>
      <c r="F13">
        <v>74341004.239420578</v>
      </c>
    </row>
    <row r="14" spans="1:6" x14ac:dyDescent="0.3">
      <c r="A14" s="79">
        <v>10</v>
      </c>
      <c r="B14" t="s">
        <v>7</v>
      </c>
      <c r="C14" t="s">
        <v>30</v>
      </c>
      <c r="D14">
        <v>175</v>
      </c>
      <c r="E14">
        <v>259090.8365687576</v>
      </c>
      <c r="F14">
        <v>45340896.399532579</v>
      </c>
    </row>
    <row r="15" spans="1:6" x14ac:dyDescent="0.3">
      <c r="A15" s="79">
        <v>11</v>
      </c>
      <c r="B15" t="s">
        <v>7</v>
      </c>
      <c r="C15" t="s">
        <v>31</v>
      </c>
      <c r="D15">
        <v>422</v>
      </c>
      <c r="E15">
        <v>280783.66747436119</v>
      </c>
      <c r="F15">
        <v>118490707.6741804</v>
      </c>
    </row>
    <row r="16" spans="1:6" x14ac:dyDescent="0.3">
      <c r="A16" s="79">
        <v>12</v>
      </c>
      <c r="B16" t="s">
        <v>7</v>
      </c>
      <c r="C16" t="s">
        <v>32</v>
      </c>
      <c r="D16">
        <v>343</v>
      </c>
      <c r="E16">
        <v>329773.79089933127</v>
      </c>
      <c r="F16">
        <v>113112410.2784707</v>
      </c>
    </row>
    <row r="17" spans="1:6" x14ac:dyDescent="0.3">
      <c r="A17" s="79">
        <v>13</v>
      </c>
      <c r="B17" t="s">
        <v>7</v>
      </c>
      <c r="C17" t="s">
        <v>33</v>
      </c>
      <c r="D17">
        <v>340</v>
      </c>
      <c r="E17">
        <v>293189.27508892812</v>
      </c>
      <c r="F17">
        <v>99684353.530235559</v>
      </c>
    </row>
    <row r="18" spans="1:6" x14ac:dyDescent="0.3">
      <c r="A18" s="79">
        <v>14</v>
      </c>
      <c r="B18" t="s">
        <v>7</v>
      </c>
      <c r="C18" t="s">
        <v>34</v>
      </c>
      <c r="D18">
        <v>420</v>
      </c>
      <c r="E18">
        <v>310317.11308307998</v>
      </c>
      <c r="F18">
        <v>130333187.4948936</v>
      </c>
    </row>
    <row r="19" spans="1:6" x14ac:dyDescent="0.3">
      <c r="A19" s="79">
        <v>15</v>
      </c>
      <c r="B19" t="s">
        <v>7</v>
      </c>
      <c r="C19" t="s">
        <v>35</v>
      </c>
      <c r="D19">
        <v>247</v>
      </c>
      <c r="E19">
        <v>394617.49817030429</v>
      </c>
      <c r="F19">
        <v>97470522.048065171</v>
      </c>
    </row>
    <row r="20" spans="1:6" x14ac:dyDescent="0.3">
      <c r="A20" s="79">
        <v>16</v>
      </c>
      <c r="B20" t="s">
        <v>8</v>
      </c>
      <c r="C20" t="s">
        <v>36</v>
      </c>
      <c r="D20">
        <v>74</v>
      </c>
      <c r="E20">
        <v>230459.7662947255</v>
      </c>
      <c r="F20">
        <v>17054022.70580969</v>
      </c>
    </row>
    <row r="21" spans="1:6" x14ac:dyDescent="0.3">
      <c r="A21" s="79">
        <v>17</v>
      </c>
      <c r="B21" t="s">
        <v>8</v>
      </c>
      <c r="C21" t="s">
        <v>37</v>
      </c>
      <c r="D21">
        <v>409</v>
      </c>
      <c r="E21">
        <v>527245.64191087813</v>
      </c>
      <c r="F21">
        <v>215643467.54154909</v>
      </c>
    </row>
    <row r="22" spans="1:6" x14ac:dyDescent="0.3">
      <c r="A22" s="79">
        <v>18</v>
      </c>
      <c r="B22" t="s">
        <v>8</v>
      </c>
      <c r="C22" t="s">
        <v>38</v>
      </c>
      <c r="D22">
        <v>212</v>
      </c>
      <c r="E22">
        <v>362134.64093630889</v>
      </c>
      <c r="F22">
        <v>76772543.878497481</v>
      </c>
    </row>
    <row r="23" spans="1:6" x14ac:dyDescent="0.3">
      <c r="A23" s="79">
        <v>19</v>
      </c>
      <c r="B23" t="s">
        <v>8</v>
      </c>
      <c r="C23" t="s">
        <v>39</v>
      </c>
      <c r="D23">
        <v>584</v>
      </c>
      <c r="E23">
        <v>332900.89546224289</v>
      </c>
      <c r="F23">
        <v>194414122.94994989</v>
      </c>
    </row>
    <row r="24" spans="1:6" x14ac:dyDescent="0.3">
      <c r="A24" s="79">
        <v>20</v>
      </c>
      <c r="B24" t="s">
        <v>8</v>
      </c>
      <c r="C24" t="s">
        <v>40</v>
      </c>
      <c r="D24">
        <v>682</v>
      </c>
      <c r="E24">
        <v>310527.11485229078</v>
      </c>
      <c r="F24">
        <v>211779492.32926229</v>
      </c>
    </row>
    <row r="25" spans="1:6" x14ac:dyDescent="0.3">
      <c r="A25" s="79">
        <v>21</v>
      </c>
      <c r="B25" t="s">
        <v>8</v>
      </c>
      <c r="C25" t="s">
        <v>41</v>
      </c>
      <c r="D25">
        <v>236</v>
      </c>
      <c r="E25">
        <v>252407.25081774639</v>
      </c>
      <c r="F25">
        <v>59568111.192988157</v>
      </c>
    </row>
    <row r="26" spans="1:6" x14ac:dyDescent="0.3">
      <c r="A26" s="79">
        <v>22</v>
      </c>
      <c r="B26" t="s">
        <v>8</v>
      </c>
      <c r="C26" t="s">
        <v>42</v>
      </c>
      <c r="D26">
        <v>436</v>
      </c>
      <c r="E26">
        <v>322039.70334088488</v>
      </c>
      <c r="F26">
        <v>140409310.65662581</v>
      </c>
    </row>
    <row r="27" spans="1:6" x14ac:dyDescent="0.3">
      <c r="A27" s="79">
        <v>23</v>
      </c>
      <c r="B27" t="s">
        <v>8</v>
      </c>
      <c r="C27" t="s">
        <v>43</v>
      </c>
      <c r="D27">
        <v>242</v>
      </c>
      <c r="E27">
        <v>425374.75360263389</v>
      </c>
      <c r="F27">
        <v>102940690.37183741</v>
      </c>
    </row>
    <row r="28" spans="1:6" x14ac:dyDescent="0.3">
      <c r="A28" s="79">
        <v>24</v>
      </c>
      <c r="B28" t="s">
        <v>8</v>
      </c>
      <c r="C28" t="s">
        <v>44</v>
      </c>
      <c r="D28">
        <v>724</v>
      </c>
      <c r="E28">
        <v>478552.8974018087</v>
      </c>
      <c r="F28">
        <v>346472297.7189095</v>
      </c>
    </row>
    <row r="29" spans="1:6" x14ac:dyDescent="0.3">
      <c r="A29" s="79">
        <v>25</v>
      </c>
      <c r="B29" t="s">
        <v>8</v>
      </c>
      <c r="C29" t="s">
        <v>45</v>
      </c>
      <c r="D29">
        <v>357</v>
      </c>
      <c r="E29">
        <v>270823.29802778282</v>
      </c>
      <c r="F29">
        <v>96683917.395918444</v>
      </c>
    </row>
    <row r="30" spans="1:6" x14ac:dyDescent="0.3">
      <c r="A30" s="79">
        <v>26</v>
      </c>
      <c r="B30" t="s">
        <v>8</v>
      </c>
      <c r="C30" t="s">
        <v>46</v>
      </c>
      <c r="D30">
        <v>410</v>
      </c>
      <c r="E30">
        <v>373566.01863063179</v>
      </c>
      <c r="F30">
        <v>153162067.63855901</v>
      </c>
    </row>
    <row r="31" spans="1:6" x14ac:dyDescent="0.3">
      <c r="A31" s="79">
        <v>27</v>
      </c>
      <c r="B31" t="s">
        <v>8</v>
      </c>
      <c r="C31" t="s">
        <v>47</v>
      </c>
      <c r="D31">
        <v>266</v>
      </c>
      <c r="E31">
        <v>369167.41168544511</v>
      </c>
      <c r="F31">
        <v>98198531.508328393</v>
      </c>
    </row>
    <row r="32" spans="1:6" x14ac:dyDescent="0.3">
      <c r="A32" s="79">
        <v>28</v>
      </c>
      <c r="B32" t="s">
        <v>8</v>
      </c>
      <c r="C32" t="s">
        <v>48</v>
      </c>
      <c r="D32">
        <v>352</v>
      </c>
      <c r="E32">
        <v>362664.04403235792</v>
      </c>
      <c r="F32">
        <v>127657743.49939001</v>
      </c>
    </row>
    <row r="33" spans="1:6" x14ac:dyDescent="0.3">
      <c r="A33" s="79">
        <v>29</v>
      </c>
      <c r="B33" t="s">
        <v>175</v>
      </c>
      <c r="C33" t="s">
        <v>254</v>
      </c>
      <c r="D33">
        <v>3</v>
      </c>
      <c r="E33">
        <v>229158.5870869144</v>
      </c>
      <c r="F33">
        <v>687475.76126074314</v>
      </c>
    </row>
    <row r="34" spans="1:6" x14ac:dyDescent="0.3">
      <c r="A34" s="79">
        <v>30</v>
      </c>
      <c r="B34" t="s">
        <v>175</v>
      </c>
      <c r="C34" t="s">
        <v>255</v>
      </c>
      <c r="D34">
        <v>7</v>
      </c>
      <c r="E34">
        <v>234138.46934701901</v>
      </c>
      <c r="F34">
        <v>1638969.2854291331</v>
      </c>
    </row>
    <row r="35" spans="1:6" x14ac:dyDescent="0.3">
      <c r="A35" s="79">
        <v>31</v>
      </c>
      <c r="B35" t="s">
        <v>175</v>
      </c>
      <c r="C35" t="s">
        <v>256</v>
      </c>
      <c r="D35">
        <v>1</v>
      </c>
      <c r="E35">
        <v>203252.03252032521</v>
      </c>
      <c r="F35">
        <v>203252.03252032521</v>
      </c>
    </row>
    <row r="36" spans="1:6" x14ac:dyDescent="0.3">
      <c r="A36" s="79">
        <v>32</v>
      </c>
      <c r="B36" t="s">
        <v>175</v>
      </c>
      <c r="C36" t="s">
        <v>257</v>
      </c>
      <c r="D36">
        <v>13</v>
      </c>
      <c r="E36">
        <v>263360.5296323736</v>
      </c>
      <c r="F36">
        <v>3423686.8852208569</v>
      </c>
    </row>
    <row r="37" spans="1:6" x14ac:dyDescent="0.3">
      <c r="A37" s="79">
        <v>33</v>
      </c>
      <c r="B37" t="s">
        <v>175</v>
      </c>
      <c r="C37" t="s">
        <v>258</v>
      </c>
      <c r="D37">
        <v>37</v>
      </c>
      <c r="E37">
        <v>231017.83180960911</v>
      </c>
      <c r="F37">
        <v>8547659.7769555375</v>
      </c>
    </row>
    <row r="38" spans="1:6" x14ac:dyDescent="0.3">
      <c r="A38" s="79">
        <v>34</v>
      </c>
      <c r="B38" t="s">
        <v>175</v>
      </c>
      <c r="C38" t="s">
        <v>259</v>
      </c>
      <c r="D38">
        <v>586</v>
      </c>
      <c r="E38">
        <v>234237.46943566771</v>
      </c>
      <c r="F38">
        <v>137263157.08930129</v>
      </c>
    </row>
    <row r="39" spans="1:6" x14ac:dyDescent="0.3">
      <c r="A39" s="79">
        <v>35</v>
      </c>
      <c r="B39" t="s">
        <v>175</v>
      </c>
      <c r="C39" t="s">
        <v>260</v>
      </c>
      <c r="D39">
        <v>1</v>
      </c>
      <c r="E39">
        <v>173478.26086956519</v>
      </c>
      <c r="F39">
        <v>173478.26086956519</v>
      </c>
    </row>
    <row r="40" spans="1:6" x14ac:dyDescent="0.3">
      <c r="A40" s="79">
        <v>36</v>
      </c>
      <c r="B40" t="s">
        <v>175</v>
      </c>
      <c r="C40" t="s">
        <v>261</v>
      </c>
      <c r="D40">
        <v>2</v>
      </c>
      <c r="E40">
        <v>127743.91025641029</v>
      </c>
      <c r="F40">
        <v>255487.8205128205</v>
      </c>
    </row>
    <row r="41" spans="1:6" x14ac:dyDescent="0.3">
      <c r="A41" s="79">
        <v>37</v>
      </c>
      <c r="B41" t="s">
        <v>175</v>
      </c>
      <c r="C41" t="s">
        <v>262</v>
      </c>
      <c r="D41">
        <v>4</v>
      </c>
      <c r="E41">
        <v>328958.14392008248</v>
      </c>
      <c r="F41">
        <v>1315832.5756803299</v>
      </c>
    </row>
    <row r="42" spans="1:6" x14ac:dyDescent="0.3">
      <c r="A42" s="79">
        <v>38</v>
      </c>
      <c r="B42" t="s">
        <v>9</v>
      </c>
      <c r="C42" t="s">
        <v>49</v>
      </c>
      <c r="D42">
        <v>182</v>
      </c>
      <c r="E42">
        <v>267662.9941021534</v>
      </c>
      <c r="F42">
        <v>48714664.926591918</v>
      </c>
    </row>
    <row r="43" spans="1:6" x14ac:dyDescent="0.3">
      <c r="A43" s="79">
        <v>39</v>
      </c>
      <c r="B43" t="s">
        <v>9</v>
      </c>
      <c r="C43" t="s">
        <v>50</v>
      </c>
      <c r="D43">
        <v>46</v>
      </c>
      <c r="E43">
        <v>199232.32687965981</v>
      </c>
      <c r="F43">
        <v>9164687.0364643484</v>
      </c>
    </row>
    <row r="44" spans="1:6" x14ac:dyDescent="0.3">
      <c r="A44" s="79">
        <v>40</v>
      </c>
      <c r="B44" t="s">
        <v>9</v>
      </c>
      <c r="C44" t="s">
        <v>51</v>
      </c>
      <c r="D44">
        <v>286</v>
      </c>
      <c r="E44">
        <v>218898.92420806451</v>
      </c>
      <c r="F44">
        <v>62605092.323506452</v>
      </c>
    </row>
    <row r="45" spans="1:6" x14ac:dyDescent="0.3">
      <c r="A45" s="79">
        <v>41</v>
      </c>
      <c r="B45" t="s">
        <v>9</v>
      </c>
      <c r="C45" t="s">
        <v>52</v>
      </c>
      <c r="D45">
        <v>109</v>
      </c>
      <c r="E45">
        <v>184961.92641955419</v>
      </c>
      <c r="F45">
        <v>20160849.9797314</v>
      </c>
    </row>
    <row r="46" spans="1:6" x14ac:dyDescent="0.3">
      <c r="A46" s="79">
        <v>42</v>
      </c>
      <c r="B46" t="s">
        <v>9</v>
      </c>
      <c r="C46" t="s">
        <v>53</v>
      </c>
      <c r="D46">
        <v>52</v>
      </c>
      <c r="E46">
        <v>193473.46297682609</v>
      </c>
      <c r="F46">
        <v>10060620.074794959</v>
      </c>
    </row>
    <row r="47" spans="1:6" x14ac:dyDescent="0.3">
      <c r="A47" s="79">
        <v>43</v>
      </c>
      <c r="B47" t="s">
        <v>9</v>
      </c>
      <c r="C47" t="s">
        <v>54</v>
      </c>
      <c r="D47">
        <v>222</v>
      </c>
      <c r="E47">
        <v>262012.6044142858</v>
      </c>
      <c r="F47">
        <v>58166798.179971457</v>
      </c>
    </row>
    <row r="48" spans="1:6" x14ac:dyDescent="0.3">
      <c r="A48" s="79">
        <v>44</v>
      </c>
      <c r="B48" t="s">
        <v>9</v>
      </c>
      <c r="C48" t="s">
        <v>55</v>
      </c>
      <c r="D48">
        <v>60</v>
      </c>
      <c r="E48">
        <v>236854.6773936479</v>
      </c>
      <c r="F48">
        <v>14211280.643618871</v>
      </c>
    </row>
    <row r="49" spans="1:6" x14ac:dyDescent="0.3">
      <c r="A49" s="79">
        <v>45</v>
      </c>
      <c r="B49" t="s">
        <v>9</v>
      </c>
      <c r="C49" t="s">
        <v>56</v>
      </c>
      <c r="D49">
        <v>212</v>
      </c>
      <c r="E49">
        <v>185435.8403359346</v>
      </c>
      <c r="F49">
        <v>39312398.151218139</v>
      </c>
    </row>
    <row r="50" spans="1:6" x14ac:dyDescent="0.3">
      <c r="A50" s="79">
        <v>46</v>
      </c>
      <c r="B50" t="s">
        <v>9</v>
      </c>
      <c r="C50" t="s">
        <v>57</v>
      </c>
      <c r="D50">
        <v>246</v>
      </c>
      <c r="E50">
        <v>266376.29111386149</v>
      </c>
      <c r="F50">
        <v>65528567.614009939</v>
      </c>
    </row>
    <row r="51" spans="1:6" x14ac:dyDescent="0.3">
      <c r="A51" s="79">
        <v>47</v>
      </c>
      <c r="B51" t="s">
        <v>9</v>
      </c>
      <c r="C51" t="s">
        <v>58</v>
      </c>
      <c r="D51">
        <v>71</v>
      </c>
      <c r="E51">
        <v>206202.119378451</v>
      </c>
      <c r="F51">
        <v>14640350.475870021</v>
      </c>
    </row>
    <row r="52" spans="1:6" x14ac:dyDescent="0.3">
      <c r="A52" s="79">
        <v>48</v>
      </c>
      <c r="B52" t="s">
        <v>9</v>
      </c>
      <c r="C52" t="s">
        <v>59</v>
      </c>
      <c r="D52">
        <v>179</v>
      </c>
      <c r="E52">
        <v>198480.6291635212</v>
      </c>
      <c r="F52">
        <v>35528032.620270297</v>
      </c>
    </row>
    <row r="53" spans="1:6" x14ac:dyDescent="0.3">
      <c r="A53" s="79">
        <v>49</v>
      </c>
      <c r="B53" t="s">
        <v>10</v>
      </c>
      <c r="C53" t="s">
        <v>60</v>
      </c>
      <c r="D53">
        <v>419</v>
      </c>
      <c r="E53">
        <v>363014.86920445872</v>
      </c>
      <c r="F53">
        <v>152103230.19666821</v>
      </c>
    </row>
    <row r="54" spans="1:6" x14ac:dyDescent="0.3">
      <c r="A54" s="79">
        <v>50</v>
      </c>
      <c r="B54" t="s">
        <v>10</v>
      </c>
      <c r="C54" t="s">
        <v>61</v>
      </c>
      <c r="D54">
        <v>259</v>
      </c>
      <c r="E54">
        <v>393710.12277520919</v>
      </c>
      <c r="F54">
        <v>101970921.7987792</v>
      </c>
    </row>
    <row r="55" spans="1:6" x14ac:dyDescent="0.3">
      <c r="A55" s="79">
        <v>51</v>
      </c>
      <c r="B55" t="s">
        <v>10</v>
      </c>
      <c r="C55" t="s">
        <v>62</v>
      </c>
      <c r="D55">
        <v>250</v>
      </c>
      <c r="E55">
        <v>313250.42891729833</v>
      </c>
      <c r="F55">
        <v>78312607.229324564</v>
      </c>
    </row>
    <row r="56" spans="1:6" x14ac:dyDescent="0.3">
      <c r="A56" s="79">
        <v>52</v>
      </c>
      <c r="B56" t="s">
        <v>10</v>
      </c>
      <c r="C56" t="s">
        <v>63</v>
      </c>
      <c r="D56">
        <v>271</v>
      </c>
      <c r="E56">
        <v>341424.9122257905</v>
      </c>
      <c r="F56">
        <v>92526151.213189229</v>
      </c>
    </row>
    <row r="57" spans="1:6" x14ac:dyDescent="0.3">
      <c r="A57" s="79">
        <v>53</v>
      </c>
      <c r="B57" t="s">
        <v>10</v>
      </c>
      <c r="C57" t="s">
        <v>64</v>
      </c>
      <c r="D57">
        <v>267</v>
      </c>
      <c r="E57">
        <v>271772.76536992239</v>
      </c>
      <c r="F57">
        <v>72563328.353769273</v>
      </c>
    </row>
    <row r="58" spans="1:6" x14ac:dyDescent="0.3">
      <c r="A58" s="79">
        <v>54</v>
      </c>
      <c r="B58" t="s">
        <v>10</v>
      </c>
      <c r="C58" t="s">
        <v>65</v>
      </c>
      <c r="D58">
        <v>423</v>
      </c>
      <c r="E58">
        <v>303666.71438447002</v>
      </c>
      <c r="F58">
        <v>128451020.1846308</v>
      </c>
    </row>
    <row r="59" spans="1:6" x14ac:dyDescent="0.3">
      <c r="A59" s="79">
        <v>55</v>
      </c>
      <c r="B59" t="s">
        <v>10</v>
      </c>
      <c r="C59" t="s">
        <v>66</v>
      </c>
      <c r="D59">
        <v>281</v>
      </c>
      <c r="E59">
        <v>273247.5153981261</v>
      </c>
      <c r="F59">
        <v>76782551.826873437</v>
      </c>
    </row>
    <row r="60" spans="1:6" x14ac:dyDescent="0.3">
      <c r="A60" s="79">
        <v>56</v>
      </c>
      <c r="B60" t="s">
        <v>10</v>
      </c>
      <c r="C60" t="s">
        <v>67</v>
      </c>
      <c r="D60">
        <v>315</v>
      </c>
      <c r="E60">
        <v>286405.93669842847</v>
      </c>
      <c r="F60">
        <v>90217870.060004964</v>
      </c>
    </row>
    <row r="61" spans="1:6" x14ac:dyDescent="0.3">
      <c r="A61" s="79">
        <v>57</v>
      </c>
      <c r="B61" t="s">
        <v>10</v>
      </c>
      <c r="C61" t="s">
        <v>68</v>
      </c>
      <c r="D61">
        <v>352</v>
      </c>
      <c r="E61">
        <v>306212.53893103742</v>
      </c>
      <c r="F61">
        <v>107786813.7037251</v>
      </c>
    </row>
    <row r="62" spans="1:6" x14ac:dyDescent="0.3">
      <c r="A62" s="79">
        <v>58</v>
      </c>
      <c r="B62" t="s">
        <v>10</v>
      </c>
      <c r="C62" t="s">
        <v>69</v>
      </c>
      <c r="D62">
        <v>193</v>
      </c>
      <c r="E62">
        <v>352270.7541483125</v>
      </c>
      <c r="F62">
        <v>67988255.550624311</v>
      </c>
    </row>
    <row r="63" spans="1:6" x14ac:dyDescent="0.3">
      <c r="A63" s="79">
        <v>59</v>
      </c>
      <c r="B63" t="s">
        <v>10</v>
      </c>
      <c r="C63" t="s">
        <v>70</v>
      </c>
      <c r="D63">
        <v>66</v>
      </c>
      <c r="E63">
        <v>202476.66728674161</v>
      </c>
      <c r="F63">
        <v>13363460.04092494</v>
      </c>
    </row>
    <row r="64" spans="1:6" x14ac:dyDescent="0.3">
      <c r="A64" s="79">
        <v>60</v>
      </c>
      <c r="B64" t="s">
        <v>10</v>
      </c>
      <c r="C64" t="s">
        <v>71</v>
      </c>
      <c r="D64">
        <v>316</v>
      </c>
      <c r="E64">
        <v>361919.808937455</v>
      </c>
      <c r="F64">
        <v>114366659.62423579</v>
      </c>
    </row>
    <row r="65" spans="1:6" x14ac:dyDescent="0.3">
      <c r="A65" s="79">
        <v>61</v>
      </c>
      <c r="B65" t="s">
        <v>10</v>
      </c>
      <c r="C65" t="s">
        <v>72</v>
      </c>
      <c r="D65">
        <v>279</v>
      </c>
      <c r="E65">
        <v>394206.25695750961</v>
      </c>
      <c r="F65">
        <v>109983545.6911452</v>
      </c>
    </row>
    <row r="66" spans="1:6" x14ac:dyDescent="0.3">
      <c r="A66" s="79">
        <v>62</v>
      </c>
      <c r="B66" t="s">
        <v>10</v>
      </c>
      <c r="C66" t="s">
        <v>73</v>
      </c>
      <c r="D66">
        <v>265</v>
      </c>
      <c r="E66">
        <v>330086.21018853929</v>
      </c>
      <c r="F66">
        <v>87472845.699962914</v>
      </c>
    </row>
    <row r="67" spans="1:6" x14ac:dyDescent="0.3">
      <c r="A67" s="79">
        <v>63</v>
      </c>
      <c r="B67" t="s">
        <v>10</v>
      </c>
      <c r="C67" t="s">
        <v>74</v>
      </c>
      <c r="D67">
        <v>361</v>
      </c>
      <c r="E67">
        <v>291985.73321288981</v>
      </c>
      <c r="F67">
        <v>105406849.68985321</v>
      </c>
    </row>
    <row r="68" spans="1:6" x14ac:dyDescent="0.3">
      <c r="A68" s="79">
        <v>64</v>
      </c>
      <c r="B68" t="s">
        <v>10</v>
      </c>
      <c r="C68" t="s">
        <v>75</v>
      </c>
      <c r="D68">
        <v>343</v>
      </c>
      <c r="E68">
        <v>401893.92706076673</v>
      </c>
      <c r="F68">
        <v>137849616.98184299</v>
      </c>
    </row>
    <row r="69" spans="1:6" x14ac:dyDescent="0.3">
      <c r="A69" s="79">
        <v>65</v>
      </c>
      <c r="B69" t="s">
        <v>11</v>
      </c>
      <c r="C69" t="s">
        <v>76</v>
      </c>
      <c r="D69">
        <v>282</v>
      </c>
      <c r="E69">
        <v>358326.85058636387</v>
      </c>
      <c r="F69">
        <v>101048171.8653546</v>
      </c>
    </row>
    <row r="70" spans="1:6" x14ac:dyDescent="0.3">
      <c r="A70" s="79">
        <v>66</v>
      </c>
      <c r="B70" t="s">
        <v>11</v>
      </c>
      <c r="C70" t="s">
        <v>77</v>
      </c>
      <c r="D70">
        <v>111</v>
      </c>
      <c r="E70">
        <v>259205.05300789731</v>
      </c>
      <c r="F70">
        <v>28771760.883876599</v>
      </c>
    </row>
    <row r="71" spans="1:6" x14ac:dyDescent="0.3">
      <c r="A71" s="79">
        <v>67</v>
      </c>
      <c r="B71" t="s">
        <v>11</v>
      </c>
      <c r="C71" t="s">
        <v>78</v>
      </c>
      <c r="D71">
        <v>277</v>
      </c>
      <c r="E71">
        <v>301874.36851180182</v>
      </c>
      <c r="F71">
        <v>83619200.077769086</v>
      </c>
    </row>
    <row r="72" spans="1:6" x14ac:dyDescent="0.3">
      <c r="A72" s="79">
        <v>68</v>
      </c>
      <c r="B72" t="s">
        <v>11</v>
      </c>
      <c r="C72" t="s">
        <v>79</v>
      </c>
      <c r="D72">
        <v>332</v>
      </c>
      <c r="E72">
        <v>259157.90205533791</v>
      </c>
      <c r="F72">
        <v>86040423.482372195</v>
      </c>
    </row>
    <row r="73" spans="1:6" x14ac:dyDescent="0.3">
      <c r="A73" s="79">
        <v>69</v>
      </c>
      <c r="B73" t="s">
        <v>11</v>
      </c>
      <c r="C73" t="s">
        <v>80</v>
      </c>
      <c r="D73">
        <v>194</v>
      </c>
      <c r="E73">
        <v>329143.5917064122</v>
      </c>
      <c r="F73">
        <v>63853856.791043967</v>
      </c>
    </row>
    <row r="74" spans="1:6" x14ac:dyDescent="0.3">
      <c r="A74" s="79">
        <v>70</v>
      </c>
      <c r="B74" t="s">
        <v>11</v>
      </c>
      <c r="C74" t="s">
        <v>81</v>
      </c>
      <c r="D74">
        <v>181</v>
      </c>
      <c r="E74">
        <v>274458.54001027928</v>
      </c>
      <c r="F74">
        <v>49676995.741860554</v>
      </c>
    </row>
    <row r="75" spans="1:6" x14ac:dyDescent="0.3">
      <c r="A75" s="79">
        <v>71</v>
      </c>
      <c r="B75" t="s">
        <v>11</v>
      </c>
      <c r="C75" t="s">
        <v>82</v>
      </c>
      <c r="D75">
        <v>249</v>
      </c>
      <c r="E75">
        <v>276254.18046659091</v>
      </c>
      <c r="F75">
        <v>68787290.936181143</v>
      </c>
    </row>
    <row r="76" spans="1:6" x14ac:dyDescent="0.3">
      <c r="A76" s="79">
        <v>72</v>
      </c>
      <c r="B76" t="s">
        <v>11</v>
      </c>
      <c r="C76" t="s">
        <v>83</v>
      </c>
      <c r="D76">
        <v>225</v>
      </c>
      <c r="E76">
        <v>323926.70429317083</v>
      </c>
      <c r="F76">
        <v>72883508.465963438</v>
      </c>
    </row>
    <row r="77" spans="1:6" x14ac:dyDescent="0.3">
      <c r="A77" s="79">
        <v>73</v>
      </c>
      <c r="B77" t="s">
        <v>11</v>
      </c>
      <c r="C77" t="s">
        <v>84</v>
      </c>
      <c r="D77">
        <v>275</v>
      </c>
      <c r="E77">
        <v>387252.96069768938</v>
      </c>
      <c r="F77">
        <v>106494564.19186459</v>
      </c>
    </row>
    <row r="78" spans="1:6" x14ac:dyDescent="0.3">
      <c r="A78" s="79">
        <v>74</v>
      </c>
      <c r="B78" t="s">
        <v>11</v>
      </c>
      <c r="C78" t="s">
        <v>85</v>
      </c>
      <c r="D78">
        <v>272</v>
      </c>
      <c r="E78">
        <v>353067.75035072753</v>
      </c>
      <c r="F78">
        <v>96034428.095397875</v>
      </c>
    </row>
    <row r="79" spans="1:6" x14ac:dyDescent="0.3">
      <c r="A79" s="79">
        <v>75</v>
      </c>
      <c r="B79" t="s">
        <v>11</v>
      </c>
      <c r="C79" t="s">
        <v>86</v>
      </c>
      <c r="D79">
        <v>490</v>
      </c>
      <c r="E79">
        <v>283641.22748235229</v>
      </c>
      <c r="F79">
        <v>138984201.46635261</v>
      </c>
    </row>
    <row r="80" spans="1:6" x14ac:dyDescent="0.3">
      <c r="A80" s="79">
        <v>76</v>
      </c>
      <c r="B80" t="s">
        <v>11</v>
      </c>
      <c r="C80" t="s">
        <v>87</v>
      </c>
      <c r="D80">
        <v>182</v>
      </c>
      <c r="E80">
        <v>326857.06526731612</v>
      </c>
      <c r="F80">
        <v>59487985.878651537</v>
      </c>
    </row>
    <row r="81" spans="1:6" x14ac:dyDescent="0.3">
      <c r="A81" s="79">
        <v>77</v>
      </c>
      <c r="B81" t="s">
        <v>11</v>
      </c>
      <c r="C81" t="s">
        <v>88</v>
      </c>
      <c r="D81">
        <v>147</v>
      </c>
      <c r="E81">
        <v>328130.15952394402</v>
      </c>
      <c r="F81">
        <v>48235133.450019769</v>
      </c>
    </row>
    <row r="82" spans="1:6" x14ac:dyDescent="0.3">
      <c r="A82" s="79">
        <v>78</v>
      </c>
      <c r="B82" t="s">
        <v>11</v>
      </c>
      <c r="C82" t="s">
        <v>89</v>
      </c>
      <c r="D82">
        <v>337</v>
      </c>
      <c r="E82">
        <v>289331.61818728771</v>
      </c>
      <c r="F82">
        <v>97504755.329115957</v>
      </c>
    </row>
    <row r="83" spans="1:6" x14ac:dyDescent="0.3">
      <c r="A83" s="79">
        <v>79</v>
      </c>
      <c r="B83" t="s">
        <v>11</v>
      </c>
      <c r="C83" t="s">
        <v>90</v>
      </c>
      <c r="D83">
        <v>171</v>
      </c>
      <c r="E83">
        <v>280689.29161059478</v>
      </c>
      <c r="F83">
        <v>47997868.865411714</v>
      </c>
    </row>
    <row r="84" spans="1:6" x14ac:dyDescent="0.3">
      <c r="A84" s="79">
        <v>80</v>
      </c>
      <c r="B84" t="s">
        <v>11</v>
      </c>
      <c r="C84" t="s">
        <v>91</v>
      </c>
      <c r="D84">
        <v>260</v>
      </c>
      <c r="E84">
        <v>278616.32649457111</v>
      </c>
      <c r="F84">
        <v>72440244.888588488</v>
      </c>
    </row>
    <row r="85" spans="1:6" x14ac:dyDescent="0.3">
      <c r="A85" s="79">
        <v>81</v>
      </c>
      <c r="B85" t="s">
        <v>11</v>
      </c>
      <c r="C85" t="s">
        <v>92</v>
      </c>
      <c r="D85">
        <v>261</v>
      </c>
      <c r="E85">
        <v>255745.7529410024</v>
      </c>
      <c r="F85">
        <v>66749641.517601617</v>
      </c>
    </row>
    <row r="86" spans="1:6" x14ac:dyDescent="0.3">
      <c r="A86" s="79">
        <v>82</v>
      </c>
      <c r="B86" t="s">
        <v>12</v>
      </c>
      <c r="C86" t="s">
        <v>93</v>
      </c>
      <c r="D86">
        <v>162</v>
      </c>
      <c r="E86">
        <v>305518.82381904958</v>
      </c>
      <c r="F86">
        <v>49494049.458686039</v>
      </c>
    </row>
    <row r="87" spans="1:6" x14ac:dyDescent="0.3">
      <c r="A87" s="79">
        <v>83</v>
      </c>
      <c r="B87" t="s">
        <v>12</v>
      </c>
      <c r="C87" t="s">
        <v>94</v>
      </c>
      <c r="D87">
        <v>411</v>
      </c>
      <c r="E87">
        <v>282814.21085635939</v>
      </c>
      <c r="F87">
        <v>116236640.6619637</v>
      </c>
    </row>
    <row r="88" spans="1:6" x14ac:dyDescent="0.3">
      <c r="A88" s="79">
        <v>84</v>
      </c>
      <c r="B88" t="s">
        <v>12</v>
      </c>
      <c r="C88" t="s">
        <v>95</v>
      </c>
      <c r="D88">
        <v>328</v>
      </c>
      <c r="E88">
        <v>356153.25478427962</v>
      </c>
      <c r="F88">
        <v>116818267.5692437</v>
      </c>
    </row>
    <row r="89" spans="1:6" x14ac:dyDescent="0.3">
      <c r="A89" s="79">
        <v>85</v>
      </c>
      <c r="B89" t="s">
        <v>12</v>
      </c>
      <c r="C89" t="s">
        <v>96</v>
      </c>
      <c r="D89">
        <v>393</v>
      </c>
      <c r="E89">
        <v>299365.28937407437</v>
      </c>
      <c r="F89">
        <v>117650558.7240113</v>
      </c>
    </row>
    <row r="90" spans="1:6" x14ac:dyDescent="0.3">
      <c r="A90" s="79">
        <v>86</v>
      </c>
      <c r="B90" t="s">
        <v>12</v>
      </c>
      <c r="C90" t="s">
        <v>97</v>
      </c>
      <c r="D90">
        <v>358</v>
      </c>
      <c r="E90">
        <v>316367.11523194623</v>
      </c>
      <c r="F90">
        <v>113259427.2530368</v>
      </c>
    </row>
    <row r="91" spans="1:6" x14ac:dyDescent="0.3">
      <c r="A91" s="79">
        <v>87</v>
      </c>
      <c r="B91" t="s">
        <v>12</v>
      </c>
      <c r="C91" t="s">
        <v>98</v>
      </c>
      <c r="D91">
        <v>745</v>
      </c>
      <c r="E91">
        <v>408327.90874783602</v>
      </c>
      <c r="F91">
        <v>304204292.01713783</v>
      </c>
    </row>
    <row r="92" spans="1:6" x14ac:dyDescent="0.3">
      <c r="A92" s="79">
        <v>88</v>
      </c>
      <c r="B92" t="s">
        <v>12</v>
      </c>
      <c r="C92" t="s">
        <v>99</v>
      </c>
      <c r="D92">
        <v>257</v>
      </c>
      <c r="E92">
        <v>343403.66334111762</v>
      </c>
      <c r="F92">
        <v>88254741.478667215</v>
      </c>
    </row>
    <row r="93" spans="1:6" x14ac:dyDescent="0.3">
      <c r="A93" s="79">
        <v>89</v>
      </c>
      <c r="B93" t="s">
        <v>12</v>
      </c>
      <c r="C93" t="s">
        <v>100</v>
      </c>
      <c r="D93">
        <v>303</v>
      </c>
      <c r="E93">
        <v>288377.84597213363</v>
      </c>
      <c r="F93">
        <v>87378487.329556495</v>
      </c>
    </row>
    <row r="94" spans="1:6" x14ac:dyDescent="0.3">
      <c r="A94" s="79">
        <v>90</v>
      </c>
      <c r="B94" t="s">
        <v>13</v>
      </c>
      <c r="C94" t="s">
        <v>177</v>
      </c>
      <c r="D94">
        <v>32</v>
      </c>
      <c r="E94">
        <v>176392.08745261261</v>
      </c>
      <c r="F94">
        <v>5644546.7984836018</v>
      </c>
    </row>
    <row r="95" spans="1:6" x14ac:dyDescent="0.3">
      <c r="A95" s="79">
        <v>91</v>
      </c>
      <c r="B95" t="s">
        <v>13</v>
      </c>
      <c r="C95" t="s">
        <v>178</v>
      </c>
      <c r="D95">
        <v>57</v>
      </c>
      <c r="E95">
        <v>172970.78259248749</v>
      </c>
      <c r="F95">
        <v>9859334.6077717859</v>
      </c>
    </row>
    <row r="96" spans="1:6" x14ac:dyDescent="0.3">
      <c r="A96" s="79">
        <v>92</v>
      </c>
      <c r="B96" t="s">
        <v>13</v>
      </c>
      <c r="C96" t="s">
        <v>101</v>
      </c>
      <c r="D96">
        <v>48</v>
      </c>
      <c r="E96">
        <v>113855.0520471347</v>
      </c>
      <c r="F96">
        <v>5465042.4982624678</v>
      </c>
    </row>
    <row r="97" spans="1:6" x14ac:dyDescent="0.3">
      <c r="A97" s="79">
        <v>93</v>
      </c>
      <c r="B97" t="s">
        <v>13</v>
      </c>
      <c r="C97" t="s">
        <v>102</v>
      </c>
      <c r="D97">
        <v>42</v>
      </c>
      <c r="E97">
        <v>171410.15528131291</v>
      </c>
      <c r="F97">
        <v>7199226.5218151426</v>
      </c>
    </row>
    <row r="98" spans="1:6" x14ac:dyDescent="0.3">
      <c r="A98" s="79">
        <v>94</v>
      </c>
      <c r="B98" t="s">
        <v>13</v>
      </c>
      <c r="C98" t="s">
        <v>169</v>
      </c>
      <c r="D98">
        <v>19</v>
      </c>
      <c r="E98">
        <v>164977.08684040379</v>
      </c>
      <c r="F98">
        <v>3134564.6499676718</v>
      </c>
    </row>
    <row r="99" spans="1:6" x14ac:dyDescent="0.3">
      <c r="A99" s="79">
        <v>95</v>
      </c>
      <c r="B99" t="s">
        <v>13</v>
      </c>
      <c r="C99" t="s">
        <v>103</v>
      </c>
      <c r="D99">
        <v>21</v>
      </c>
      <c r="E99">
        <v>155903.8375025884</v>
      </c>
      <c r="F99">
        <v>3273980.5875543561</v>
      </c>
    </row>
    <row r="100" spans="1:6" x14ac:dyDescent="0.3">
      <c r="A100" s="79">
        <v>96</v>
      </c>
      <c r="B100" t="s">
        <v>13</v>
      </c>
      <c r="C100" t="s">
        <v>104</v>
      </c>
      <c r="D100">
        <v>121</v>
      </c>
      <c r="E100">
        <v>172366.19910850251</v>
      </c>
      <c r="F100">
        <v>20856310.09212881</v>
      </c>
    </row>
    <row r="101" spans="1:6" x14ac:dyDescent="0.3">
      <c r="A101" s="79">
        <v>97</v>
      </c>
      <c r="B101" t="s">
        <v>13</v>
      </c>
      <c r="C101" t="s">
        <v>105</v>
      </c>
      <c r="D101">
        <v>18</v>
      </c>
      <c r="E101">
        <v>127669.3746680349</v>
      </c>
      <c r="F101">
        <v>2298048.7440246288</v>
      </c>
    </row>
    <row r="102" spans="1:6" x14ac:dyDescent="0.3">
      <c r="A102" s="79">
        <v>98</v>
      </c>
      <c r="B102" t="s">
        <v>13</v>
      </c>
      <c r="C102" t="s">
        <v>106</v>
      </c>
      <c r="D102">
        <v>260</v>
      </c>
      <c r="E102">
        <v>200824.34680490691</v>
      </c>
      <c r="F102">
        <v>52214330.169275798</v>
      </c>
    </row>
    <row r="103" spans="1:6" x14ac:dyDescent="0.3">
      <c r="A103" s="79">
        <v>99</v>
      </c>
      <c r="B103" t="s">
        <v>13</v>
      </c>
      <c r="C103" t="s">
        <v>107</v>
      </c>
      <c r="D103">
        <v>37</v>
      </c>
      <c r="E103">
        <v>156694.11603304959</v>
      </c>
      <c r="F103">
        <v>5797682.2932228372</v>
      </c>
    </row>
    <row r="104" spans="1:6" x14ac:dyDescent="0.3">
      <c r="A104" s="79">
        <v>100</v>
      </c>
      <c r="B104" t="s">
        <v>14</v>
      </c>
      <c r="C104" t="s">
        <v>108</v>
      </c>
      <c r="D104">
        <v>328</v>
      </c>
      <c r="E104">
        <v>841512.66301810392</v>
      </c>
      <c r="F104">
        <v>276016153.4699381</v>
      </c>
    </row>
    <row r="105" spans="1:6" x14ac:dyDescent="0.3">
      <c r="A105" s="79">
        <v>101</v>
      </c>
      <c r="B105" t="s">
        <v>14</v>
      </c>
      <c r="C105" t="s">
        <v>109</v>
      </c>
      <c r="D105">
        <v>691</v>
      </c>
      <c r="E105">
        <v>498102.24969661387</v>
      </c>
      <c r="F105">
        <v>344188654.54036021</v>
      </c>
    </row>
    <row r="106" spans="1:6" x14ac:dyDescent="0.3">
      <c r="A106" s="79">
        <v>102</v>
      </c>
      <c r="B106" t="s">
        <v>14</v>
      </c>
      <c r="C106" t="s">
        <v>110</v>
      </c>
      <c r="D106">
        <v>423</v>
      </c>
      <c r="E106">
        <v>574654.49331654306</v>
      </c>
      <c r="F106">
        <v>243078850.6728977</v>
      </c>
    </row>
    <row r="107" spans="1:6" x14ac:dyDescent="0.3">
      <c r="A107" s="79">
        <v>103</v>
      </c>
      <c r="B107" t="s">
        <v>14</v>
      </c>
      <c r="C107" t="s">
        <v>111</v>
      </c>
      <c r="D107">
        <v>270</v>
      </c>
      <c r="E107">
        <v>501553.88149845682</v>
      </c>
      <c r="F107">
        <v>135419548.0045833</v>
      </c>
    </row>
    <row r="108" spans="1:6" x14ac:dyDescent="0.3">
      <c r="A108" s="79">
        <v>104</v>
      </c>
      <c r="B108" t="s">
        <v>14</v>
      </c>
      <c r="C108" t="s">
        <v>112</v>
      </c>
      <c r="D108">
        <v>367</v>
      </c>
      <c r="E108">
        <v>543706.38061856676</v>
      </c>
      <c r="F108">
        <v>199540241.68701401</v>
      </c>
    </row>
    <row r="109" spans="1:6" x14ac:dyDescent="0.3">
      <c r="A109" s="79">
        <v>105</v>
      </c>
      <c r="B109" t="s">
        <v>14</v>
      </c>
      <c r="C109" t="s">
        <v>113</v>
      </c>
      <c r="D109">
        <v>1073</v>
      </c>
      <c r="E109">
        <v>675211.7731346353</v>
      </c>
      <c r="F109">
        <v>724502232.57346368</v>
      </c>
    </row>
    <row r="110" spans="1:6" x14ac:dyDescent="0.3">
      <c r="A110" s="79">
        <v>106</v>
      </c>
      <c r="B110" t="s">
        <v>14</v>
      </c>
      <c r="C110" t="s">
        <v>114</v>
      </c>
      <c r="D110">
        <v>653</v>
      </c>
      <c r="E110">
        <v>453056.71750507079</v>
      </c>
      <c r="F110">
        <v>295846036.53081131</v>
      </c>
    </row>
    <row r="111" spans="1:6" x14ac:dyDescent="0.3">
      <c r="A111" s="79">
        <v>107</v>
      </c>
      <c r="B111" t="s">
        <v>14</v>
      </c>
      <c r="C111" t="s">
        <v>115</v>
      </c>
      <c r="D111">
        <v>757</v>
      </c>
      <c r="E111">
        <v>676899.73624322889</v>
      </c>
      <c r="F111">
        <v>512413100.3361243</v>
      </c>
    </row>
    <row r="112" spans="1:6" x14ac:dyDescent="0.3">
      <c r="A112" s="79">
        <v>108</v>
      </c>
      <c r="B112" t="s">
        <v>14</v>
      </c>
      <c r="C112" t="s">
        <v>116</v>
      </c>
      <c r="D112">
        <v>790</v>
      </c>
      <c r="E112">
        <v>813152.67211662536</v>
      </c>
      <c r="F112">
        <v>642390610.97213399</v>
      </c>
    </row>
    <row r="113" spans="1:6" x14ac:dyDescent="0.3">
      <c r="A113" s="79">
        <v>109</v>
      </c>
      <c r="B113" t="s">
        <v>14</v>
      </c>
      <c r="C113" t="s">
        <v>117</v>
      </c>
      <c r="D113">
        <v>209</v>
      </c>
      <c r="E113">
        <v>739951.41949860007</v>
      </c>
      <c r="F113">
        <v>154649846.67520741</v>
      </c>
    </row>
    <row r="114" spans="1:6" x14ac:dyDescent="0.3">
      <c r="A114" s="79">
        <v>110</v>
      </c>
      <c r="B114" t="s">
        <v>15</v>
      </c>
      <c r="C114" t="s">
        <v>118</v>
      </c>
      <c r="D114">
        <v>559</v>
      </c>
      <c r="E114">
        <v>260388.38812746189</v>
      </c>
      <c r="F114">
        <v>145557108.9632512</v>
      </c>
    </row>
    <row r="115" spans="1:6" x14ac:dyDescent="0.3">
      <c r="A115" s="79">
        <v>111</v>
      </c>
      <c r="B115" t="s">
        <v>15</v>
      </c>
      <c r="C115" t="s">
        <v>179</v>
      </c>
      <c r="D115">
        <v>26</v>
      </c>
      <c r="E115">
        <v>294441.16928988602</v>
      </c>
      <c r="F115">
        <v>7655470.4015370375</v>
      </c>
    </row>
    <row r="116" spans="1:6" x14ac:dyDescent="0.3">
      <c r="A116" s="79">
        <v>112</v>
      </c>
      <c r="B116" t="s">
        <v>15</v>
      </c>
      <c r="C116" t="s">
        <v>119</v>
      </c>
      <c r="D116">
        <v>383</v>
      </c>
      <c r="E116">
        <v>292508.91580660263</v>
      </c>
      <c r="F116">
        <v>112030914.7539288</v>
      </c>
    </row>
    <row r="117" spans="1:6" x14ac:dyDescent="0.3">
      <c r="A117" s="79">
        <v>113</v>
      </c>
      <c r="B117" t="s">
        <v>15</v>
      </c>
      <c r="C117" t="s">
        <v>120</v>
      </c>
      <c r="D117">
        <v>347</v>
      </c>
      <c r="E117">
        <v>332394.98624936532</v>
      </c>
      <c r="F117">
        <v>115341060.2285298</v>
      </c>
    </row>
    <row r="118" spans="1:6" x14ac:dyDescent="0.3">
      <c r="A118" s="79">
        <v>114</v>
      </c>
      <c r="B118" t="s">
        <v>15</v>
      </c>
      <c r="C118" t="s">
        <v>121</v>
      </c>
      <c r="D118">
        <v>670</v>
      </c>
      <c r="E118">
        <v>269307.29533917672</v>
      </c>
      <c r="F118">
        <v>180435887.87724841</v>
      </c>
    </row>
    <row r="119" spans="1:6" x14ac:dyDescent="0.3">
      <c r="A119" s="79">
        <v>115</v>
      </c>
      <c r="B119" t="s">
        <v>15</v>
      </c>
      <c r="C119" t="s">
        <v>122</v>
      </c>
      <c r="D119">
        <v>651</v>
      </c>
      <c r="E119">
        <v>270323.71437692997</v>
      </c>
      <c r="F119">
        <v>175980738.0593814</v>
      </c>
    </row>
    <row r="120" spans="1:6" x14ac:dyDescent="0.3">
      <c r="A120" s="79">
        <v>116</v>
      </c>
      <c r="B120" t="s">
        <v>15</v>
      </c>
      <c r="C120" t="s">
        <v>123</v>
      </c>
      <c r="D120">
        <v>300</v>
      </c>
      <c r="E120">
        <v>221508.53715457831</v>
      </c>
      <c r="F120">
        <v>66452561.146373473</v>
      </c>
    </row>
    <row r="121" spans="1:6" x14ac:dyDescent="0.3">
      <c r="A121" s="79">
        <v>117</v>
      </c>
      <c r="B121" t="s">
        <v>15</v>
      </c>
      <c r="C121" t="s">
        <v>124</v>
      </c>
      <c r="D121">
        <v>279</v>
      </c>
      <c r="E121">
        <v>313520.68881529802</v>
      </c>
      <c r="F121">
        <v>87472272.17946814</v>
      </c>
    </row>
    <row r="122" spans="1:6" x14ac:dyDescent="0.3">
      <c r="A122" s="79">
        <v>118</v>
      </c>
      <c r="B122" t="s">
        <v>15</v>
      </c>
      <c r="C122" t="s">
        <v>125</v>
      </c>
      <c r="D122">
        <v>282</v>
      </c>
      <c r="E122">
        <v>274577.87616603082</v>
      </c>
      <c r="F122">
        <v>77430961.078820691</v>
      </c>
    </row>
    <row r="123" spans="1:6" x14ac:dyDescent="0.3">
      <c r="A123" s="79">
        <v>119</v>
      </c>
      <c r="B123" t="s">
        <v>15</v>
      </c>
      <c r="C123" t="s">
        <v>170</v>
      </c>
      <c r="D123">
        <v>373</v>
      </c>
      <c r="E123">
        <v>286556.84147977998</v>
      </c>
      <c r="F123">
        <v>106885701.8719579</v>
      </c>
    </row>
    <row r="124" spans="1:6" x14ac:dyDescent="0.3">
      <c r="A124" s="79">
        <v>120</v>
      </c>
      <c r="B124" t="s">
        <v>15</v>
      </c>
      <c r="C124" t="s">
        <v>126</v>
      </c>
      <c r="D124">
        <v>318</v>
      </c>
      <c r="E124">
        <v>275385.22875509522</v>
      </c>
      <c r="F124">
        <v>87572502.744120285</v>
      </c>
    </row>
    <row r="125" spans="1:6" x14ac:dyDescent="0.3">
      <c r="A125" s="79">
        <v>121</v>
      </c>
      <c r="B125" t="s">
        <v>15</v>
      </c>
      <c r="C125" t="s">
        <v>127</v>
      </c>
      <c r="D125">
        <v>369</v>
      </c>
      <c r="E125">
        <v>357281.1841270008</v>
      </c>
      <c r="F125">
        <v>131836756.9428633</v>
      </c>
    </row>
    <row r="126" spans="1:6" x14ac:dyDescent="0.3">
      <c r="A126" s="79">
        <v>122</v>
      </c>
      <c r="B126" t="s">
        <v>16</v>
      </c>
      <c r="C126" t="s">
        <v>128</v>
      </c>
      <c r="D126">
        <v>430</v>
      </c>
      <c r="E126">
        <v>354778.649847569</v>
      </c>
      <c r="F126">
        <v>152554819.43445471</v>
      </c>
    </row>
    <row r="127" spans="1:6" x14ac:dyDescent="0.3">
      <c r="A127" s="79">
        <v>123</v>
      </c>
      <c r="B127" t="s">
        <v>16</v>
      </c>
      <c r="C127" t="s">
        <v>129</v>
      </c>
      <c r="D127">
        <v>336</v>
      </c>
      <c r="E127">
        <v>442851.74569948972</v>
      </c>
      <c r="F127">
        <v>148798186.5550285</v>
      </c>
    </row>
    <row r="128" spans="1:6" x14ac:dyDescent="0.3">
      <c r="A128" s="79">
        <v>124</v>
      </c>
      <c r="B128" t="s">
        <v>16</v>
      </c>
      <c r="C128" t="s">
        <v>130</v>
      </c>
      <c r="D128">
        <v>367</v>
      </c>
      <c r="E128">
        <v>329033.32447638159</v>
      </c>
      <c r="F128">
        <v>120755230.08283199</v>
      </c>
    </row>
    <row r="129" spans="1:6" x14ac:dyDescent="0.3">
      <c r="A129" s="79">
        <v>125</v>
      </c>
      <c r="B129" t="s">
        <v>16</v>
      </c>
      <c r="C129" t="s">
        <v>131</v>
      </c>
      <c r="D129">
        <v>540</v>
      </c>
      <c r="E129">
        <v>320152.63564729813</v>
      </c>
      <c r="F129">
        <v>172882423.24954101</v>
      </c>
    </row>
    <row r="130" spans="1:6" x14ac:dyDescent="0.3">
      <c r="A130" s="79">
        <v>126</v>
      </c>
      <c r="B130" t="s">
        <v>16</v>
      </c>
      <c r="C130" t="s">
        <v>132</v>
      </c>
      <c r="D130">
        <v>236</v>
      </c>
      <c r="E130">
        <v>327157.88238910539</v>
      </c>
      <c r="F130">
        <v>77209260.243828893</v>
      </c>
    </row>
    <row r="131" spans="1:6" x14ac:dyDescent="0.3">
      <c r="A131" s="79">
        <v>127</v>
      </c>
      <c r="B131" t="s">
        <v>16</v>
      </c>
      <c r="C131" t="s">
        <v>133</v>
      </c>
      <c r="D131">
        <v>456</v>
      </c>
      <c r="E131">
        <v>394000.17139867111</v>
      </c>
      <c r="F131">
        <v>179664078.157794</v>
      </c>
    </row>
    <row r="132" spans="1:6" x14ac:dyDescent="0.3">
      <c r="A132" s="79">
        <v>128</v>
      </c>
      <c r="B132" t="s">
        <v>16</v>
      </c>
      <c r="C132" t="s">
        <v>134</v>
      </c>
      <c r="D132">
        <v>349</v>
      </c>
      <c r="E132">
        <v>370079.3704626378</v>
      </c>
      <c r="F132">
        <v>129157700.2914606</v>
      </c>
    </row>
    <row r="133" spans="1:6" x14ac:dyDescent="0.3">
      <c r="A133" s="79">
        <v>129</v>
      </c>
      <c r="B133" t="s">
        <v>16</v>
      </c>
      <c r="C133" t="s">
        <v>135</v>
      </c>
      <c r="D133">
        <v>315</v>
      </c>
      <c r="E133">
        <v>267009.53049238189</v>
      </c>
      <c r="F133">
        <v>84108002.105100289</v>
      </c>
    </row>
    <row r="134" spans="1:6" x14ac:dyDescent="0.3">
      <c r="A134" s="79">
        <v>130</v>
      </c>
      <c r="B134" t="s">
        <v>16</v>
      </c>
      <c r="C134" t="s">
        <v>136</v>
      </c>
      <c r="D134">
        <v>413</v>
      </c>
      <c r="E134">
        <v>304705.60853347852</v>
      </c>
      <c r="F134">
        <v>125843416.3243266</v>
      </c>
    </row>
    <row r="135" spans="1:6" x14ac:dyDescent="0.3">
      <c r="A135" s="79">
        <v>131</v>
      </c>
      <c r="B135" t="s">
        <v>16</v>
      </c>
      <c r="C135" t="s">
        <v>137</v>
      </c>
      <c r="D135">
        <v>482</v>
      </c>
      <c r="E135">
        <v>356351.18560835329</v>
      </c>
      <c r="F135">
        <v>171761271.46322629</v>
      </c>
    </row>
    <row r="136" spans="1:6" x14ac:dyDescent="0.3">
      <c r="A136" s="79">
        <v>132</v>
      </c>
      <c r="B136" t="s">
        <v>16</v>
      </c>
      <c r="C136" t="s">
        <v>138</v>
      </c>
      <c r="D136">
        <v>695</v>
      </c>
      <c r="E136">
        <v>238662.96591767791</v>
      </c>
      <c r="F136">
        <v>165870761.3127861</v>
      </c>
    </row>
    <row r="137" spans="1:6" x14ac:dyDescent="0.3">
      <c r="A137" s="79">
        <v>133</v>
      </c>
      <c r="B137" t="s">
        <v>16</v>
      </c>
      <c r="C137" t="s">
        <v>139</v>
      </c>
      <c r="D137">
        <v>420</v>
      </c>
      <c r="E137">
        <v>277802.81207544229</v>
      </c>
      <c r="F137">
        <v>116677181.07168581</v>
      </c>
    </row>
    <row r="138" spans="1:6" x14ac:dyDescent="0.3">
      <c r="A138" s="79">
        <v>134</v>
      </c>
      <c r="B138" t="s">
        <v>17</v>
      </c>
      <c r="C138" t="s">
        <v>140</v>
      </c>
      <c r="D138">
        <v>333</v>
      </c>
      <c r="E138">
        <v>236972.0240836571</v>
      </c>
      <c r="F138">
        <v>78911684.019857809</v>
      </c>
    </row>
    <row r="139" spans="1:6" x14ac:dyDescent="0.3">
      <c r="A139" s="79">
        <v>135</v>
      </c>
      <c r="B139" t="s">
        <v>17</v>
      </c>
      <c r="C139" t="s">
        <v>141</v>
      </c>
      <c r="D139">
        <v>222</v>
      </c>
      <c r="E139">
        <v>231368.9328604218</v>
      </c>
      <c r="F139">
        <v>51363903.095013641</v>
      </c>
    </row>
    <row r="140" spans="1:6" x14ac:dyDescent="0.3">
      <c r="A140" s="79">
        <v>136</v>
      </c>
      <c r="B140" t="s">
        <v>17</v>
      </c>
      <c r="C140" t="s">
        <v>142</v>
      </c>
      <c r="D140">
        <v>185</v>
      </c>
      <c r="E140">
        <v>274483.78794777527</v>
      </c>
      <c r="F140">
        <v>50779500.770338438</v>
      </c>
    </row>
    <row r="141" spans="1:6" x14ac:dyDescent="0.3">
      <c r="A141" s="79">
        <v>137</v>
      </c>
      <c r="B141" t="s">
        <v>17</v>
      </c>
      <c r="C141" t="s">
        <v>143</v>
      </c>
      <c r="D141">
        <v>629</v>
      </c>
      <c r="E141">
        <v>399564.14879106038</v>
      </c>
      <c r="F141">
        <v>251325849.58957699</v>
      </c>
    </row>
    <row r="142" spans="1:6" x14ac:dyDescent="0.3">
      <c r="A142" s="79">
        <v>138</v>
      </c>
      <c r="B142" t="s">
        <v>17</v>
      </c>
      <c r="C142" t="s">
        <v>144</v>
      </c>
      <c r="D142">
        <v>231</v>
      </c>
      <c r="E142">
        <v>399535.72246778908</v>
      </c>
      <c r="F142">
        <v>92292751.890059292</v>
      </c>
    </row>
    <row r="143" spans="1:6" x14ac:dyDescent="0.3">
      <c r="A143" s="79">
        <v>139</v>
      </c>
      <c r="B143" t="s">
        <v>17</v>
      </c>
      <c r="C143" t="s">
        <v>145</v>
      </c>
      <c r="D143">
        <v>253</v>
      </c>
      <c r="E143">
        <v>266814.18234934763</v>
      </c>
      <c r="F143">
        <v>67503988.13438493</v>
      </c>
    </row>
    <row r="144" spans="1:6" x14ac:dyDescent="0.3">
      <c r="A144" s="79">
        <v>140</v>
      </c>
      <c r="B144" t="s">
        <v>17</v>
      </c>
      <c r="C144" t="s">
        <v>146</v>
      </c>
      <c r="D144">
        <v>213</v>
      </c>
      <c r="E144">
        <v>294562.20611022948</v>
      </c>
      <c r="F144">
        <v>62741749.901478887</v>
      </c>
    </row>
    <row r="145" spans="1:6" x14ac:dyDescent="0.3">
      <c r="A145" s="79">
        <v>141</v>
      </c>
      <c r="B145" t="s">
        <v>17</v>
      </c>
      <c r="C145" t="s">
        <v>147</v>
      </c>
      <c r="D145">
        <v>292</v>
      </c>
      <c r="E145">
        <v>315659.74064562732</v>
      </c>
      <c r="F145">
        <v>92172644.268523172</v>
      </c>
    </row>
    <row r="146" spans="1:6" x14ac:dyDescent="0.3">
      <c r="A146" s="79">
        <v>142</v>
      </c>
      <c r="B146" t="s">
        <v>17</v>
      </c>
      <c r="C146" t="s">
        <v>148</v>
      </c>
      <c r="D146">
        <v>286</v>
      </c>
      <c r="E146">
        <v>345110.01554321998</v>
      </c>
      <c r="F146">
        <v>98701464.445360929</v>
      </c>
    </row>
    <row r="147" spans="1:6" x14ac:dyDescent="0.3">
      <c r="A147" s="79">
        <v>143</v>
      </c>
      <c r="B147" t="s">
        <v>17</v>
      </c>
      <c r="C147" t="s">
        <v>149</v>
      </c>
      <c r="D147">
        <v>257</v>
      </c>
      <c r="E147">
        <v>313901.87104189722</v>
      </c>
      <c r="F147">
        <v>80672780.857767567</v>
      </c>
    </row>
    <row r="148" spans="1:6" x14ac:dyDescent="0.3">
      <c r="A148" s="79">
        <v>144</v>
      </c>
      <c r="B148" t="s">
        <v>17</v>
      </c>
      <c r="C148" t="s">
        <v>150</v>
      </c>
      <c r="D148">
        <v>245</v>
      </c>
      <c r="E148">
        <v>278898.48289860191</v>
      </c>
      <c r="F148">
        <v>68330128.310157463</v>
      </c>
    </row>
    <row r="149" spans="1:6" x14ac:dyDescent="0.3">
      <c r="A149" s="79">
        <v>145</v>
      </c>
      <c r="B149" t="s">
        <v>17</v>
      </c>
      <c r="C149" t="s">
        <v>151</v>
      </c>
      <c r="D149">
        <v>311</v>
      </c>
      <c r="E149">
        <v>263224.41753726639</v>
      </c>
      <c r="F149">
        <v>81862793.854089871</v>
      </c>
    </row>
    <row r="150" spans="1:6" x14ac:dyDescent="0.3">
      <c r="A150" s="79">
        <v>146</v>
      </c>
      <c r="B150" t="s">
        <v>17</v>
      </c>
      <c r="C150" t="s">
        <v>152</v>
      </c>
      <c r="D150">
        <v>337</v>
      </c>
      <c r="E150">
        <v>284809.12853172811</v>
      </c>
      <c r="F150">
        <v>95980676.315192357</v>
      </c>
    </row>
    <row r="151" spans="1:6" x14ac:dyDescent="0.3">
      <c r="A151" s="79">
        <v>147</v>
      </c>
      <c r="B151" t="s">
        <v>17</v>
      </c>
      <c r="C151" t="s">
        <v>153</v>
      </c>
      <c r="D151">
        <v>307</v>
      </c>
      <c r="E151">
        <v>296317.55243367341</v>
      </c>
      <c r="F151">
        <v>90969488.597137719</v>
      </c>
    </row>
    <row r="152" spans="1:6" x14ac:dyDescent="0.3">
      <c r="A152" s="79">
        <v>148</v>
      </c>
      <c r="B152" t="s">
        <v>17</v>
      </c>
      <c r="C152" t="s">
        <v>154</v>
      </c>
      <c r="D152">
        <v>334</v>
      </c>
      <c r="E152">
        <v>278075.38299197832</v>
      </c>
      <c r="F152">
        <v>92877177.919320732</v>
      </c>
    </row>
    <row r="153" spans="1:6" x14ac:dyDescent="0.3">
      <c r="A153" s="79">
        <v>149</v>
      </c>
      <c r="B153" t="s">
        <v>17</v>
      </c>
      <c r="C153" t="s">
        <v>155</v>
      </c>
      <c r="D153">
        <v>406</v>
      </c>
      <c r="E153">
        <v>272357.37852579559</v>
      </c>
      <c r="F153">
        <v>110577095.681473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782E-59BC-4222-861C-9495CB5FFCFA}">
  <sheetPr codeName="Лист18"/>
  <dimension ref="A1:N805"/>
  <sheetViews>
    <sheetView zoomScale="70" zoomScaleNormal="70" workbookViewId="0">
      <pane xSplit="1" ySplit="1" topLeftCell="B779" activePane="bottomRight" state="frozen"/>
      <selection pane="topRight" activeCell="B1" sqref="B1"/>
      <selection pane="bottomLeft" activeCell="A2" sqref="A2"/>
      <selection pane="bottomRight" activeCell="E796" sqref="E796"/>
    </sheetView>
  </sheetViews>
  <sheetFormatPr defaultRowHeight="14.4" x14ac:dyDescent="0.3"/>
  <cols>
    <col min="1" max="1" width="18.77734375" customWidth="1"/>
    <col min="2" max="2" width="20.21875" bestFit="1" customWidth="1"/>
    <col min="3" max="3" width="21.44140625" customWidth="1"/>
    <col min="4" max="4" width="24.44140625" style="34" customWidth="1"/>
    <col min="5" max="6" width="24.44140625" customWidth="1"/>
    <col min="7" max="7" width="7.44140625" bestFit="1" customWidth="1"/>
    <col min="8" max="8" width="4.21875" bestFit="1" customWidth="1"/>
    <col min="9" max="9" width="4.33203125" bestFit="1" customWidth="1"/>
    <col min="10" max="10" width="10" bestFit="1" customWidth="1"/>
    <col min="11" max="11" width="7.44140625" bestFit="1" customWidth="1"/>
    <col min="12" max="12" width="10" bestFit="1" customWidth="1"/>
    <col min="13" max="13" width="9.21875" bestFit="1" customWidth="1"/>
    <col min="14" max="14" width="11.21875" bestFit="1" customWidth="1"/>
    <col min="16" max="16" width="13.77734375" customWidth="1"/>
  </cols>
  <sheetData>
    <row r="1" spans="1:6" ht="29.55" customHeight="1" x14ac:dyDescent="0.3">
      <c r="A1" s="173" t="s">
        <v>188</v>
      </c>
      <c r="B1" s="173" t="s">
        <v>186</v>
      </c>
      <c r="C1" s="173" t="s">
        <v>189</v>
      </c>
      <c r="D1" s="199" t="s">
        <v>187</v>
      </c>
      <c r="E1" s="173" t="s">
        <v>207</v>
      </c>
      <c r="F1" s="173" t="s">
        <v>208</v>
      </c>
    </row>
    <row r="2" spans="1:6" ht="14.55" customHeight="1" x14ac:dyDescent="0.3">
      <c r="A2" s="180">
        <v>43862</v>
      </c>
      <c r="B2" s="179" t="s">
        <v>7</v>
      </c>
      <c r="C2" s="181">
        <v>4978</v>
      </c>
      <c r="D2" s="200">
        <v>186881.59883597228</v>
      </c>
      <c r="E2" s="174" t="str">
        <f>IFERROR(DT_data[[#This Row],[Объем предложения]]/#REF!-1,"")</f>
        <v/>
      </c>
      <c r="F2" s="174" t="str">
        <f>IFERROR(DT_data[[#This Row],[Средневзвешенная цена]]/#REF!-1,"")</f>
        <v/>
      </c>
    </row>
    <row r="3" spans="1:6" ht="14.55" customHeight="1" x14ac:dyDescent="0.3">
      <c r="A3" s="180">
        <v>43862</v>
      </c>
      <c r="B3" s="181" t="s">
        <v>8</v>
      </c>
      <c r="C3" s="181">
        <v>6871</v>
      </c>
      <c r="D3" s="200">
        <v>250628.75470015861</v>
      </c>
      <c r="E3" s="174" t="str">
        <f>IFERROR(DT_data[[#This Row],[Объем предложения]]/#REF!-1,"")</f>
        <v/>
      </c>
      <c r="F3" s="174" t="str">
        <f>IFERROR(DT_data[[#This Row],[Средневзвешенная цена]]/#REF!-1,"")</f>
        <v/>
      </c>
    </row>
    <row r="4" spans="1:6" ht="14.55" customHeight="1" x14ac:dyDescent="0.3">
      <c r="A4" s="180">
        <v>43862</v>
      </c>
      <c r="B4" s="181" t="s">
        <v>9</v>
      </c>
      <c r="C4" s="181">
        <v>904</v>
      </c>
      <c r="D4" s="200">
        <v>149719.01674303104</v>
      </c>
      <c r="E4" s="174" t="str">
        <f>IFERROR(DT_data[[#This Row],[Объем предложения]]/#REF!-1,"")</f>
        <v/>
      </c>
      <c r="F4" s="174" t="str">
        <f>IFERROR(DT_data[[#This Row],[Средневзвешенная цена]]/#REF!-1,"")</f>
        <v/>
      </c>
    </row>
    <row r="5" spans="1:6" ht="14.55" customHeight="1" x14ac:dyDescent="0.3">
      <c r="A5" s="180">
        <v>43862</v>
      </c>
      <c r="B5" s="181" t="s">
        <v>10</v>
      </c>
      <c r="C5" s="181">
        <v>5244</v>
      </c>
      <c r="D5" s="200">
        <v>219881.54225453085</v>
      </c>
      <c r="E5" s="174" t="str">
        <f>IFERROR(DT_data[[#This Row],[Объем предложения]]/#REF!-1,"")</f>
        <v/>
      </c>
      <c r="F5" s="174" t="str">
        <f>IFERROR(DT_data[[#This Row],[Средневзвешенная цена]]/#REF!-1,"")</f>
        <v/>
      </c>
    </row>
    <row r="6" spans="1:6" ht="14.55" customHeight="1" x14ac:dyDescent="0.3">
      <c r="A6" s="180">
        <v>43862</v>
      </c>
      <c r="B6" s="181" t="s">
        <v>11</v>
      </c>
      <c r="C6" s="181">
        <v>5331</v>
      </c>
      <c r="D6" s="200">
        <v>195689.13369485462</v>
      </c>
      <c r="E6" s="174" t="str">
        <f>IFERROR(DT_data[[#This Row],[Объем предложения]]/#REF!-1,"")</f>
        <v/>
      </c>
      <c r="F6" s="174" t="str">
        <f>IFERROR(DT_data[[#This Row],[Средневзвешенная цена]]/#REF!-1,"")</f>
        <v/>
      </c>
    </row>
    <row r="7" spans="1:6" ht="14.55" customHeight="1" x14ac:dyDescent="0.3">
      <c r="A7" s="180">
        <v>43862</v>
      </c>
      <c r="B7" s="181" t="s">
        <v>12</v>
      </c>
      <c r="C7" s="181">
        <v>3139</v>
      </c>
      <c r="D7" s="200">
        <v>211922.92506207706</v>
      </c>
      <c r="E7" s="174" t="str">
        <f>IFERROR(DT_data[[#This Row],[Объем предложения]]/#REF!-1,"")</f>
        <v/>
      </c>
      <c r="F7" s="174" t="str">
        <f>IFERROR(DT_data[[#This Row],[Средневзвешенная цена]]/#REF!-1,"")</f>
        <v/>
      </c>
    </row>
    <row r="8" spans="1:6" ht="14.55" customHeight="1" x14ac:dyDescent="0.3">
      <c r="A8" s="180">
        <v>43862</v>
      </c>
      <c r="B8" s="181" t="s">
        <v>13</v>
      </c>
      <c r="C8" s="181">
        <v>183</v>
      </c>
      <c r="D8" s="200">
        <v>107661.93485617486</v>
      </c>
      <c r="E8" s="174" t="str">
        <f>IFERROR(DT_data[[#This Row],[Объем предложения]]/#REF!-1,"")</f>
        <v/>
      </c>
      <c r="F8" s="174" t="str">
        <f>IFERROR(DT_data[[#This Row],[Средневзвешенная цена]]/#REF!-1,"")</f>
        <v/>
      </c>
    </row>
    <row r="9" spans="1:6" ht="14.55" customHeight="1" x14ac:dyDescent="0.3">
      <c r="A9" s="180">
        <v>43862</v>
      </c>
      <c r="B9" s="181" t="s">
        <v>14</v>
      </c>
      <c r="C9" s="181">
        <v>8180</v>
      </c>
      <c r="D9" s="200">
        <v>435844.15611544129</v>
      </c>
      <c r="E9" s="174" t="str">
        <f>IFERROR(DT_data[[#This Row],[Объем предложения]]/#REF!-1,"")</f>
        <v/>
      </c>
      <c r="F9" s="174" t="str">
        <f>IFERROR(DT_data[[#This Row],[Средневзвешенная цена]]/#REF!-1,"")</f>
        <v/>
      </c>
    </row>
    <row r="10" spans="1:6" ht="14.55" customHeight="1" x14ac:dyDescent="0.3">
      <c r="A10" s="180">
        <v>43862</v>
      </c>
      <c r="B10" s="181" t="s">
        <v>15</v>
      </c>
      <c r="C10" s="181">
        <v>5183</v>
      </c>
      <c r="D10" s="200">
        <v>177566.66483721207</v>
      </c>
      <c r="E10" s="174" t="str">
        <f>IFERROR(DT_data[[#This Row],[Объем предложения]]/#REF!-1,"")</f>
        <v/>
      </c>
      <c r="F10" s="174" t="str">
        <f>IFERROR(DT_data[[#This Row],[Средневзвешенная цена]]/#REF!-1,"")</f>
        <v/>
      </c>
    </row>
    <row r="11" spans="1:6" ht="14.55" customHeight="1" x14ac:dyDescent="0.3">
      <c r="A11" s="180">
        <v>43862</v>
      </c>
      <c r="B11" s="181" t="s">
        <v>16</v>
      </c>
      <c r="C11" s="181">
        <v>5809</v>
      </c>
      <c r="D11" s="200">
        <v>219292.47650745051</v>
      </c>
      <c r="E11" s="174" t="str">
        <f>IFERROR(DT_data[[#This Row],[Объем предложения]]/#REF!-1,"")</f>
        <v/>
      </c>
      <c r="F11" s="174" t="str">
        <f>IFERROR(DT_data[[#This Row],[Средневзвешенная цена]]/#REF!-1,"")</f>
        <v/>
      </c>
    </row>
    <row r="12" spans="1:6" ht="14.55" customHeight="1" x14ac:dyDescent="0.3">
      <c r="A12" s="180">
        <v>43862</v>
      </c>
      <c r="B12" s="181" t="s">
        <v>17</v>
      </c>
      <c r="C12" s="181">
        <v>5316</v>
      </c>
      <c r="D12" s="200">
        <v>194781.37282670615</v>
      </c>
      <c r="E12" s="174" t="str">
        <f>IFERROR(DT_data[[#This Row],[Объем предложения]]/#REF!-1,"")</f>
        <v/>
      </c>
      <c r="F12" s="174" t="str">
        <f>IFERROR(DT_data[[#This Row],[Средневзвешенная цена]]/#REF!-1,"")</f>
        <v/>
      </c>
    </row>
    <row r="13" spans="1:6" ht="14.55" customHeight="1" x14ac:dyDescent="0.3">
      <c r="A13" s="180">
        <v>43862</v>
      </c>
      <c r="B13" s="181" t="s">
        <v>175</v>
      </c>
      <c r="C13" s="181">
        <v>0</v>
      </c>
      <c r="D13" s="200">
        <v>0</v>
      </c>
      <c r="E13" s="174" t="str">
        <f>IFERROR(DT_data[[#This Row],[Объем предложения]]/C1-1,"")</f>
        <v/>
      </c>
      <c r="F13" s="174" t="str">
        <f>IFERROR(DT_data[[#This Row],[Средневзвешенная цена]]/D1-1,"")</f>
        <v/>
      </c>
    </row>
    <row r="14" spans="1:6" ht="14.55" customHeight="1" x14ac:dyDescent="0.3">
      <c r="A14" s="180">
        <v>43891</v>
      </c>
      <c r="B14" s="179" t="s">
        <v>7</v>
      </c>
      <c r="C14" s="181">
        <v>4751</v>
      </c>
      <c r="D14" s="200">
        <v>189676.16829017893</v>
      </c>
      <c r="E14" s="174">
        <f>IFERROR(DT_data[[#This Row],[Объем предложения]]/C2-1,"")</f>
        <v>-4.5600642828445115E-2</v>
      </c>
      <c r="F14" s="174">
        <f>IFERROR(DT_data[[#This Row],[Средневзвешенная цена]]/D2-1,"")</f>
        <v>1.495368977798317E-2</v>
      </c>
    </row>
    <row r="15" spans="1:6" ht="14.55" customHeight="1" x14ac:dyDescent="0.3">
      <c r="A15" s="180">
        <v>43891</v>
      </c>
      <c r="B15" s="181" t="s">
        <v>8</v>
      </c>
      <c r="C15" s="181">
        <v>6539</v>
      </c>
      <c r="D15" s="200">
        <v>253823.23408582856</v>
      </c>
      <c r="E15" s="174">
        <f>IFERROR(DT_data[[#This Row],[Объем предложения]]/C3-1,"")</f>
        <v>-4.8319021976422682E-2</v>
      </c>
      <c r="F15" s="174">
        <f>IFERROR(DT_data[[#This Row],[Средневзвешенная цена]]/D3-1,"")</f>
        <v>1.274586146147394E-2</v>
      </c>
    </row>
    <row r="16" spans="1:6" ht="14.55" customHeight="1" x14ac:dyDescent="0.3">
      <c r="A16" s="180">
        <v>43891</v>
      </c>
      <c r="B16" s="181" t="s">
        <v>9</v>
      </c>
      <c r="C16" s="181">
        <v>820</v>
      </c>
      <c r="D16" s="200">
        <v>149130.44940832927</v>
      </c>
      <c r="E16" s="174">
        <f>IFERROR(DT_data[[#This Row],[Объем предложения]]/C4-1,"")</f>
        <v>-9.2920353982300918E-2</v>
      </c>
      <c r="F16" s="174">
        <f>IFERROR(DT_data[[#This Row],[Средневзвешенная цена]]/D4-1,"")</f>
        <v>-3.931146139651398E-3</v>
      </c>
    </row>
    <row r="17" spans="1:6" ht="14.55" customHeight="1" x14ac:dyDescent="0.3">
      <c r="A17" s="180">
        <v>43891</v>
      </c>
      <c r="B17" s="181" t="s">
        <v>10</v>
      </c>
      <c r="C17" s="181">
        <v>5076</v>
      </c>
      <c r="D17" s="200">
        <v>221727.08693223004</v>
      </c>
      <c r="E17" s="174">
        <f>IFERROR(DT_data[[#This Row],[Объем предложения]]/C5-1,"")</f>
        <v>-3.2036613272311221E-2</v>
      </c>
      <c r="F17" s="174">
        <f>IFERROR(DT_data[[#This Row],[Средневзвешенная цена]]/D5-1,"")</f>
        <v>8.3933588002709225E-3</v>
      </c>
    </row>
    <row r="18" spans="1:6" ht="14.55" customHeight="1" x14ac:dyDescent="0.3">
      <c r="A18" s="180">
        <v>43891</v>
      </c>
      <c r="B18" s="181" t="s">
        <v>11</v>
      </c>
      <c r="C18" s="181">
        <v>5014</v>
      </c>
      <c r="D18" s="200">
        <v>199279.43185268046</v>
      </c>
      <c r="E18" s="174">
        <f>IFERROR(DT_data[[#This Row],[Объем предложения]]/C6-1,"")</f>
        <v>-5.9463515287938473E-2</v>
      </c>
      <c r="F18" s="174">
        <f>IFERROR(DT_data[[#This Row],[Средневзвешенная цена]]/D6-1,"")</f>
        <v>1.8346946966530719E-2</v>
      </c>
    </row>
    <row r="19" spans="1:6" ht="14.55" customHeight="1" x14ac:dyDescent="0.3">
      <c r="A19" s="180">
        <v>43891</v>
      </c>
      <c r="B19" s="181" t="s">
        <v>12</v>
      </c>
      <c r="C19" s="181">
        <v>3084</v>
      </c>
      <c r="D19" s="200">
        <v>214557.84009216924</v>
      </c>
      <c r="E19" s="174">
        <f>IFERROR(DT_data[[#This Row],[Объем предложения]]/C7-1,"")</f>
        <v>-1.7521503663587179E-2</v>
      </c>
      <c r="F19" s="174">
        <f>IFERROR(DT_data[[#This Row],[Средневзвешенная цена]]/D7-1,"")</f>
        <v>1.2433364768442923E-2</v>
      </c>
    </row>
    <row r="20" spans="1:6" ht="14.55" customHeight="1" x14ac:dyDescent="0.3">
      <c r="A20" s="180">
        <v>43891</v>
      </c>
      <c r="B20" s="181" t="s">
        <v>13</v>
      </c>
      <c r="C20" s="181">
        <v>152</v>
      </c>
      <c r="D20" s="200">
        <v>109808.94645375002</v>
      </c>
      <c r="E20" s="174">
        <f>IFERROR(DT_data[[#This Row],[Объем предложения]]/C8-1,"")</f>
        <v>-0.1693989071038251</v>
      </c>
      <c r="F20" s="174">
        <f>IFERROR(DT_data[[#This Row],[Средневзвешенная цена]]/D8-1,"")</f>
        <v>1.9942160620123994E-2</v>
      </c>
    </row>
    <row r="21" spans="1:6" ht="14.55" customHeight="1" x14ac:dyDescent="0.3">
      <c r="A21" s="180">
        <v>43891</v>
      </c>
      <c r="B21" s="181" t="s">
        <v>14</v>
      </c>
      <c r="C21" s="181">
        <v>8128</v>
      </c>
      <c r="D21" s="200">
        <v>454712.7449541252</v>
      </c>
      <c r="E21" s="174">
        <f>IFERROR(DT_data[[#This Row],[Объем предложения]]/C9-1,"")</f>
        <v>-6.3569682151589646E-3</v>
      </c>
      <c r="F21" s="174">
        <f>IFERROR(DT_data[[#This Row],[Средневзвешенная цена]]/D9-1,"")</f>
        <v>4.3292054221523601E-2</v>
      </c>
    </row>
    <row r="22" spans="1:6" ht="14.55" customHeight="1" x14ac:dyDescent="0.3">
      <c r="A22" s="180">
        <v>43891</v>
      </c>
      <c r="B22" s="181" t="s">
        <v>15</v>
      </c>
      <c r="C22" s="181">
        <v>5066</v>
      </c>
      <c r="D22" s="200">
        <v>178792.0863051303</v>
      </c>
      <c r="E22" s="174">
        <f>IFERROR(DT_data[[#This Row],[Объем предложения]]/C10-1,"")</f>
        <v>-2.2573798958132385E-2</v>
      </c>
      <c r="F22" s="174">
        <f>IFERROR(DT_data[[#This Row],[Средневзвешенная цена]]/D10-1,"")</f>
        <v>6.9011909923615278E-3</v>
      </c>
    </row>
    <row r="23" spans="1:6" ht="14.55" customHeight="1" x14ac:dyDescent="0.3">
      <c r="A23" s="180">
        <v>43891</v>
      </c>
      <c r="B23" s="181" t="s">
        <v>16</v>
      </c>
      <c r="C23" s="181">
        <v>5714</v>
      </c>
      <c r="D23" s="200">
        <v>220515.75756987921</v>
      </c>
      <c r="E23" s="174">
        <f>IFERROR(DT_data[[#This Row],[Объем предложения]]/C11-1,"")</f>
        <v>-1.6353933551385813E-2</v>
      </c>
      <c r="F23" s="174">
        <f>IFERROR(DT_data[[#This Row],[Средневзвешенная цена]]/D11-1,"")</f>
        <v>5.5783083939366929E-3</v>
      </c>
    </row>
    <row r="24" spans="1:6" ht="14.55" customHeight="1" x14ac:dyDescent="0.3">
      <c r="A24" s="180">
        <v>43891</v>
      </c>
      <c r="B24" s="181" t="s">
        <v>17</v>
      </c>
      <c r="C24" s="181">
        <v>5279</v>
      </c>
      <c r="D24" s="200">
        <v>196955.88015947907</v>
      </c>
      <c r="E24" s="174">
        <f>IFERROR(DT_data[[#This Row],[Объем предложения]]/C12-1,"")</f>
        <v>-6.9601203912715848E-3</v>
      </c>
      <c r="F24" s="174">
        <f>IFERROR(DT_data[[#This Row],[Средневзвешенная цена]]/D12-1,"")</f>
        <v>1.1163836157513707E-2</v>
      </c>
    </row>
    <row r="25" spans="1:6" ht="14.55" customHeight="1" x14ac:dyDescent="0.3">
      <c r="A25" s="180">
        <v>43891</v>
      </c>
      <c r="B25" s="181" t="s">
        <v>175</v>
      </c>
      <c r="C25" s="181">
        <v>0</v>
      </c>
      <c r="D25" s="200">
        <v>0</v>
      </c>
      <c r="E25" s="174" t="str">
        <f>IFERROR(DT_data[[#This Row],[Объем предложения]]/C13-1,"")</f>
        <v/>
      </c>
      <c r="F25" s="174" t="str">
        <f>IFERROR(DT_data[[#This Row],[Средневзвешенная цена]]/D13-1,"")</f>
        <v/>
      </c>
    </row>
    <row r="26" spans="1:6" ht="14.55" customHeight="1" x14ac:dyDescent="0.3">
      <c r="A26" s="180">
        <v>43922</v>
      </c>
      <c r="B26" s="179" t="s">
        <v>7</v>
      </c>
      <c r="C26" s="181">
        <v>3184</v>
      </c>
      <c r="D26" s="200">
        <v>193065.69226812199</v>
      </c>
      <c r="E26" s="174">
        <f>IFERROR(DT_data[[#This Row],[Объем предложения]]/C14-1,"")</f>
        <v>-0.32982529993685539</v>
      </c>
      <c r="F26" s="174">
        <f>IFERROR(DT_data[[#This Row],[Средневзвешенная цена]]/D14-1,"")</f>
        <v>1.7870057205908729E-2</v>
      </c>
    </row>
    <row r="27" spans="1:6" ht="14.55" customHeight="1" x14ac:dyDescent="0.3">
      <c r="A27" s="180">
        <v>43922</v>
      </c>
      <c r="B27" s="181" t="s">
        <v>8</v>
      </c>
      <c r="C27" s="181">
        <v>4784</v>
      </c>
      <c r="D27" s="200">
        <v>271405.14032733499</v>
      </c>
      <c r="E27" s="174">
        <f>IFERROR(DT_data[[#This Row],[Объем предложения]]/C15-1,"")</f>
        <v>-0.26838966202783299</v>
      </c>
      <c r="F27" s="174">
        <f>IFERROR(DT_data[[#This Row],[Средневзвешенная цена]]/D15-1,"")</f>
        <v>6.9268309123983629E-2</v>
      </c>
    </row>
    <row r="28" spans="1:6" ht="14.55" customHeight="1" x14ac:dyDescent="0.3">
      <c r="A28" s="180">
        <v>43922</v>
      </c>
      <c r="B28" s="181" t="s">
        <v>9</v>
      </c>
      <c r="C28" s="181">
        <v>619</v>
      </c>
      <c r="D28" s="200">
        <v>149242.48659631106</v>
      </c>
      <c r="E28" s="174">
        <f>IFERROR(DT_data[[#This Row],[Объем предложения]]/C16-1,"")</f>
        <v>-0.24512195121951219</v>
      </c>
      <c r="F28" s="174">
        <f>IFERROR(DT_data[[#This Row],[Средневзвешенная цена]]/D16-1,"")</f>
        <v>7.5126969995942261E-4</v>
      </c>
    </row>
    <row r="29" spans="1:6" ht="14.55" customHeight="1" x14ac:dyDescent="0.3">
      <c r="A29" s="180">
        <v>43922</v>
      </c>
      <c r="B29" s="181" t="s">
        <v>10</v>
      </c>
      <c r="C29" s="181">
        <v>3608</v>
      </c>
      <c r="D29" s="200">
        <v>231120.57598146616</v>
      </c>
      <c r="E29" s="174">
        <f>IFERROR(DT_data[[#This Row],[Объем предложения]]/C17-1,"")</f>
        <v>-0.28920409771473599</v>
      </c>
      <c r="F29" s="174">
        <f>IFERROR(DT_data[[#This Row],[Средневзвешенная цена]]/D17-1,"")</f>
        <v>4.2365094762225386E-2</v>
      </c>
    </row>
    <row r="30" spans="1:6" ht="14.55" customHeight="1" x14ac:dyDescent="0.3">
      <c r="A30" s="180">
        <v>43922</v>
      </c>
      <c r="B30" s="181" t="s">
        <v>11</v>
      </c>
      <c r="C30" s="181">
        <v>3381</v>
      </c>
      <c r="D30" s="200">
        <v>203485.70774147296</v>
      </c>
      <c r="E30" s="174">
        <f>IFERROR(DT_data[[#This Row],[Объем предложения]]/C18-1,"")</f>
        <v>-0.32568807339449546</v>
      </c>
      <c r="F30" s="174">
        <f>IFERROR(DT_data[[#This Row],[Средневзвешенная цена]]/D18-1,"")</f>
        <v>2.1107426138699648E-2</v>
      </c>
    </row>
    <row r="31" spans="1:6" ht="14.55" customHeight="1" x14ac:dyDescent="0.3">
      <c r="A31" s="180">
        <v>43922</v>
      </c>
      <c r="B31" s="181" t="s">
        <v>12</v>
      </c>
      <c r="C31" s="181">
        <v>2134</v>
      </c>
      <c r="D31" s="200">
        <v>223078.79281268976</v>
      </c>
      <c r="E31" s="174">
        <f>IFERROR(DT_data[[#This Row],[Объем предложения]]/C19-1,"")</f>
        <v>-0.30804150453955903</v>
      </c>
      <c r="F31" s="174">
        <f>IFERROR(DT_data[[#This Row],[Средневзвешенная цена]]/D19-1,"")</f>
        <v>3.9714012393395226E-2</v>
      </c>
    </row>
    <row r="32" spans="1:6" ht="14.55" customHeight="1" x14ac:dyDescent="0.3">
      <c r="A32" s="180">
        <v>43922</v>
      </c>
      <c r="B32" s="181" t="s">
        <v>13</v>
      </c>
      <c r="C32" s="181">
        <v>101</v>
      </c>
      <c r="D32" s="200">
        <v>110007.16171009434</v>
      </c>
      <c r="E32" s="174">
        <f>IFERROR(DT_data[[#This Row],[Объем предложения]]/C20-1,"")</f>
        <v>-0.33552631578947367</v>
      </c>
      <c r="F32" s="174">
        <f>IFERROR(DT_data[[#This Row],[Средневзвешенная цена]]/D20-1,"")</f>
        <v>1.8050920507448609E-3</v>
      </c>
    </row>
    <row r="33" spans="1:6" ht="14.55" customHeight="1" x14ac:dyDescent="0.3">
      <c r="A33" s="180">
        <v>43922</v>
      </c>
      <c r="B33" s="181" t="s">
        <v>14</v>
      </c>
      <c r="C33" s="181">
        <v>7125</v>
      </c>
      <c r="D33" s="200">
        <v>506845.22688288271</v>
      </c>
      <c r="E33" s="174">
        <f>IFERROR(DT_data[[#This Row],[Объем предложения]]/C21-1,"")</f>
        <v>-0.12340059055118113</v>
      </c>
      <c r="F33" s="174">
        <f>IFERROR(DT_data[[#This Row],[Средневзвешенная цена]]/D21-1,"")</f>
        <v>0.1146492648540498</v>
      </c>
    </row>
    <row r="34" spans="1:6" ht="14.55" customHeight="1" x14ac:dyDescent="0.3">
      <c r="A34" s="180">
        <v>43922</v>
      </c>
      <c r="B34" s="181" t="s">
        <v>15</v>
      </c>
      <c r="C34" s="181">
        <v>3358</v>
      </c>
      <c r="D34" s="200">
        <v>179632.39860105398</v>
      </c>
      <c r="E34" s="174">
        <f>IFERROR(DT_data[[#This Row],[Объем предложения]]/C22-1,"")</f>
        <v>-0.33714962495065137</v>
      </c>
      <c r="F34" s="174">
        <f>IFERROR(DT_data[[#This Row],[Средневзвешенная цена]]/D22-1,"")</f>
        <v>4.6999412182571199E-3</v>
      </c>
    </row>
    <row r="35" spans="1:6" ht="14.55" customHeight="1" x14ac:dyDescent="0.3">
      <c r="A35" s="180">
        <v>43922</v>
      </c>
      <c r="B35" s="181" t="s">
        <v>16</v>
      </c>
      <c r="C35" s="181">
        <v>3932</v>
      </c>
      <c r="D35" s="200">
        <v>225259.64081914292</v>
      </c>
      <c r="E35" s="174">
        <f>IFERROR(DT_data[[#This Row],[Объем предложения]]/C23-1,"")</f>
        <v>-0.31186559327966401</v>
      </c>
      <c r="F35" s="174">
        <f>IFERROR(DT_data[[#This Row],[Средневзвешенная цена]]/D23-1,"")</f>
        <v>2.151267238923027E-2</v>
      </c>
    </row>
    <row r="36" spans="1:6" ht="14.55" customHeight="1" x14ac:dyDescent="0.3">
      <c r="A36" s="180">
        <v>43922</v>
      </c>
      <c r="B36" s="181" t="s">
        <v>17</v>
      </c>
      <c r="C36" s="181">
        <v>3709</v>
      </c>
      <c r="D36" s="200">
        <v>198242.42804237796</v>
      </c>
      <c r="E36" s="174">
        <f>IFERROR(DT_data[[#This Row],[Объем предложения]]/C24-1,"")</f>
        <v>-0.29740481151733278</v>
      </c>
      <c r="F36" s="174">
        <f>IFERROR(DT_data[[#This Row],[Средневзвешенная цена]]/D24-1,"")</f>
        <v>6.5321628471164406E-3</v>
      </c>
    </row>
    <row r="37" spans="1:6" ht="14.55" customHeight="1" x14ac:dyDescent="0.3">
      <c r="A37" s="180">
        <v>43922</v>
      </c>
      <c r="B37" s="181" t="s">
        <v>175</v>
      </c>
      <c r="C37" s="181">
        <v>0</v>
      </c>
      <c r="D37" s="200">
        <v>0</v>
      </c>
      <c r="E37" s="174" t="str">
        <f>IFERROR(DT_data[[#This Row],[Объем предложения]]/C25-1,"")</f>
        <v/>
      </c>
      <c r="F37" s="174" t="str">
        <f>IFERROR(DT_data[[#This Row],[Средневзвешенная цена]]/D25-1,"")</f>
        <v/>
      </c>
    </row>
    <row r="38" spans="1:6" ht="14.55" customHeight="1" x14ac:dyDescent="0.3">
      <c r="A38" s="180">
        <v>43952</v>
      </c>
      <c r="B38" s="179" t="s">
        <v>7</v>
      </c>
      <c r="C38" s="181">
        <v>3693</v>
      </c>
      <c r="D38" s="200">
        <v>193645.07519025946</v>
      </c>
      <c r="E38" s="174">
        <f>IFERROR(DT_data[[#This Row],[Объем предложения]]/C26-1,"")</f>
        <v>0.15986180904522618</v>
      </c>
      <c r="F38" s="174">
        <f>IFERROR(DT_data[[#This Row],[Средневзвешенная цена]]/D26-1,"")</f>
        <v>3.0009626015421453E-3</v>
      </c>
    </row>
    <row r="39" spans="1:6" ht="14.55" customHeight="1" x14ac:dyDescent="0.3">
      <c r="A39" s="180">
        <v>43952</v>
      </c>
      <c r="B39" s="181" t="s">
        <v>8</v>
      </c>
      <c r="C39" s="181">
        <v>5340</v>
      </c>
      <c r="D39" s="200">
        <v>262902.16734731762</v>
      </c>
      <c r="E39" s="174">
        <f>IFERROR(DT_data[[#This Row],[Объем предложения]]/C27-1,"")</f>
        <v>0.11622073578595327</v>
      </c>
      <c r="F39" s="174">
        <f>IFERROR(DT_data[[#This Row],[Средневзвешенная цена]]/D27-1,"")</f>
        <v>-3.1329447075918115E-2</v>
      </c>
    </row>
    <row r="40" spans="1:6" ht="14.55" customHeight="1" x14ac:dyDescent="0.3">
      <c r="A40" s="180">
        <v>43952</v>
      </c>
      <c r="B40" s="181" t="s">
        <v>9</v>
      </c>
      <c r="C40" s="181">
        <v>725</v>
      </c>
      <c r="D40" s="200">
        <v>149825.17636999988</v>
      </c>
      <c r="E40" s="174">
        <f>IFERROR(DT_data[[#This Row],[Объем предложения]]/C28-1,"")</f>
        <v>0.17124394184168024</v>
      </c>
      <c r="F40" s="174">
        <f>IFERROR(DT_data[[#This Row],[Средневзвешенная цена]]/D28-1,"")</f>
        <v>3.9043156340925478E-3</v>
      </c>
    </row>
    <row r="41" spans="1:6" ht="14.55" customHeight="1" x14ac:dyDescent="0.3">
      <c r="A41" s="180">
        <v>43952</v>
      </c>
      <c r="B41" s="181" t="s">
        <v>10</v>
      </c>
      <c r="C41" s="181">
        <v>4110</v>
      </c>
      <c r="D41" s="200">
        <v>226815.92159930311</v>
      </c>
      <c r="E41" s="174">
        <f>IFERROR(DT_data[[#This Row],[Объем предложения]]/C29-1,"")</f>
        <v>0.13913525498891355</v>
      </c>
      <c r="F41" s="174">
        <f>IFERROR(DT_data[[#This Row],[Средневзвешенная цена]]/D29-1,"")</f>
        <v>-1.8625145614504901E-2</v>
      </c>
    </row>
    <row r="42" spans="1:6" ht="14.55" customHeight="1" x14ac:dyDescent="0.3">
      <c r="A42" s="180">
        <v>43952</v>
      </c>
      <c r="B42" s="181" t="s">
        <v>11</v>
      </c>
      <c r="C42" s="181">
        <v>3845</v>
      </c>
      <c r="D42" s="200">
        <v>204127.9181143186</v>
      </c>
      <c r="E42" s="174">
        <f>IFERROR(DT_data[[#This Row],[Объем предложения]]/C30-1,"")</f>
        <v>0.13723750369713095</v>
      </c>
      <c r="F42" s="174">
        <f>IFERROR(DT_data[[#This Row],[Средневзвешенная цена]]/D30-1,"")</f>
        <v>3.1560465841737884E-3</v>
      </c>
    </row>
    <row r="43" spans="1:6" ht="14.55" customHeight="1" x14ac:dyDescent="0.3">
      <c r="A43" s="180">
        <v>43952</v>
      </c>
      <c r="B43" s="181" t="s">
        <v>12</v>
      </c>
      <c r="C43" s="181">
        <v>2384</v>
      </c>
      <c r="D43" s="200">
        <v>219803.99452767361</v>
      </c>
      <c r="E43" s="174">
        <f>IFERROR(DT_data[[#This Row],[Объем предложения]]/C31-1,"")</f>
        <v>0.11715089034676662</v>
      </c>
      <c r="F43" s="174">
        <f>IFERROR(DT_data[[#This Row],[Средневзвешенная цена]]/D31-1,"")</f>
        <v>-1.4680007201607337E-2</v>
      </c>
    </row>
    <row r="44" spans="1:6" ht="14.55" customHeight="1" x14ac:dyDescent="0.3">
      <c r="A44" s="180">
        <v>43952</v>
      </c>
      <c r="B44" s="181" t="s">
        <v>13</v>
      </c>
      <c r="C44" s="181">
        <v>108</v>
      </c>
      <c r="D44" s="200">
        <v>114759.13339828324</v>
      </c>
      <c r="E44" s="174">
        <f>IFERROR(DT_data[[#This Row],[Объем предложения]]/C32-1,"")</f>
        <v>6.9306930693069368E-2</v>
      </c>
      <c r="F44" s="174">
        <f>IFERROR(DT_data[[#This Row],[Средневзвешенная цена]]/D32-1,"")</f>
        <v>4.3196930220888108E-2</v>
      </c>
    </row>
    <row r="45" spans="1:6" ht="14.55" customHeight="1" x14ac:dyDescent="0.3">
      <c r="A45" s="180">
        <v>43952</v>
      </c>
      <c r="B45" s="181" t="s">
        <v>14</v>
      </c>
      <c r="C45" s="181">
        <v>7471</v>
      </c>
      <c r="D45" s="200">
        <v>476637.9608552499</v>
      </c>
      <c r="E45" s="174">
        <f>IFERROR(DT_data[[#This Row],[Объем предложения]]/C33-1,"")</f>
        <v>4.8561403508772027E-2</v>
      </c>
      <c r="F45" s="174">
        <f>IFERROR(DT_data[[#This Row],[Средневзвешенная цена]]/D33-1,"")</f>
        <v>-5.9598600175064576E-2</v>
      </c>
    </row>
    <row r="46" spans="1:6" ht="14.55" customHeight="1" x14ac:dyDescent="0.3">
      <c r="A46" s="180">
        <v>43952</v>
      </c>
      <c r="B46" s="181" t="s">
        <v>15</v>
      </c>
      <c r="C46" s="181">
        <v>3793</v>
      </c>
      <c r="D46" s="200">
        <v>180106.2554264222</v>
      </c>
      <c r="E46" s="174">
        <f>IFERROR(DT_data[[#This Row],[Объем предложения]]/C34-1,"")</f>
        <v>0.12954139368671824</v>
      </c>
      <c r="F46" s="174">
        <f>IFERROR(DT_data[[#This Row],[Средневзвешенная цена]]/D34-1,"")</f>
        <v>2.6379251686139416E-3</v>
      </c>
    </row>
    <row r="47" spans="1:6" ht="14.55" customHeight="1" x14ac:dyDescent="0.3">
      <c r="A47" s="180">
        <v>43952</v>
      </c>
      <c r="B47" s="181" t="s">
        <v>16</v>
      </c>
      <c r="C47" s="181">
        <v>4502</v>
      </c>
      <c r="D47" s="200">
        <v>224658.71785201639</v>
      </c>
      <c r="E47" s="174">
        <f>IFERROR(DT_data[[#This Row],[Объем предложения]]/C35-1,"")</f>
        <v>0.14496439471007116</v>
      </c>
      <c r="F47" s="174">
        <f>IFERROR(DT_data[[#This Row],[Средневзвешенная цена]]/D35-1,"")</f>
        <v>-2.6676903369876603E-3</v>
      </c>
    </row>
    <row r="48" spans="1:6" ht="14.55" customHeight="1" x14ac:dyDescent="0.3">
      <c r="A48" s="180">
        <v>43952</v>
      </c>
      <c r="B48" s="181" t="s">
        <v>17</v>
      </c>
      <c r="C48" s="181">
        <v>4080</v>
      </c>
      <c r="D48" s="200">
        <v>198537.20508864647</v>
      </c>
      <c r="E48" s="174">
        <f>IFERROR(DT_data[[#This Row],[Объем предложения]]/C36-1,"")</f>
        <v>0.10002696144513346</v>
      </c>
      <c r="F48" s="174">
        <f>IFERROR(DT_data[[#This Row],[Средневзвешенная цена]]/D36-1,"")</f>
        <v>1.4869523601954704E-3</v>
      </c>
    </row>
    <row r="49" spans="1:6" ht="14.55" customHeight="1" x14ac:dyDescent="0.3">
      <c r="A49" s="180">
        <v>43952</v>
      </c>
      <c r="B49" s="181" t="s">
        <v>175</v>
      </c>
      <c r="C49" s="181">
        <v>0</v>
      </c>
      <c r="D49" s="200">
        <v>0</v>
      </c>
      <c r="E49" s="174" t="str">
        <f>IFERROR(DT_data[[#This Row],[Объем предложения]]/C37-1,"")</f>
        <v/>
      </c>
      <c r="F49" s="174" t="str">
        <f>IFERROR(DT_data[[#This Row],[Средневзвешенная цена]]/D37-1,"")</f>
        <v/>
      </c>
    </row>
    <row r="50" spans="1:6" ht="14.55" customHeight="1" x14ac:dyDescent="0.3">
      <c r="A50" s="180">
        <v>43983</v>
      </c>
      <c r="B50" s="179" t="s">
        <v>7</v>
      </c>
      <c r="C50" s="181">
        <v>4359</v>
      </c>
      <c r="D50" s="200">
        <v>193154.90732988881</v>
      </c>
      <c r="E50" s="174">
        <f>IFERROR(DT_data[[#This Row],[Объем предложения]]/C38-1,"")</f>
        <v>0.18034118602761984</v>
      </c>
      <c r="F50" s="174">
        <f>IFERROR(DT_data[[#This Row],[Средневзвешенная цена]]/D38-1,"")</f>
        <v>-2.5312694365661192E-3</v>
      </c>
    </row>
    <row r="51" spans="1:6" ht="14.55" customHeight="1" x14ac:dyDescent="0.3">
      <c r="A51" s="180">
        <v>43983</v>
      </c>
      <c r="B51" s="181" t="s">
        <v>8</v>
      </c>
      <c r="C51" s="181">
        <v>5910</v>
      </c>
      <c r="D51" s="200">
        <v>258806.72312859545</v>
      </c>
      <c r="E51" s="174">
        <f>IFERROR(DT_data[[#This Row],[Объем предложения]]/C39-1,"")</f>
        <v>0.10674157303370779</v>
      </c>
      <c r="F51" s="174">
        <f>IFERROR(DT_data[[#This Row],[Средневзвешенная цена]]/D39-1,"")</f>
        <v>-1.5577826002901363E-2</v>
      </c>
    </row>
    <row r="52" spans="1:6" ht="14.55" customHeight="1" x14ac:dyDescent="0.3">
      <c r="A52" s="180">
        <v>43983</v>
      </c>
      <c r="B52" s="181" t="s">
        <v>9</v>
      </c>
      <c r="C52" s="181">
        <v>835</v>
      </c>
      <c r="D52" s="200">
        <v>150412.72032249469</v>
      </c>
      <c r="E52" s="174">
        <f>IFERROR(DT_data[[#This Row],[Объем предложения]]/C40-1,"")</f>
        <v>0.15172413793103456</v>
      </c>
      <c r="F52" s="174">
        <f>IFERROR(DT_data[[#This Row],[Средневзвешенная цена]]/D40-1,"")</f>
        <v>3.9215301909194533E-3</v>
      </c>
    </row>
    <row r="53" spans="1:6" ht="14.55" customHeight="1" x14ac:dyDescent="0.3">
      <c r="A53" s="180">
        <v>43983</v>
      </c>
      <c r="B53" s="181" t="s">
        <v>10</v>
      </c>
      <c r="C53" s="181">
        <v>4639</v>
      </c>
      <c r="D53" s="200">
        <v>226938.57650398079</v>
      </c>
      <c r="E53" s="174">
        <f>IFERROR(DT_data[[#This Row],[Объем предложения]]/C41-1,"")</f>
        <v>0.1287104622871047</v>
      </c>
      <c r="F53" s="174">
        <f>IFERROR(DT_data[[#This Row],[Средневзвешенная цена]]/D41-1,"")</f>
        <v>5.4076849549544725E-4</v>
      </c>
    </row>
    <row r="54" spans="1:6" ht="14.55" customHeight="1" x14ac:dyDescent="0.3">
      <c r="A54" s="180">
        <v>43983</v>
      </c>
      <c r="B54" s="181" t="s">
        <v>11</v>
      </c>
      <c r="C54" s="181">
        <v>4374</v>
      </c>
      <c r="D54" s="200">
        <v>204628.71519037255</v>
      </c>
      <c r="E54" s="174">
        <f>IFERROR(DT_data[[#This Row],[Объем предложения]]/C42-1,"")</f>
        <v>0.1375812743823146</v>
      </c>
      <c r="F54" s="174">
        <f>IFERROR(DT_data[[#This Row],[Средневзвешенная цена]]/D42-1,"")</f>
        <v>2.4533492560947501E-3</v>
      </c>
    </row>
    <row r="55" spans="1:6" ht="14.55" customHeight="1" x14ac:dyDescent="0.3">
      <c r="A55" s="180">
        <v>43983</v>
      </c>
      <c r="B55" s="181" t="s">
        <v>12</v>
      </c>
      <c r="C55" s="181">
        <v>2802</v>
      </c>
      <c r="D55" s="200">
        <v>216294.95157286353</v>
      </c>
      <c r="E55" s="174">
        <f>IFERROR(DT_data[[#This Row],[Объем предложения]]/C43-1,"")</f>
        <v>0.17533557046979875</v>
      </c>
      <c r="F55" s="174">
        <f>IFERROR(DT_data[[#This Row],[Средневзвешенная цена]]/D43-1,"")</f>
        <v>-1.5964418491804411E-2</v>
      </c>
    </row>
    <row r="56" spans="1:6" ht="14.55" customHeight="1" x14ac:dyDescent="0.3">
      <c r="A56" s="180">
        <v>43983</v>
      </c>
      <c r="B56" s="181" t="s">
        <v>13</v>
      </c>
      <c r="C56" s="181">
        <v>133</v>
      </c>
      <c r="D56" s="200">
        <v>119193.28772187616</v>
      </c>
      <c r="E56" s="174">
        <f>IFERROR(DT_data[[#This Row],[Объем предложения]]/C44-1,"")</f>
        <v>0.2314814814814814</v>
      </c>
      <c r="F56" s="174">
        <f>IFERROR(DT_data[[#This Row],[Средневзвешенная цена]]/D44-1,"")</f>
        <v>3.8638792332142513E-2</v>
      </c>
    </row>
    <row r="57" spans="1:6" ht="14.55" customHeight="1" x14ac:dyDescent="0.3">
      <c r="A57" s="180">
        <v>43983</v>
      </c>
      <c r="B57" s="181" t="s">
        <v>14</v>
      </c>
      <c r="C57" s="181">
        <v>7449</v>
      </c>
      <c r="D57" s="200">
        <v>473423.35592662328</v>
      </c>
      <c r="E57" s="174">
        <f>IFERROR(DT_data[[#This Row],[Объем предложения]]/C45-1,"")</f>
        <v>-2.9447195823851802E-3</v>
      </c>
      <c r="F57" s="174">
        <f>IFERROR(DT_data[[#This Row],[Средневзвешенная цена]]/D45-1,"")</f>
        <v>-6.7443325807674537E-3</v>
      </c>
    </row>
    <row r="58" spans="1:6" ht="14.55" customHeight="1" x14ac:dyDescent="0.3">
      <c r="A58" s="180">
        <v>43983</v>
      </c>
      <c r="B58" s="181" t="s">
        <v>15</v>
      </c>
      <c r="C58" s="181">
        <v>4640</v>
      </c>
      <c r="D58" s="200">
        <v>180518.92279830819</v>
      </c>
      <c r="E58" s="174">
        <f>IFERROR(DT_data[[#This Row],[Объем предложения]]/C46-1,"")</f>
        <v>0.22330609016609548</v>
      </c>
      <c r="F58" s="174">
        <f>IFERROR(DT_data[[#This Row],[Средневзвешенная цена]]/D46-1,"")</f>
        <v>2.2912439710045529E-3</v>
      </c>
    </row>
    <row r="59" spans="1:6" ht="14.55" customHeight="1" x14ac:dyDescent="0.3">
      <c r="A59" s="180">
        <v>43983</v>
      </c>
      <c r="B59" s="181" t="s">
        <v>16</v>
      </c>
      <c r="C59" s="181">
        <v>5189</v>
      </c>
      <c r="D59" s="200">
        <v>223714.34624876463</v>
      </c>
      <c r="E59" s="174">
        <f>IFERROR(DT_data[[#This Row],[Объем предложения]]/C47-1,"")</f>
        <v>0.15259884495779663</v>
      </c>
      <c r="F59" s="174">
        <f>IFERROR(DT_data[[#This Row],[Средневзвешенная цена]]/D47-1,"")</f>
        <v>-4.2035831606312968E-3</v>
      </c>
    </row>
    <row r="60" spans="1:6" ht="14.55" customHeight="1" x14ac:dyDescent="0.3">
      <c r="A60" s="180">
        <v>43983</v>
      </c>
      <c r="B60" s="181" t="s">
        <v>17</v>
      </c>
      <c r="C60" s="181">
        <v>4808</v>
      </c>
      <c r="D60" s="200">
        <v>197965.84965900352</v>
      </c>
      <c r="E60" s="174">
        <f>IFERROR(DT_data[[#This Row],[Объем предложения]]/C48-1,"")</f>
        <v>0.17843137254901964</v>
      </c>
      <c r="F60" s="174">
        <f>IFERROR(DT_data[[#This Row],[Средневзвешенная цена]]/D48-1,"")</f>
        <v>-2.877825490632091E-3</v>
      </c>
    </row>
    <row r="61" spans="1:6" ht="14.55" customHeight="1" x14ac:dyDescent="0.3">
      <c r="A61" s="180">
        <v>43983</v>
      </c>
      <c r="B61" s="181" t="s">
        <v>175</v>
      </c>
      <c r="C61" s="181">
        <v>0</v>
      </c>
      <c r="D61" s="200">
        <v>0</v>
      </c>
      <c r="E61" s="174" t="str">
        <f>IFERROR(DT_data[[#This Row],[Объем предложения]]/C49-1,"")</f>
        <v/>
      </c>
      <c r="F61" s="174" t="str">
        <f>IFERROR(DT_data[[#This Row],[Средневзвешенная цена]]/D49-1,"")</f>
        <v/>
      </c>
    </row>
    <row r="62" spans="1:6" ht="14.55" customHeight="1" x14ac:dyDescent="0.3">
      <c r="A62" s="180">
        <v>44013</v>
      </c>
      <c r="B62" s="179" t="s">
        <v>7</v>
      </c>
      <c r="C62" s="181">
        <v>4398</v>
      </c>
      <c r="D62" s="200">
        <v>193771.53174194237</v>
      </c>
      <c r="E62" s="174">
        <f>IFERROR(DT_data[[#This Row],[Объем предложения]]/C50-1,"")</f>
        <v>8.9470061940812862E-3</v>
      </c>
      <c r="F62" s="174">
        <f>IFERROR(DT_data[[#This Row],[Средневзвешенная цена]]/D50-1,"")</f>
        <v>3.1923828422355527E-3</v>
      </c>
    </row>
    <row r="63" spans="1:6" ht="14.55" customHeight="1" x14ac:dyDescent="0.3">
      <c r="A63" s="180">
        <v>44013</v>
      </c>
      <c r="B63" s="181" t="s">
        <v>8</v>
      </c>
      <c r="C63" s="181">
        <v>5846</v>
      </c>
      <c r="D63" s="200">
        <v>259270.84422783839</v>
      </c>
      <c r="E63" s="174">
        <f>IFERROR(DT_data[[#This Row],[Объем предложения]]/C51-1,"")</f>
        <v>-1.0829103214890057E-2</v>
      </c>
      <c r="F63" s="174">
        <f>IFERROR(DT_data[[#This Row],[Средневзвешенная цена]]/D51-1,"")</f>
        <v>1.7933116019259732E-3</v>
      </c>
    </row>
    <row r="64" spans="1:6" ht="14.55" customHeight="1" x14ac:dyDescent="0.3">
      <c r="A64" s="180">
        <v>44013</v>
      </c>
      <c r="B64" s="181" t="s">
        <v>9</v>
      </c>
      <c r="C64" s="181">
        <v>734</v>
      </c>
      <c r="D64" s="200">
        <v>152758.76944807201</v>
      </c>
      <c r="E64" s="174">
        <f>IFERROR(DT_data[[#This Row],[Объем предложения]]/C52-1,"")</f>
        <v>-0.12095808383233531</v>
      </c>
      <c r="F64" s="174">
        <f>IFERROR(DT_data[[#This Row],[Средневзвешенная цена]]/D52-1,"")</f>
        <v>1.559741171190332E-2</v>
      </c>
    </row>
    <row r="65" spans="1:6" ht="14.55" customHeight="1" x14ac:dyDescent="0.3">
      <c r="A65" s="180">
        <v>44013</v>
      </c>
      <c r="B65" s="181" t="s">
        <v>10</v>
      </c>
      <c r="C65" s="181">
        <v>4557</v>
      </c>
      <c r="D65" s="200">
        <v>225564.80501194787</v>
      </c>
      <c r="E65" s="174">
        <f>IFERROR(DT_data[[#This Row],[Объем предложения]]/C53-1,"")</f>
        <v>-1.7676223323992213E-2</v>
      </c>
      <c r="F65" s="174">
        <f>IFERROR(DT_data[[#This Row],[Средневзвешенная цена]]/D53-1,"")</f>
        <v>-6.053494796680492E-3</v>
      </c>
    </row>
    <row r="66" spans="1:6" ht="14.55" customHeight="1" x14ac:dyDescent="0.3">
      <c r="A66" s="180">
        <v>44013</v>
      </c>
      <c r="B66" s="181" t="s">
        <v>11</v>
      </c>
      <c r="C66" s="181">
        <v>4320</v>
      </c>
      <c r="D66" s="200">
        <v>205183.89669872029</v>
      </c>
      <c r="E66" s="174">
        <f>IFERROR(DT_data[[#This Row],[Объем предложения]]/C54-1,"")</f>
        <v>-1.2345679012345734E-2</v>
      </c>
      <c r="F66" s="174">
        <f>IFERROR(DT_data[[#This Row],[Средневзвешенная цена]]/D54-1,"")</f>
        <v>2.7131163279368042E-3</v>
      </c>
    </row>
    <row r="67" spans="1:6" ht="14.55" customHeight="1" x14ac:dyDescent="0.3">
      <c r="A67" s="180">
        <v>44013</v>
      </c>
      <c r="B67" s="181" t="s">
        <v>12</v>
      </c>
      <c r="C67" s="181">
        <v>2834</v>
      </c>
      <c r="D67" s="200">
        <v>216240.63454763751</v>
      </c>
      <c r="E67" s="174">
        <f>IFERROR(DT_data[[#This Row],[Объем предложения]]/C55-1,"")</f>
        <v>1.142041399000715E-2</v>
      </c>
      <c r="F67" s="174">
        <f>IFERROR(DT_data[[#This Row],[Средневзвешенная цена]]/D55-1,"")</f>
        <v>-2.5112479431921297E-4</v>
      </c>
    </row>
    <row r="68" spans="1:6" ht="14.55" customHeight="1" x14ac:dyDescent="0.3">
      <c r="A68" s="180">
        <v>44013</v>
      </c>
      <c r="B68" s="181" t="s">
        <v>13</v>
      </c>
      <c r="C68" s="181">
        <v>153</v>
      </c>
      <c r="D68" s="200">
        <v>118866.70313547953</v>
      </c>
      <c r="E68" s="174">
        <f>IFERROR(DT_data[[#This Row],[Объем предложения]]/C56-1,"")</f>
        <v>0.15037593984962405</v>
      </c>
      <c r="F68" s="174">
        <f>IFERROR(DT_data[[#This Row],[Средневзвешенная цена]]/D56-1,"")</f>
        <v>-2.7399578670794789E-3</v>
      </c>
    </row>
    <row r="69" spans="1:6" ht="14.55" customHeight="1" x14ac:dyDescent="0.3">
      <c r="A69" s="180">
        <v>44013</v>
      </c>
      <c r="B69" s="181" t="s">
        <v>14</v>
      </c>
      <c r="C69" s="181">
        <v>7266</v>
      </c>
      <c r="D69" s="200">
        <v>470411.8491181531</v>
      </c>
      <c r="E69" s="174">
        <f>IFERROR(DT_data[[#This Row],[Объем предложения]]/C57-1,"")</f>
        <v>-2.4567055980668551E-2</v>
      </c>
      <c r="F69" s="174">
        <f>IFERROR(DT_data[[#This Row],[Средневзвешенная цена]]/D57-1,"")</f>
        <v>-6.3611285137713525E-3</v>
      </c>
    </row>
    <row r="70" spans="1:6" ht="14.55" customHeight="1" x14ac:dyDescent="0.3">
      <c r="A70" s="180">
        <v>44013</v>
      </c>
      <c r="B70" s="181" t="s">
        <v>15</v>
      </c>
      <c r="C70" s="181">
        <v>4622</v>
      </c>
      <c r="D70" s="200">
        <v>181588.45967409431</v>
      </c>
      <c r="E70" s="174">
        <f>IFERROR(DT_data[[#This Row],[Объем предложения]]/C58-1,"")</f>
        <v>-3.8793103448275801E-3</v>
      </c>
      <c r="F70" s="174">
        <f>IFERROR(DT_data[[#This Row],[Средневзвешенная цена]]/D58-1,"")</f>
        <v>5.9247909261075371E-3</v>
      </c>
    </row>
    <row r="71" spans="1:6" ht="14.55" customHeight="1" x14ac:dyDescent="0.3">
      <c r="A71" s="180">
        <v>44013</v>
      </c>
      <c r="B71" s="181" t="s">
        <v>16</v>
      </c>
      <c r="C71" s="181">
        <v>5336</v>
      </c>
      <c r="D71" s="200">
        <v>224034.02776806464</v>
      </c>
      <c r="E71" s="174">
        <f>IFERROR(DT_data[[#This Row],[Объем предложения]]/C59-1,"")</f>
        <v>2.8329157833879348E-2</v>
      </c>
      <c r="F71" s="174">
        <f>IFERROR(DT_data[[#This Row],[Средневзвешенная цена]]/D59-1,"")</f>
        <v>1.4289719218298913E-3</v>
      </c>
    </row>
    <row r="72" spans="1:6" ht="14.55" customHeight="1" x14ac:dyDescent="0.3">
      <c r="A72" s="180">
        <v>44013</v>
      </c>
      <c r="B72" s="181" t="s">
        <v>17</v>
      </c>
      <c r="C72" s="181">
        <v>4750</v>
      </c>
      <c r="D72" s="200">
        <v>198828.68868675246</v>
      </c>
      <c r="E72" s="174">
        <f>IFERROR(DT_data[[#This Row],[Объем предложения]]/C60-1,"")</f>
        <v>-1.2063227953410971E-2</v>
      </c>
      <c r="F72" s="174">
        <f>IFERROR(DT_data[[#This Row],[Средневзвешенная цена]]/D60-1,"")</f>
        <v>4.3585246103565733E-3</v>
      </c>
    </row>
    <row r="73" spans="1:6" ht="14.55" customHeight="1" x14ac:dyDescent="0.3">
      <c r="A73" s="180">
        <v>44013</v>
      </c>
      <c r="B73" s="181" t="s">
        <v>175</v>
      </c>
      <c r="C73" s="181">
        <v>0</v>
      </c>
      <c r="D73" s="200">
        <v>0</v>
      </c>
      <c r="E73" s="174" t="str">
        <f>IFERROR(DT_data[[#This Row],[Объем предложения]]/C61-1,"")</f>
        <v/>
      </c>
      <c r="F73" s="174" t="str">
        <f>IFERROR(DT_data[[#This Row],[Средневзвешенная цена]]/D61-1,"")</f>
        <v/>
      </c>
    </row>
    <row r="74" spans="1:6" ht="14.55" customHeight="1" x14ac:dyDescent="0.3">
      <c r="A74" s="180">
        <v>44044</v>
      </c>
      <c r="B74" s="179" t="s">
        <v>7</v>
      </c>
      <c r="C74" s="181">
        <v>4406</v>
      </c>
      <c r="D74" s="200">
        <v>196359.50406855665</v>
      </c>
      <c r="E74" s="174">
        <f>IFERROR(DT_data[[#This Row],[Объем предложения]]/C62-1,"")</f>
        <v>1.8190086402909422E-3</v>
      </c>
      <c r="F74" s="174">
        <f>IFERROR(DT_data[[#This Row],[Средневзвешенная цена]]/D62-1,"")</f>
        <v>1.3355792274279299E-2</v>
      </c>
    </row>
    <row r="75" spans="1:6" ht="14.55" customHeight="1" x14ac:dyDescent="0.3">
      <c r="A75" s="180">
        <v>44044</v>
      </c>
      <c r="B75" s="181" t="s">
        <v>8</v>
      </c>
      <c r="C75" s="181">
        <v>5723</v>
      </c>
      <c r="D75" s="200">
        <v>261062.05807217854</v>
      </c>
      <c r="E75" s="174">
        <f>IFERROR(DT_data[[#This Row],[Объем предложения]]/C63-1,"")</f>
        <v>-2.1040027369141345E-2</v>
      </c>
      <c r="F75" s="174">
        <f>IFERROR(DT_data[[#This Row],[Средневзвешенная цена]]/D63-1,"")</f>
        <v>6.9086589727231917E-3</v>
      </c>
    </row>
    <row r="76" spans="1:6" ht="14.55" customHeight="1" x14ac:dyDescent="0.3">
      <c r="A76" s="180">
        <v>44044</v>
      </c>
      <c r="B76" s="181" t="s">
        <v>9</v>
      </c>
      <c r="C76" s="181">
        <v>686</v>
      </c>
      <c r="D76" s="200">
        <v>154507.01946795025</v>
      </c>
      <c r="E76" s="174">
        <f>IFERROR(DT_data[[#This Row],[Объем предложения]]/C64-1,"")</f>
        <v>-6.5395095367847378E-2</v>
      </c>
      <c r="F76" s="174">
        <f>IFERROR(DT_data[[#This Row],[Средневзвешенная цена]]/D64-1,"")</f>
        <v>1.1444514944672468E-2</v>
      </c>
    </row>
    <row r="77" spans="1:6" ht="14.55" customHeight="1" x14ac:dyDescent="0.3">
      <c r="A77" s="180">
        <v>44044</v>
      </c>
      <c r="B77" s="181" t="s">
        <v>10</v>
      </c>
      <c r="C77" s="181">
        <v>4338</v>
      </c>
      <c r="D77" s="200">
        <v>228416.83481290759</v>
      </c>
      <c r="E77" s="174">
        <f>IFERROR(DT_data[[#This Row],[Объем предложения]]/C65-1,"")</f>
        <v>-4.8057932850559593E-2</v>
      </c>
      <c r="F77" s="174">
        <f>IFERROR(DT_data[[#This Row],[Средневзвешенная цена]]/D65-1,"")</f>
        <v>1.2643948601860355E-2</v>
      </c>
    </row>
    <row r="78" spans="1:6" ht="14.55" customHeight="1" x14ac:dyDescent="0.3">
      <c r="A78" s="180">
        <v>44044</v>
      </c>
      <c r="B78" s="181" t="s">
        <v>11</v>
      </c>
      <c r="C78" s="181">
        <v>4320</v>
      </c>
      <c r="D78" s="200">
        <v>208545.5849842903</v>
      </c>
      <c r="E78" s="174">
        <f>IFERROR(DT_data[[#This Row],[Объем предложения]]/C66-1,"")</f>
        <v>0</v>
      </c>
      <c r="F78" s="174">
        <f>IFERROR(DT_data[[#This Row],[Средневзвешенная цена]]/D66-1,"")</f>
        <v>1.6383782254150825E-2</v>
      </c>
    </row>
    <row r="79" spans="1:6" ht="14.55" customHeight="1" x14ac:dyDescent="0.3">
      <c r="A79" s="180">
        <v>44044</v>
      </c>
      <c r="B79" s="181" t="s">
        <v>12</v>
      </c>
      <c r="C79" s="181">
        <v>2681</v>
      </c>
      <c r="D79" s="200">
        <v>218489.12762679125</v>
      </c>
      <c r="E79" s="174">
        <f>IFERROR(DT_data[[#This Row],[Объем предложения]]/C67-1,"")</f>
        <v>-5.3987297106563137E-2</v>
      </c>
      <c r="F79" s="174">
        <f>IFERROR(DT_data[[#This Row],[Средневзвешенная цена]]/D67-1,"")</f>
        <v>1.0398106183222344E-2</v>
      </c>
    </row>
    <row r="80" spans="1:6" ht="14.55" customHeight="1" x14ac:dyDescent="0.3">
      <c r="A80" s="180">
        <v>44044</v>
      </c>
      <c r="B80" s="181" t="s">
        <v>13</v>
      </c>
      <c r="C80" s="181">
        <v>155</v>
      </c>
      <c r="D80" s="200">
        <v>122283.18840027084</v>
      </c>
      <c r="E80" s="174">
        <f>IFERROR(DT_data[[#This Row],[Объем предложения]]/C68-1,"")</f>
        <v>1.3071895424836555E-2</v>
      </c>
      <c r="F80" s="174">
        <f>IFERROR(DT_data[[#This Row],[Средневзвешенная цена]]/D68-1,"")</f>
        <v>2.8742155495785404E-2</v>
      </c>
    </row>
    <row r="81" spans="1:6" ht="14.55" customHeight="1" x14ac:dyDescent="0.3">
      <c r="A81" s="180">
        <v>44044</v>
      </c>
      <c r="B81" s="181" t="s">
        <v>14</v>
      </c>
      <c r="C81" s="181">
        <v>7104</v>
      </c>
      <c r="D81" s="200">
        <v>473782.59513865499</v>
      </c>
      <c r="E81" s="174">
        <f>IFERROR(DT_data[[#This Row],[Объем предложения]]/C69-1,"")</f>
        <v>-2.2295623451692781E-2</v>
      </c>
      <c r="F81" s="174">
        <f>IFERROR(DT_data[[#This Row],[Средневзвешенная цена]]/D69-1,"")</f>
        <v>7.165521078647874E-3</v>
      </c>
    </row>
    <row r="82" spans="1:6" ht="14.55" customHeight="1" x14ac:dyDescent="0.3">
      <c r="A82" s="180">
        <v>44044</v>
      </c>
      <c r="B82" s="181" t="s">
        <v>15</v>
      </c>
      <c r="C82" s="181">
        <v>4602</v>
      </c>
      <c r="D82" s="200">
        <v>183216.8568633195</v>
      </c>
      <c r="E82" s="174">
        <f>IFERROR(DT_data[[#This Row],[Объем предложения]]/C70-1,"")</f>
        <v>-4.3271311120727241E-3</v>
      </c>
      <c r="F82" s="174">
        <f>IFERROR(DT_data[[#This Row],[Средневзвешенная цена]]/D70-1,"")</f>
        <v>8.9675147426644397E-3</v>
      </c>
    </row>
    <row r="83" spans="1:6" ht="14.55" customHeight="1" x14ac:dyDescent="0.3">
      <c r="A83" s="180">
        <v>44044</v>
      </c>
      <c r="B83" s="181" t="s">
        <v>16</v>
      </c>
      <c r="C83" s="181">
        <v>5215</v>
      </c>
      <c r="D83" s="200">
        <v>225873.2696417782</v>
      </c>
      <c r="E83" s="174">
        <f>IFERROR(DT_data[[#This Row],[Объем предложения]]/C71-1,"")</f>
        <v>-2.2676161919040427E-2</v>
      </c>
      <c r="F83" s="174">
        <f>IFERROR(DT_data[[#This Row],[Средневзвешенная цена]]/D71-1,"")</f>
        <v>8.2096540960181486E-3</v>
      </c>
    </row>
    <row r="84" spans="1:6" ht="14.55" customHeight="1" x14ac:dyDescent="0.3">
      <c r="A84" s="180">
        <v>44044</v>
      </c>
      <c r="B84" s="181" t="s">
        <v>17</v>
      </c>
      <c r="C84" s="181">
        <v>4644</v>
      </c>
      <c r="D84" s="200">
        <v>201862.54458243187</v>
      </c>
      <c r="E84" s="174">
        <f>IFERROR(DT_data[[#This Row],[Объем предложения]]/C72-1,"")</f>
        <v>-2.2315789473684178E-2</v>
      </c>
      <c r="F84" s="174">
        <f>IFERROR(DT_data[[#This Row],[Средневзвешенная цена]]/D72-1,"")</f>
        <v>1.5258642581801318E-2</v>
      </c>
    </row>
    <row r="85" spans="1:6" ht="14.55" customHeight="1" x14ac:dyDescent="0.3">
      <c r="A85" s="180">
        <v>44044</v>
      </c>
      <c r="B85" s="181" t="s">
        <v>175</v>
      </c>
      <c r="C85" s="181">
        <v>0</v>
      </c>
      <c r="D85" s="200">
        <v>0</v>
      </c>
      <c r="E85" s="174" t="str">
        <f>IFERROR(DT_data[[#This Row],[Объем предложения]]/C73-1,"")</f>
        <v/>
      </c>
      <c r="F85" s="174" t="str">
        <f>IFERROR(DT_data[[#This Row],[Средневзвешенная цена]]/D73-1,"")</f>
        <v/>
      </c>
    </row>
    <row r="86" spans="1:6" ht="14.55" customHeight="1" x14ac:dyDescent="0.3">
      <c r="A86" s="180">
        <v>44075</v>
      </c>
      <c r="B86" s="179" t="s">
        <v>7</v>
      </c>
      <c r="C86" s="181">
        <v>4412</v>
      </c>
      <c r="D86" s="200">
        <v>201082.52304088447</v>
      </c>
      <c r="E86" s="174">
        <f>IFERROR(DT_data[[#This Row],[Объем предложения]]/C74-1,"")</f>
        <v>1.3617793917386489E-3</v>
      </c>
      <c r="F86" s="174">
        <f>IFERROR(DT_data[[#This Row],[Средневзвешенная цена]]/D74-1,"")</f>
        <v>2.4052917605041468E-2</v>
      </c>
    </row>
    <row r="87" spans="1:6" ht="14.55" customHeight="1" x14ac:dyDescent="0.3">
      <c r="A87" s="180">
        <v>44075</v>
      </c>
      <c r="B87" s="181" t="s">
        <v>8</v>
      </c>
      <c r="C87" s="181">
        <v>5422</v>
      </c>
      <c r="D87" s="200">
        <v>267512.7984425716</v>
      </c>
      <c r="E87" s="174">
        <f>IFERROR(DT_data[[#This Row],[Объем предложения]]/C75-1,"")</f>
        <v>-5.25947929407653E-2</v>
      </c>
      <c r="F87" s="174">
        <f>IFERROR(DT_data[[#This Row],[Средневзвешенная цена]]/D75-1,"")</f>
        <v>2.4709605133847345E-2</v>
      </c>
    </row>
    <row r="88" spans="1:6" ht="14.55" customHeight="1" x14ac:dyDescent="0.3">
      <c r="A88" s="180">
        <v>44075</v>
      </c>
      <c r="B88" s="181" t="s">
        <v>9</v>
      </c>
      <c r="C88" s="181">
        <v>690</v>
      </c>
      <c r="D88" s="200">
        <v>159503.01647369939</v>
      </c>
      <c r="E88" s="174">
        <f>IFERROR(DT_data[[#This Row],[Объем предложения]]/C76-1,"")</f>
        <v>5.8309037900874383E-3</v>
      </c>
      <c r="F88" s="174">
        <f>IFERROR(DT_data[[#This Row],[Средневзвешенная цена]]/D76-1,"")</f>
        <v>3.2335081104748697E-2</v>
      </c>
    </row>
    <row r="89" spans="1:6" ht="14.55" customHeight="1" x14ac:dyDescent="0.3">
      <c r="A89" s="180">
        <v>44075</v>
      </c>
      <c r="B89" s="181" t="s">
        <v>10</v>
      </c>
      <c r="C89" s="181">
        <v>4169</v>
      </c>
      <c r="D89" s="200">
        <v>233369.73369604201</v>
      </c>
      <c r="E89" s="174">
        <f>IFERROR(DT_data[[#This Row],[Объем предложения]]/C77-1,"")</f>
        <v>-3.8958045182111545E-2</v>
      </c>
      <c r="F89" s="174">
        <f>IFERROR(DT_data[[#This Row],[Средневзвешенная цена]]/D77-1,"")</f>
        <v>2.1683598265387349E-2</v>
      </c>
    </row>
    <row r="90" spans="1:6" ht="14.55" customHeight="1" x14ac:dyDescent="0.3">
      <c r="A90" s="180">
        <v>44075</v>
      </c>
      <c r="B90" s="181" t="s">
        <v>11</v>
      </c>
      <c r="C90" s="181">
        <v>4126</v>
      </c>
      <c r="D90" s="200">
        <v>212295.60668226599</v>
      </c>
      <c r="E90" s="174">
        <f>IFERROR(DT_data[[#This Row],[Объем предложения]]/C78-1,"")</f>
        <v>-4.4907407407407396E-2</v>
      </c>
      <c r="F90" s="174">
        <f>IFERROR(DT_data[[#This Row],[Средневзвешенная цена]]/D78-1,"")</f>
        <v>1.7981784166076542E-2</v>
      </c>
    </row>
    <row r="91" spans="1:6" ht="14.55" customHeight="1" x14ac:dyDescent="0.3">
      <c r="A91" s="180">
        <v>44075</v>
      </c>
      <c r="B91" s="181" t="s">
        <v>12</v>
      </c>
      <c r="C91" s="181">
        <v>2541</v>
      </c>
      <c r="D91" s="200">
        <v>223895.59241500843</v>
      </c>
      <c r="E91" s="174">
        <f>IFERROR(DT_data[[#This Row],[Объем предложения]]/C79-1,"")</f>
        <v>-5.2219321148825104E-2</v>
      </c>
      <c r="F91" s="174">
        <f>IFERROR(DT_data[[#This Row],[Средневзвешенная цена]]/D79-1,"")</f>
        <v>2.4744777220458092E-2</v>
      </c>
    </row>
    <row r="92" spans="1:6" ht="14.55" customHeight="1" x14ac:dyDescent="0.3">
      <c r="A92" s="180">
        <v>44075</v>
      </c>
      <c r="B92" s="181" t="s">
        <v>13</v>
      </c>
      <c r="C92" s="181">
        <v>152</v>
      </c>
      <c r="D92" s="200">
        <v>124611.10201898518</v>
      </c>
      <c r="E92" s="174">
        <f>IFERROR(DT_data[[#This Row],[Объем предложения]]/C80-1,"")</f>
        <v>-1.9354838709677469E-2</v>
      </c>
      <c r="F92" s="174">
        <f>IFERROR(DT_data[[#This Row],[Средневзвешенная цена]]/D80-1,"")</f>
        <v>1.9037070010755386E-2</v>
      </c>
    </row>
    <row r="93" spans="1:6" ht="14.55" customHeight="1" x14ac:dyDescent="0.3">
      <c r="A93" s="180">
        <v>44075</v>
      </c>
      <c r="B93" s="181" t="s">
        <v>14</v>
      </c>
      <c r="C93" s="181">
        <v>7049</v>
      </c>
      <c r="D93" s="200">
        <v>480526.8372177697</v>
      </c>
      <c r="E93" s="174">
        <f>IFERROR(DT_data[[#This Row],[Объем предложения]]/C81-1,"")</f>
        <v>-7.7421171171171421E-3</v>
      </c>
      <c r="F93" s="174">
        <f>IFERROR(DT_data[[#This Row],[Средневзвешенная цена]]/D81-1,"")</f>
        <v>1.4234887790973039E-2</v>
      </c>
    </row>
    <row r="94" spans="1:6" ht="14.55" customHeight="1" x14ac:dyDescent="0.3">
      <c r="A94" s="180">
        <v>44075</v>
      </c>
      <c r="B94" s="181" t="s">
        <v>15</v>
      </c>
      <c r="C94" s="181">
        <v>4600</v>
      </c>
      <c r="D94" s="200">
        <v>187103.08992856898</v>
      </c>
      <c r="E94" s="174">
        <f>IFERROR(DT_data[[#This Row],[Объем предложения]]/C82-1,"")</f>
        <v>-4.3459365493259128E-4</v>
      </c>
      <c r="F94" s="174">
        <f>IFERROR(DT_data[[#This Row],[Средневзвешенная цена]]/D82-1,"")</f>
        <v>2.121111087583305E-2</v>
      </c>
    </row>
    <row r="95" spans="1:6" ht="14.55" customHeight="1" x14ac:dyDescent="0.3">
      <c r="A95" s="180">
        <v>44075</v>
      </c>
      <c r="B95" s="181" t="s">
        <v>16</v>
      </c>
      <c r="C95" s="181">
        <v>4872</v>
      </c>
      <c r="D95" s="200">
        <v>231188.57252377388</v>
      </c>
      <c r="E95" s="174">
        <f>IFERROR(DT_data[[#This Row],[Объем предложения]]/C83-1,"")</f>
        <v>-6.5771812080536951E-2</v>
      </c>
      <c r="F95" s="174">
        <f>IFERROR(DT_data[[#This Row],[Средневзвешенная цена]]/D83-1,"")</f>
        <v>2.3532235091055398E-2</v>
      </c>
    </row>
    <row r="96" spans="1:6" ht="14.55" customHeight="1" x14ac:dyDescent="0.3">
      <c r="A96" s="180">
        <v>44075</v>
      </c>
      <c r="B96" s="181" t="s">
        <v>17</v>
      </c>
      <c r="C96" s="181">
        <v>4584</v>
      </c>
      <c r="D96" s="200">
        <v>206029.49940472984</v>
      </c>
      <c r="E96" s="174">
        <f>IFERROR(DT_data[[#This Row],[Объем предложения]]/C84-1,"")</f>
        <v>-1.2919896640826822E-2</v>
      </c>
      <c r="F96" s="174">
        <f>IFERROR(DT_data[[#This Row],[Средневзвешенная цена]]/D84-1,"")</f>
        <v>2.0642535894499936E-2</v>
      </c>
    </row>
    <row r="97" spans="1:6" ht="14.55" customHeight="1" x14ac:dyDescent="0.3">
      <c r="A97" s="180">
        <v>44075</v>
      </c>
      <c r="B97" s="181" t="s">
        <v>175</v>
      </c>
      <c r="C97" s="181">
        <v>0</v>
      </c>
      <c r="D97" s="200">
        <v>0</v>
      </c>
      <c r="E97" s="174" t="str">
        <f>IFERROR(DT_data[[#This Row],[Объем предложения]]/C85-1,"")</f>
        <v/>
      </c>
      <c r="F97" s="174" t="str">
        <f>IFERROR(DT_data[[#This Row],[Средневзвешенная цена]]/D85-1,"")</f>
        <v/>
      </c>
    </row>
    <row r="98" spans="1:6" ht="14.55" customHeight="1" x14ac:dyDescent="0.3">
      <c r="A98" s="180">
        <v>44105</v>
      </c>
      <c r="B98" s="179" t="s">
        <v>7</v>
      </c>
      <c r="C98" s="181">
        <v>4141</v>
      </c>
      <c r="D98" s="200">
        <v>207111.72337321992</v>
      </c>
      <c r="E98" s="174">
        <f>IFERROR(DT_data[[#This Row],[Объем предложения]]/C86-1,"")</f>
        <v>-6.1423390752493146E-2</v>
      </c>
      <c r="F98" s="174">
        <f>IFERROR(DT_data[[#This Row],[Средневзвешенная цена]]/D86-1,"")</f>
        <v>2.998371136963307E-2</v>
      </c>
    </row>
    <row r="99" spans="1:6" ht="14.55" customHeight="1" x14ac:dyDescent="0.3">
      <c r="A99" s="180">
        <v>44105</v>
      </c>
      <c r="B99" s="181" t="s">
        <v>8</v>
      </c>
      <c r="C99" s="181">
        <v>5134</v>
      </c>
      <c r="D99" s="200">
        <v>274968.23374355608</v>
      </c>
      <c r="E99" s="174">
        <f>IFERROR(DT_data[[#This Row],[Объем предложения]]/C87-1,"")</f>
        <v>-5.3116931021763181E-2</v>
      </c>
      <c r="F99" s="174">
        <f>IFERROR(DT_data[[#This Row],[Средневзвешенная цена]]/D87-1,"")</f>
        <v>2.786945276782693E-2</v>
      </c>
    </row>
    <row r="100" spans="1:6" ht="14.55" customHeight="1" x14ac:dyDescent="0.3">
      <c r="A100" s="180">
        <v>44105</v>
      </c>
      <c r="B100" s="181" t="s">
        <v>9</v>
      </c>
      <c r="C100" s="181">
        <v>667</v>
      </c>
      <c r="D100" s="200">
        <v>163550.63416633816</v>
      </c>
      <c r="E100" s="174">
        <f>IFERROR(DT_data[[#This Row],[Объем предложения]]/C88-1,"")</f>
        <v>-3.3333333333333326E-2</v>
      </c>
      <c r="F100" s="174">
        <f>IFERROR(DT_data[[#This Row],[Средневзвешенная цена]]/D88-1,"")</f>
        <v>2.5376433512818153E-2</v>
      </c>
    </row>
    <row r="101" spans="1:6" ht="14.55" customHeight="1" x14ac:dyDescent="0.3">
      <c r="A101" s="180">
        <v>44105</v>
      </c>
      <c r="B101" s="181" t="s">
        <v>10</v>
      </c>
      <c r="C101" s="181">
        <v>3988</v>
      </c>
      <c r="D101" s="200">
        <v>240481.15474768801</v>
      </c>
      <c r="E101" s="174">
        <f>IFERROR(DT_data[[#This Row],[Объем предложения]]/C89-1,"")</f>
        <v>-4.3415687215159537E-2</v>
      </c>
      <c r="F101" s="174">
        <f>IFERROR(DT_data[[#This Row],[Средневзвешенная цена]]/D89-1,"")</f>
        <v>3.0472764994060597E-2</v>
      </c>
    </row>
    <row r="102" spans="1:6" ht="14.55" customHeight="1" x14ac:dyDescent="0.3">
      <c r="A102" s="180">
        <v>44105</v>
      </c>
      <c r="B102" s="181" t="s">
        <v>11</v>
      </c>
      <c r="C102" s="181">
        <v>3863</v>
      </c>
      <c r="D102" s="200">
        <v>218383.82581986193</v>
      </c>
      <c r="E102" s="174">
        <f>IFERROR(DT_data[[#This Row],[Объем предложения]]/C90-1,"")</f>
        <v>-6.3742123121667493E-2</v>
      </c>
      <c r="F102" s="174">
        <f>IFERROR(DT_data[[#This Row],[Средневзвешенная цена]]/D90-1,"")</f>
        <v>2.8678026986719063E-2</v>
      </c>
    </row>
    <row r="103" spans="1:6" ht="14.55" customHeight="1" x14ac:dyDescent="0.3">
      <c r="A103" s="180">
        <v>44105</v>
      </c>
      <c r="B103" s="181" t="s">
        <v>12</v>
      </c>
      <c r="C103" s="181">
        <v>2408</v>
      </c>
      <c r="D103" s="200">
        <v>232284.88158100072</v>
      </c>
      <c r="E103" s="174">
        <f>IFERROR(DT_data[[#This Row],[Объем предложения]]/C91-1,"")</f>
        <v>-5.2341597796143224E-2</v>
      </c>
      <c r="F103" s="174">
        <f>IFERROR(DT_data[[#This Row],[Средневзвешенная цена]]/D91-1,"")</f>
        <v>3.7469648578173365E-2</v>
      </c>
    </row>
    <row r="104" spans="1:6" ht="14.55" customHeight="1" x14ac:dyDescent="0.3">
      <c r="A104" s="180">
        <v>44105</v>
      </c>
      <c r="B104" s="181" t="s">
        <v>13</v>
      </c>
      <c r="C104" s="181">
        <v>143</v>
      </c>
      <c r="D104" s="200">
        <v>129934.95857910582</v>
      </c>
      <c r="E104" s="174">
        <f>IFERROR(DT_data[[#This Row],[Объем предложения]]/C92-1,"")</f>
        <v>-5.9210526315789491E-2</v>
      </c>
      <c r="F104" s="174">
        <f>IFERROR(DT_data[[#This Row],[Средневзвешенная цена]]/D92-1,"")</f>
        <v>4.2723773996553804E-2</v>
      </c>
    </row>
    <row r="105" spans="1:6" ht="14.55" customHeight="1" x14ac:dyDescent="0.3">
      <c r="A105" s="180">
        <v>44105</v>
      </c>
      <c r="B105" s="181" t="s">
        <v>14</v>
      </c>
      <c r="C105" s="181">
        <v>6784</v>
      </c>
      <c r="D105" s="200">
        <v>485369.39769288228</v>
      </c>
      <c r="E105" s="174">
        <f>IFERROR(DT_data[[#This Row],[Объем предложения]]/C93-1,"")</f>
        <v>-3.7593984962406068E-2</v>
      </c>
      <c r="F105" s="174">
        <f>IFERROR(DT_data[[#This Row],[Средневзвешенная цена]]/D93-1,"")</f>
        <v>1.0077606701741848E-2</v>
      </c>
    </row>
    <row r="106" spans="1:6" ht="14.55" customHeight="1" x14ac:dyDescent="0.3">
      <c r="A106" s="180">
        <v>44105</v>
      </c>
      <c r="B106" s="181" t="s">
        <v>15</v>
      </c>
      <c r="C106" s="181">
        <v>4215</v>
      </c>
      <c r="D106" s="200">
        <v>193257.30812112009</v>
      </c>
      <c r="E106" s="174">
        <f>IFERROR(DT_data[[#This Row],[Объем предложения]]/C94-1,"")</f>
        <v>-8.369565217391306E-2</v>
      </c>
      <c r="F106" s="174">
        <f>IFERROR(DT_data[[#This Row],[Средневзвешенная цена]]/D94-1,"")</f>
        <v>3.2892124843585613E-2</v>
      </c>
    </row>
    <row r="107" spans="1:6" ht="14.55" customHeight="1" x14ac:dyDescent="0.3">
      <c r="A107" s="180">
        <v>44105</v>
      </c>
      <c r="B107" s="181" t="s">
        <v>16</v>
      </c>
      <c r="C107" s="181">
        <v>4439</v>
      </c>
      <c r="D107" s="200">
        <v>238795.99123354859</v>
      </c>
      <c r="E107" s="174">
        <f>IFERROR(DT_data[[#This Row],[Объем предложения]]/C95-1,"")</f>
        <v>-8.8875205254515643E-2</v>
      </c>
      <c r="F107" s="174">
        <f>IFERROR(DT_data[[#This Row],[Средневзвешенная цена]]/D95-1,"")</f>
        <v>3.2905686586184535E-2</v>
      </c>
    </row>
    <row r="108" spans="1:6" ht="14.55" customHeight="1" x14ac:dyDescent="0.3">
      <c r="A108" s="180">
        <v>44105</v>
      </c>
      <c r="B108" s="181" t="s">
        <v>17</v>
      </c>
      <c r="C108" s="181">
        <v>4262</v>
      </c>
      <c r="D108" s="200">
        <v>213104.89335435766</v>
      </c>
      <c r="E108" s="174">
        <f>IFERROR(DT_data[[#This Row],[Объем предложения]]/C96-1,"")</f>
        <v>-7.024432809773129E-2</v>
      </c>
      <c r="F108" s="174">
        <f>IFERROR(DT_data[[#This Row],[Средневзвешенная цена]]/D96-1,"")</f>
        <v>3.4341654811909761E-2</v>
      </c>
    </row>
    <row r="109" spans="1:6" ht="14.55" customHeight="1" x14ac:dyDescent="0.3">
      <c r="A109" s="180">
        <v>44105</v>
      </c>
      <c r="B109" s="181" t="s">
        <v>175</v>
      </c>
      <c r="C109" s="181">
        <v>0</v>
      </c>
      <c r="D109" s="200">
        <v>0</v>
      </c>
      <c r="E109" s="174" t="str">
        <f>IFERROR(DT_data[[#This Row],[Объем предложения]]/C97-1,"")</f>
        <v/>
      </c>
      <c r="F109" s="174" t="str">
        <f>IFERROR(DT_data[[#This Row],[Средневзвешенная цена]]/D97-1,"")</f>
        <v/>
      </c>
    </row>
    <row r="110" spans="1:6" ht="14.55" customHeight="1" x14ac:dyDescent="0.3">
      <c r="A110" s="180">
        <v>44136</v>
      </c>
      <c r="B110" s="179" t="s">
        <v>7</v>
      </c>
      <c r="C110" s="181">
        <v>3694</v>
      </c>
      <c r="D110" s="200">
        <v>213064</v>
      </c>
      <c r="E110" s="174">
        <f>IFERROR(DT_data[[#This Row],[Объем предложения]]/C98-1,"")</f>
        <v>-0.10794494083554695</v>
      </c>
      <c r="F110" s="174">
        <f>IFERROR(DT_data[[#This Row],[Средневзвешенная цена]]/D98-1,"")</f>
        <v>2.873944810962703E-2</v>
      </c>
    </row>
    <row r="111" spans="1:6" ht="14.55" customHeight="1" x14ac:dyDescent="0.3">
      <c r="A111" s="180">
        <v>44136</v>
      </c>
      <c r="B111" s="181" t="s">
        <v>8</v>
      </c>
      <c r="C111" s="181">
        <v>4691</v>
      </c>
      <c r="D111" s="200">
        <v>284145.07223511301</v>
      </c>
      <c r="E111" s="174">
        <f>IFERROR(DT_data[[#This Row],[Объем предложения]]/C99-1,"")</f>
        <v>-8.628749513050249E-2</v>
      </c>
      <c r="F111" s="174">
        <f>IFERROR(DT_data[[#This Row],[Средневзвешенная цена]]/D99-1,"")</f>
        <v>3.3374176960803137E-2</v>
      </c>
    </row>
    <row r="112" spans="1:6" ht="14.55" customHeight="1" x14ac:dyDescent="0.3">
      <c r="A112" s="180">
        <v>44136</v>
      </c>
      <c r="B112" s="181" t="s">
        <v>9</v>
      </c>
      <c r="C112" s="181">
        <v>555</v>
      </c>
      <c r="D112" s="200">
        <v>166987.00442482485</v>
      </c>
      <c r="E112" s="174">
        <f>IFERROR(DT_data[[#This Row],[Объем предложения]]/C100-1,"")</f>
        <v>-0.16791604197901044</v>
      </c>
      <c r="F112" s="174">
        <f>IFERROR(DT_data[[#This Row],[Средневзвешенная цена]]/D100-1,"")</f>
        <v>2.101104820536337E-2</v>
      </c>
    </row>
    <row r="113" spans="1:6" ht="14.55" customHeight="1" x14ac:dyDescent="0.3">
      <c r="A113" s="180">
        <v>44136</v>
      </c>
      <c r="B113" s="181" t="s">
        <v>10</v>
      </c>
      <c r="C113" s="181">
        <v>3591</v>
      </c>
      <c r="D113" s="200">
        <v>248660.81808217699</v>
      </c>
      <c r="E113" s="174">
        <f>IFERROR(DT_data[[#This Row],[Объем предложения]]/C101-1,"")</f>
        <v>-9.9548645937813429E-2</v>
      </c>
      <c r="F113" s="174">
        <f>IFERROR(DT_data[[#This Row],[Средневзвешенная цена]]/D101-1,"")</f>
        <v>3.4013739426156153E-2</v>
      </c>
    </row>
    <row r="114" spans="1:6" ht="14.55" customHeight="1" x14ac:dyDescent="0.3">
      <c r="A114" s="180">
        <v>44136</v>
      </c>
      <c r="B114" s="181" t="s">
        <v>11</v>
      </c>
      <c r="C114" s="181">
        <v>3504</v>
      </c>
      <c r="D114" s="200">
        <v>224126.573099884</v>
      </c>
      <c r="E114" s="174">
        <f>IFERROR(DT_data[[#This Row],[Объем предложения]]/C102-1,"")</f>
        <v>-9.2932953662956286E-2</v>
      </c>
      <c r="F114" s="174">
        <f>IFERROR(DT_data[[#This Row],[Средневзвешенная цена]]/D102-1,"")</f>
        <v>2.6296577864512116E-2</v>
      </c>
    </row>
    <row r="115" spans="1:6" ht="14.55" customHeight="1" x14ac:dyDescent="0.3">
      <c r="A115" s="180">
        <v>44136</v>
      </c>
      <c r="B115" s="181" t="s">
        <v>12</v>
      </c>
      <c r="C115" s="181">
        <v>2275</v>
      </c>
      <c r="D115" s="200">
        <v>240315.44433147885</v>
      </c>
      <c r="E115" s="174">
        <f>IFERROR(DT_data[[#This Row],[Объем предложения]]/C103-1,"")</f>
        <v>-5.5232558139534871E-2</v>
      </c>
      <c r="F115" s="174">
        <f>IFERROR(DT_data[[#This Row],[Средневзвешенная цена]]/D103-1,"")</f>
        <v>3.4572042294873873E-2</v>
      </c>
    </row>
    <row r="116" spans="1:6" ht="14.55" customHeight="1" x14ac:dyDescent="0.3">
      <c r="A116" s="180">
        <v>44136</v>
      </c>
      <c r="B116" s="181" t="s">
        <v>13</v>
      </c>
      <c r="C116" s="181">
        <v>128</v>
      </c>
      <c r="D116" s="200">
        <v>129043</v>
      </c>
      <c r="E116" s="174">
        <f>IFERROR(DT_data[[#This Row],[Объем предложения]]/C104-1,"")</f>
        <v>-0.1048951048951049</v>
      </c>
      <c r="F116" s="174">
        <f>IFERROR(DT_data[[#This Row],[Средневзвешенная цена]]/D104-1,"")</f>
        <v>-6.8646543536841076E-3</v>
      </c>
    </row>
    <row r="117" spans="1:6" ht="14.55" customHeight="1" x14ac:dyDescent="0.3">
      <c r="A117" s="180">
        <v>44136</v>
      </c>
      <c r="B117" s="181" t="s">
        <v>14</v>
      </c>
      <c r="C117" s="181">
        <v>6356</v>
      </c>
      <c r="D117" s="200">
        <v>492923.83831749501</v>
      </c>
      <c r="E117" s="174">
        <f>IFERROR(DT_data[[#This Row],[Объем предложения]]/C105-1,"")</f>
        <v>-6.3089622641509413E-2</v>
      </c>
      <c r="F117" s="174">
        <f>IFERROR(DT_data[[#This Row],[Средневзвешенная цена]]/D105-1,"")</f>
        <v>1.5564311760324134E-2</v>
      </c>
    </row>
    <row r="118" spans="1:6" ht="14.55" customHeight="1" x14ac:dyDescent="0.3">
      <c r="A118" s="180">
        <v>44136</v>
      </c>
      <c r="B118" s="181" t="s">
        <v>15</v>
      </c>
      <c r="C118" s="181">
        <v>3865</v>
      </c>
      <c r="D118" s="200">
        <v>198357.59282107299</v>
      </c>
      <c r="E118" s="174">
        <f>IFERROR(DT_data[[#This Row],[Объем предложения]]/C106-1,"")</f>
        <v>-8.3036773428232458E-2</v>
      </c>
      <c r="F118" s="174">
        <f>IFERROR(DT_data[[#This Row],[Средневзвешенная цена]]/D106-1,"")</f>
        <v>2.639116082873505E-2</v>
      </c>
    </row>
    <row r="119" spans="1:6" ht="14.55" customHeight="1" x14ac:dyDescent="0.3">
      <c r="A119" s="180">
        <v>44136</v>
      </c>
      <c r="B119" s="181" t="s">
        <v>16</v>
      </c>
      <c r="C119" s="181">
        <v>4055</v>
      </c>
      <c r="D119" s="200">
        <v>242855.65252428901</v>
      </c>
      <c r="E119" s="174">
        <f>IFERROR(DT_data[[#This Row],[Объем предложения]]/C107-1,"")</f>
        <v>-8.6505969813020944E-2</v>
      </c>
      <c r="F119" s="174">
        <f>IFERROR(DT_data[[#This Row],[Средневзвешенная цена]]/D107-1,"")</f>
        <v>1.7000542051687884E-2</v>
      </c>
    </row>
    <row r="120" spans="1:6" ht="14.55" customHeight="1" x14ac:dyDescent="0.3">
      <c r="A120" s="180">
        <v>44136</v>
      </c>
      <c r="B120" s="181" t="s">
        <v>17</v>
      </c>
      <c r="C120" s="181">
        <v>3817</v>
      </c>
      <c r="D120" s="200">
        <v>220071.7056246</v>
      </c>
      <c r="E120" s="174">
        <f>IFERROR(DT_data[[#This Row],[Объем предложения]]/C108-1,"")</f>
        <v>-0.10441107461285781</v>
      </c>
      <c r="F120" s="174">
        <f>IFERROR(DT_data[[#This Row],[Средневзвешенная цена]]/D108-1,"")</f>
        <v>3.269193945095239E-2</v>
      </c>
    </row>
    <row r="121" spans="1:6" ht="14.55" customHeight="1" x14ac:dyDescent="0.3">
      <c r="A121" s="180">
        <v>44136</v>
      </c>
      <c r="B121" s="181" t="s">
        <v>175</v>
      </c>
      <c r="C121" s="181">
        <v>0</v>
      </c>
      <c r="D121" s="200">
        <v>0</v>
      </c>
      <c r="E121" s="174" t="str">
        <f>IFERROR(DT_data[[#This Row],[Объем предложения]]/C109-1,"")</f>
        <v/>
      </c>
      <c r="F121" s="174" t="str">
        <f>IFERROR(DT_data[[#This Row],[Средневзвешенная цена]]/D109-1,"")</f>
        <v/>
      </c>
    </row>
    <row r="122" spans="1:6" ht="14.55" customHeight="1" x14ac:dyDescent="0.3">
      <c r="A122" s="180">
        <v>44166</v>
      </c>
      <c r="B122" s="179" t="s">
        <v>7</v>
      </c>
      <c r="C122" s="181">
        <v>3285</v>
      </c>
      <c r="D122" s="200">
        <v>217457.92610578501</v>
      </c>
      <c r="E122" s="174">
        <f>IFERROR(DT_data[[#This Row],[Объем предложения]]/C110-1,"")</f>
        <v>-0.11072008662696264</v>
      </c>
      <c r="F122" s="174">
        <f>IFERROR(DT_data[[#This Row],[Средневзвешенная цена]]/D110-1,"")</f>
        <v>2.0622564608685723E-2</v>
      </c>
    </row>
    <row r="123" spans="1:6" ht="14.55" customHeight="1" x14ac:dyDescent="0.3">
      <c r="A123" s="180">
        <v>44166</v>
      </c>
      <c r="B123" s="181" t="s">
        <v>8</v>
      </c>
      <c r="C123" s="181">
        <v>4250</v>
      </c>
      <c r="D123" s="200">
        <v>285015.17727373273</v>
      </c>
      <c r="E123" s="174">
        <f>IFERROR(DT_data[[#This Row],[Объем предложения]]/C111-1,"")</f>
        <v>-9.4009806011511432E-2</v>
      </c>
      <c r="F123" s="174">
        <f>IFERROR(DT_data[[#This Row],[Средневзвешенная цена]]/D111-1,"")</f>
        <v>3.0621859171280352E-3</v>
      </c>
    </row>
    <row r="124" spans="1:6" ht="14.55" customHeight="1" x14ac:dyDescent="0.3">
      <c r="A124" s="180">
        <v>44166</v>
      </c>
      <c r="B124" s="181" t="s">
        <v>9</v>
      </c>
      <c r="C124" s="181">
        <v>402</v>
      </c>
      <c r="D124" s="200">
        <v>168456</v>
      </c>
      <c r="E124" s="174">
        <f>IFERROR(DT_data[[#This Row],[Объем предложения]]/C112-1,"")</f>
        <v>-0.27567567567567564</v>
      </c>
      <c r="F124" s="174">
        <f>IFERROR(DT_data[[#This Row],[Средневзвешенная цена]]/D112-1,"")</f>
        <v>8.797065258072001E-3</v>
      </c>
    </row>
    <row r="125" spans="1:6" ht="14.55" customHeight="1" x14ac:dyDescent="0.3">
      <c r="A125" s="180">
        <v>44166</v>
      </c>
      <c r="B125" s="181" t="s">
        <v>10</v>
      </c>
      <c r="C125" s="181">
        <v>3271</v>
      </c>
      <c r="D125" s="200">
        <v>249103.2130907815</v>
      </c>
      <c r="E125" s="174">
        <f>IFERROR(DT_data[[#This Row],[Объем предложения]]/C113-1,"")</f>
        <v>-8.9111668059036475E-2</v>
      </c>
      <c r="F125" s="174">
        <f>IFERROR(DT_data[[#This Row],[Средневзвешенная цена]]/D113-1,"")</f>
        <v>1.7791102434896455E-3</v>
      </c>
    </row>
    <row r="126" spans="1:6" ht="14.55" customHeight="1" x14ac:dyDescent="0.3">
      <c r="A126" s="180">
        <v>44166</v>
      </c>
      <c r="B126" s="181" t="s">
        <v>11</v>
      </c>
      <c r="C126" s="181">
        <v>3212</v>
      </c>
      <c r="D126" s="200">
        <v>227430.00151716819</v>
      </c>
      <c r="E126" s="174">
        <f>IFERROR(DT_data[[#This Row],[Объем предложения]]/C114-1,"")</f>
        <v>-8.333333333333337E-2</v>
      </c>
      <c r="F126" s="174">
        <f>IFERROR(DT_data[[#This Row],[Средневзвешенная цена]]/D114-1,"")</f>
        <v>1.4739119826777447E-2</v>
      </c>
    </row>
    <row r="127" spans="1:6" ht="14.55" customHeight="1" x14ac:dyDescent="0.3">
      <c r="A127" s="180">
        <v>44166</v>
      </c>
      <c r="B127" s="181" t="s">
        <v>12</v>
      </c>
      <c r="C127" s="181">
        <v>2059</v>
      </c>
      <c r="D127" s="200">
        <v>248499.86160222249</v>
      </c>
      <c r="E127" s="174">
        <f>IFERROR(DT_data[[#This Row],[Объем предложения]]/C115-1,"")</f>
        <v>-9.4945054945054896E-2</v>
      </c>
      <c r="F127" s="174">
        <f>IFERROR(DT_data[[#This Row],[Средневзвешенная цена]]/D115-1,"")</f>
        <v>3.4056975794924282E-2</v>
      </c>
    </row>
    <row r="128" spans="1:6" ht="14.55" customHeight="1" x14ac:dyDescent="0.3">
      <c r="A128" s="180">
        <v>44166</v>
      </c>
      <c r="B128" s="181" t="s">
        <v>13</v>
      </c>
      <c r="C128" s="181" t="s">
        <v>18</v>
      </c>
      <c r="D128" s="200">
        <v>129358</v>
      </c>
      <c r="E128" s="174" t="str">
        <f>IFERROR(DT_data[[#This Row],[Объем предложения]]/C116-1,"")</f>
        <v/>
      </c>
      <c r="F128" s="174">
        <f>IFERROR(DT_data[[#This Row],[Средневзвешенная цена]]/D116-1,"")</f>
        <v>2.4410467828552829E-3</v>
      </c>
    </row>
    <row r="129" spans="1:6" ht="14.55" customHeight="1" x14ac:dyDescent="0.3">
      <c r="A129" s="180">
        <v>44166</v>
      </c>
      <c r="B129" s="181" t="s">
        <v>14</v>
      </c>
      <c r="C129" s="181">
        <v>6021</v>
      </c>
      <c r="D129" s="200">
        <v>492266.94837677892</v>
      </c>
      <c r="E129" s="174">
        <f>IFERROR(DT_data[[#This Row],[Объем предложения]]/C117-1,"")</f>
        <v>-5.2706104468218995E-2</v>
      </c>
      <c r="F129" s="174">
        <f>IFERROR(DT_data[[#This Row],[Средневзвешенная цена]]/D117-1,"")</f>
        <v>-1.3326398312532017E-3</v>
      </c>
    </row>
    <row r="130" spans="1:6" ht="14.55" customHeight="1" x14ac:dyDescent="0.3">
      <c r="A130" s="180">
        <v>44166</v>
      </c>
      <c r="B130" s="181" t="s">
        <v>15</v>
      </c>
      <c r="C130" s="181">
        <v>3549</v>
      </c>
      <c r="D130" s="200">
        <v>204423.53773625591</v>
      </c>
      <c r="E130" s="174">
        <f>IFERROR(DT_data[[#This Row],[Объем предложения]]/C118-1,"")</f>
        <v>-8.1759379042690816E-2</v>
      </c>
      <c r="F130" s="174">
        <f>IFERROR(DT_data[[#This Row],[Средневзвешенная цена]]/D118-1,"")</f>
        <v>3.0580855660285566E-2</v>
      </c>
    </row>
    <row r="131" spans="1:6" ht="14.55" customHeight="1" x14ac:dyDescent="0.3">
      <c r="A131" s="180">
        <v>44166</v>
      </c>
      <c r="B131" s="181" t="s">
        <v>16</v>
      </c>
      <c r="C131" s="181">
        <v>3613</v>
      </c>
      <c r="D131" s="200">
        <v>251075.408196409</v>
      </c>
      <c r="E131" s="174">
        <f>IFERROR(DT_data[[#This Row],[Объем предложения]]/C119-1,"")</f>
        <v>-0.1090012330456227</v>
      </c>
      <c r="F131" s="174">
        <f>IFERROR(DT_data[[#This Row],[Средневзвешенная цена]]/D119-1,"")</f>
        <v>3.3846260470704603E-2</v>
      </c>
    </row>
    <row r="132" spans="1:6" ht="14.55" customHeight="1" x14ac:dyDescent="0.3">
      <c r="A132" s="180">
        <v>44166</v>
      </c>
      <c r="B132" s="181" t="s">
        <v>17</v>
      </c>
      <c r="C132" s="181">
        <v>3383</v>
      </c>
      <c r="D132" s="200">
        <v>224172.18010997921</v>
      </c>
      <c r="E132" s="174">
        <f>IFERROR(DT_data[[#This Row],[Объем предложения]]/C120-1,"")</f>
        <v>-0.11370186009955463</v>
      </c>
      <c r="F132" s="174">
        <f>IFERROR(DT_data[[#This Row],[Средневзвешенная цена]]/D120-1,"")</f>
        <v>1.8632447427720855E-2</v>
      </c>
    </row>
    <row r="133" spans="1:6" ht="14.55" customHeight="1" x14ac:dyDescent="0.3">
      <c r="A133" s="180">
        <v>44166</v>
      </c>
      <c r="B133" s="181" t="s">
        <v>175</v>
      </c>
      <c r="C133" s="181">
        <v>0</v>
      </c>
      <c r="D133" s="200">
        <v>0</v>
      </c>
      <c r="E133" s="174" t="str">
        <f>IFERROR(DT_data[[#This Row],[Объем предложения]]/C121-1,"")</f>
        <v/>
      </c>
      <c r="F133" s="174" t="str">
        <f>IFERROR(DT_data[[#This Row],[Средневзвешенная цена]]/D121-1,"")</f>
        <v/>
      </c>
    </row>
    <row r="134" spans="1:6" ht="14.55" customHeight="1" x14ac:dyDescent="0.3">
      <c r="A134" s="180">
        <v>44197</v>
      </c>
      <c r="B134" s="179" t="s">
        <v>7</v>
      </c>
      <c r="C134" s="181">
        <v>3195</v>
      </c>
      <c r="D134" s="200">
        <v>222408.36348782439</v>
      </c>
      <c r="E134" s="174">
        <f>IFERROR(DT_data[[#This Row],[Объем предложения]]/C122-1,"")</f>
        <v>-2.7397260273972601E-2</v>
      </c>
      <c r="F134" s="174">
        <f>IFERROR(DT_data[[#This Row],[Средневзвешенная цена]]/D122-1,"")</f>
        <v>2.2765035382666055E-2</v>
      </c>
    </row>
    <row r="135" spans="1:6" ht="14.55" customHeight="1" x14ac:dyDescent="0.3">
      <c r="A135" s="180">
        <v>44197</v>
      </c>
      <c r="B135" s="181" t="s">
        <v>8</v>
      </c>
      <c r="C135" s="181">
        <v>4300</v>
      </c>
      <c r="D135" s="200">
        <v>288669.41646255122</v>
      </c>
      <c r="E135" s="174">
        <f>IFERROR(DT_data[[#This Row],[Объем предложения]]/C123-1,"")</f>
        <v>1.1764705882352899E-2</v>
      </c>
      <c r="F135" s="174">
        <f>IFERROR(DT_data[[#This Row],[Средневзвешенная цена]]/D123-1,"")</f>
        <v>1.2821209115151389E-2</v>
      </c>
    </row>
    <row r="136" spans="1:6" ht="14.55" customHeight="1" x14ac:dyDescent="0.3">
      <c r="A136" s="180">
        <v>44197</v>
      </c>
      <c r="B136" s="181" t="s">
        <v>9</v>
      </c>
      <c r="C136" s="181">
        <v>1004</v>
      </c>
      <c r="D136" s="200">
        <v>169893.75244082001</v>
      </c>
      <c r="E136" s="174">
        <f>IFERROR(DT_data[[#This Row],[Объем предложения]]/C124-1,"")</f>
        <v>1.4975124378109452</v>
      </c>
      <c r="F136" s="174">
        <f>IFERROR(DT_data[[#This Row],[Средневзвешенная цена]]/D124-1,"")</f>
        <v>8.5348841289121236E-3</v>
      </c>
    </row>
    <row r="137" spans="1:6" ht="14.55" customHeight="1" x14ac:dyDescent="0.3">
      <c r="A137" s="180">
        <v>44197</v>
      </c>
      <c r="B137" s="181" t="s">
        <v>10</v>
      </c>
      <c r="C137" s="181">
        <v>3263</v>
      </c>
      <c r="D137" s="200">
        <v>254214.55851797509</v>
      </c>
      <c r="E137" s="174">
        <f>IFERROR(DT_data[[#This Row],[Объем предложения]]/C125-1,"")</f>
        <v>-2.4457352491592532E-3</v>
      </c>
      <c r="F137" s="174">
        <f>IFERROR(DT_data[[#This Row],[Средневзвешенная цена]]/D125-1,"")</f>
        <v>2.0518986342142664E-2</v>
      </c>
    </row>
    <row r="138" spans="1:6" ht="14.55" customHeight="1" x14ac:dyDescent="0.3">
      <c r="A138" s="180">
        <v>44197</v>
      </c>
      <c r="B138" s="181" t="s">
        <v>11</v>
      </c>
      <c r="C138" s="181">
        <v>3218</v>
      </c>
      <c r="D138" s="200">
        <v>226980.94736958799</v>
      </c>
      <c r="E138" s="174">
        <f>IFERROR(DT_data[[#This Row],[Объем предложения]]/C126-1,"")</f>
        <v>1.8679950186799577E-3</v>
      </c>
      <c r="F138" s="174">
        <f>IFERROR(DT_data[[#This Row],[Средневзвешенная цена]]/D126-1,"")</f>
        <v>-1.9744719016162593E-3</v>
      </c>
    </row>
    <row r="139" spans="1:6" ht="14.55" customHeight="1" x14ac:dyDescent="0.3">
      <c r="A139" s="180">
        <v>44197</v>
      </c>
      <c r="B139" s="181" t="s">
        <v>12</v>
      </c>
      <c r="C139" s="181">
        <v>2011</v>
      </c>
      <c r="D139" s="200">
        <v>252079.08210971011</v>
      </c>
      <c r="E139" s="174">
        <f>IFERROR(DT_data[[#This Row],[Объем предложения]]/C127-1,"")</f>
        <v>-2.3312287518212682E-2</v>
      </c>
      <c r="F139" s="174">
        <f>IFERROR(DT_data[[#This Row],[Средневзвешенная цена]]/D127-1,"")</f>
        <v>1.4403309862670799E-2</v>
      </c>
    </row>
    <row r="140" spans="1:6" ht="14.55" customHeight="1" x14ac:dyDescent="0.3">
      <c r="A140" s="180">
        <v>44197</v>
      </c>
      <c r="B140" s="181" t="s">
        <v>13</v>
      </c>
      <c r="C140" s="181">
        <v>366</v>
      </c>
      <c r="D140" s="200">
        <v>129570.29291170731</v>
      </c>
      <c r="E140" s="174" t="str">
        <f>IFERROR(DT_data[[#This Row],[Объем предложения]]/C128-1,"")</f>
        <v/>
      </c>
      <c r="F140" s="174">
        <f>IFERROR(DT_data[[#This Row],[Средневзвешенная цена]]/D128-1,"")</f>
        <v>1.6411270405178868E-3</v>
      </c>
    </row>
    <row r="141" spans="1:6" ht="14.55" customHeight="1" x14ac:dyDescent="0.3">
      <c r="A141" s="180">
        <v>44197</v>
      </c>
      <c r="B141" s="181" t="s">
        <v>14</v>
      </c>
      <c r="C141" s="181">
        <v>5911</v>
      </c>
      <c r="D141" s="200">
        <v>496551.37231304799</v>
      </c>
      <c r="E141" s="174">
        <f>IFERROR(DT_data[[#This Row],[Объем предложения]]/C129-1,"")</f>
        <v>-1.8269390466699842E-2</v>
      </c>
      <c r="F141" s="174">
        <f>IFERROR(DT_data[[#This Row],[Средневзвешенная цена]]/D129-1,"")</f>
        <v>8.703456428258427E-3</v>
      </c>
    </row>
    <row r="142" spans="1:6" ht="14.55" customHeight="1" x14ac:dyDescent="0.3">
      <c r="A142" s="180">
        <v>44197</v>
      </c>
      <c r="B142" s="181" t="s">
        <v>15</v>
      </c>
      <c r="C142" s="181">
        <v>3518</v>
      </c>
      <c r="D142" s="200">
        <v>207722.82884056869</v>
      </c>
      <c r="E142" s="174">
        <f>IFERROR(DT_data[[#This Row],[Объем предложения]]/C130-1,"")</f>
        <v>-8.7348548887010713E-3</v>
      </c>
      <c r="F142" s="174">
        <f>IFERROR(DT_data[[#This Row],[Средневзвешенная цена]]/D130-1,"")</f>
        <v>1.6139487364559058E-2</v>
      </c>
    </row>
    <row r="143" spans="1:6" ht="14.55" customHeight="1" x14ac:dyDescent="0.3">
      <c r="A143" s="180">
        <v>44197</v>
      </c>
      <c r="B143" s="181" t="s">
        <v>16</v>
      </c>
      <c r="C143" s="181">
        <v>3637</v>
      </c>
      <c r="D143" s="200">
        <v>252676.76757866339</v>
      </c>
      <c r="E143" s="174">
        <f>IFERROR(DT_data[[#This Row],[Объем предложения]]/C131-1,"")</f>
        <v>6.642679213949565E-3</v>
      </c>
      <c r="F143" s="174">
        <f>IFERROR(DT_data[[#This Row],[Средневзвешенная цена]]/D131-1,"")</f>
        <v>6.3780017077645912E-3</v>
      </c>
    </row>
    <row r="144" spans="1:6" ht="14.55" customHeight="1" x14ac:dyDescent="0.3">
      <c r="A144" s="180">
        <v>44197</v>
      </c>
      <c r="B144" s="181" t="s">
        <v>17</v>
      </c>
      <c r="C144" s="181">
        <v>3273</v>
      </c>
      <c r="D144" s="200">
        <v>229702.2527081068</v>
      </c>
      <c r="E144" s="174">
        <f>IFERROR(DT_data[[#This Row],[Объем предложения]]/C132-1,"")</f>
        <v>-3.2515518770322216E-2</v>
      </c>
      <c r="F144" s="174">
        <f>IFERROR(DT_data[[#This Row],[Средневзвешенная цена]]/D132-1,"")</f>
        <v>2.4668862101508537E-2</v>
      </c>
    </row>
    <row r="145" spans="1:6" ht="14.55" customHeight="1" x14ac:dyDescent="0.3">
      <c r="A145" s="180">
        <v>44197</v>
      </c>
      <c r="B145" s="181" t="s">
        <v>175</v>
      </c>
      <c r="C145" s="181">
        <v>0</v>
      </c>
      <c r="D145" s="200">
        <v>0</v>
      </c>
      <c r="E145" s="174" t="str">
        <f>IFERROR(DT_data[[#This Row],[Объем предложения]]/C133-1,"")</f>
        <v/>
      </c>
      <c r="F145" s="174" t="str">
        <f>IFERROR(DT_data[[#This Row],[Средневзвешенная цена]]/D133-1,"")</f>
        <v/>
      </c>
    </row>
    <row r="146" spans="1:6" ht="14.55" customHeight="1" x14ac:dyDescent="0.3">
      <c r="A146" s="180">
        <v>44228</v>
      </c>
      <c r="B146" s="179" t="s">
        <v>7</v>
      </c>
      <c r="C146" s="181">
        <v>3591</v>
      </c>
      <c r="D146" s="200">
        <v>224060</v>
      </c>
      <c r="E146" s="174">
        <f>IFERROR(DT_data[[#This Row],[Объем предложения]]/C134-1,"")</f>
        <v>0.12394366197183104</v>
      </c>
      <c r="F146" s="174">
        <f>IFERROR(DT_data[[#This Row],[Средневзвешенная цена]]/D134-1,"")</f>
        <v>7.4261439015805841E-3</v>
      </c>
    </row>
    <row r="147" spans="1:6" ht="14.55" customHeight="1" x14ac:dyDescent="0.3">
      <c r="A147" s="180">
        <v>44228</v>
      </c>
      <c r="B147" s="181" t="s">
        <v>8</v>
      </c>
      <c r="C147" s="181">
        <v>4594</v>
      </c>
      <c r="D147" s="200">
        <v>290704</v>
      </c>
      <c r="E147" s="174">
        <f>IFERROR(DT_data[[#This Row],[Объем предложения]]/C135-1,"")</f>
        <v>6.8372093023255864E-2</v>
      </c>
      <c r="F147" s="174">
        <f>IFERROR(DT_data[[#This Row],[Средневзвешенная цена]]/D135-1,"")</f>
        <v>7.0481437291876059E-3</v>
      </c>
    </row>
    <row r="148" spans="1:6" ht="14.55" customHeight="1" x14ac:dyDescent="0.3">
      <c r="A148" s="180">
        <v>44228</v>
      </c>
      <c r="B148" s="181" t="s">
        <v>9</v>
      </c>
      <c r="C148" s="181">
        <v>1045</v>
      </c>
      <c r="D148" s="200">
        <v>166469</v>
      </c>
      <c r="E148" s="174">
        <f>IFERROR(DT_data[[#This Row],[Объем предложения]]/C136-1,"")</f>
        <v>4.0836653386454147E-2</v>
      </c>
      <c r="F148" s="174">
        <f>IFERROR(DT_data[[#This Row],[Средневзвешенная цена]]/D136-1,"")</f>
        <v>-2.0158201179369284E-2</v>
      </c>
    </row>
    <row r="149" spans="1:6" ht="14.55" customHeight="1" x14ac:dyDescent="0.3">
      <c r="A149" s="180">
        <v>44228</v>
      </c>
      <c r="B149" s="181" t="s">
        <v>10</v>
      </c>
      <c r="C149" s="181">
        <v>3674</v>
      </c>
      <c r="D149" s="200">
        <v>250175</v>
      </c>
      <c r="E149" s="174">
        <f>IFERROR(DT_data[[#This Row],[Объем предложения]]/C137-1,"")</f>
        <v>0.12595770763101433</v>
      </c>
      <c r="F149" s="174">
        <f>IFERROR(DT_data[[#This Row],[Средневзвешенная цена]]/D137-1,"")</f>
        <v>-1.5890350818320464E-2</v>
      </c>
    </row>
    <row r="150" spans="1:6" ht="14.55" customHeight="1" x14ac:dyDescent="0.3">
      <c r="A150" s="180">
        <v>44228</v>
      </c>
      <c r="B150" s="181" t="s">
        <v>11</v>
      </c>
      <c r="C150" s="181">
        <v>3538</v>
      </c>
      <c r="D150" s="200">
        <v>227817</v>
      </c>
      <c r="E150" s="174">
        <f>IFERROR(DT_data[[#This Row],[Объем предложения]]/C138-1,"")</f>
        <v>9.9440646364201468E-2</v>
      </c>
      <c r="F150" s="174">
        <f>IFERROR(DT_data[[#This Row],[Средневзвешенная цена]]/D138-1,"")</f>
        <v>3.6833603881769594E-3</v>
      </c>
    </row>
    <row r="151" spans="1:6" ht="14.55" customHeight="1" x14ac:dyDescent="0.3">
      <c r="A151" s="180">
        <v>44228</v>
      </c>
      <c r="B151" s="181" t="s">
        <v>12</v>
      </c>
      <c r="C151" s="181">
        <v>2316</v>
      </c>
      <c r="D151" s="200">
        <v>249379</v>
      </c>
      <c r="E151" s="174">
        <f>IFERROR(DT_data[[#This Row],[Объем предложения]]/C139-1,"")</f>
        <v>0.15166583789159627</v>
      </c>
      <c r="F151" s="174">
        <f>IFERROR(DT_data[[#This Row],[Средневзвешенная цена]]/D139-1,"")</f>
        <v>-1.0711250164482045E-2</v>
      </c>
    </row>
    <row r="152" spans="1:6" ht="14.55" customHeight="1" x14ac:dyDescent="0.3">
      <c r="A152" s="180">
        <v>44228</v>
      </c>
      <c r="B152" s="181" t="s">
        <v>13</v>
      </c>
      <c r="C152" s="181">
        <v>395</v>
      </c>
      <c r="D152" s="200">
        <v>130229</v>
      </c>
      <c r="E152" s="174">
        <f>IFERROR(DT_data[[#This Row],[Объем предложения]]/C140-1,"")</f>
        <v>7.9234972677595605E-2</v>
      </c>
      <c r="F152" s="174">
        <f>IFERROR(DT_data[[#This Row],[Средневзвешенная цена]]/D140-1,"")</f>
        <v>5.0837817333757584E-3</v>
      </c>
    </row>
    <row r="153" spans="1:6" ht="14.55" customHeight="1" x14ac:dyDescent="0.3">
      <c r="A153" s="180">
        <v>44228</v>
      </c>
      <c r="B153" s="181" t="s">
        <v>14</v>
      </c>
      <c r="C153" s="181">
        <v>6167</v>
      </c>
      <c r="D153" s="200">
        <v>485358</v>
      </c>
      <c r="E153" s="174">
        <f>IFERROR(DT_data[[#This Row],[Объем предложения]]/C141-1,"")</f>
        <v>4.3309084757232386E-2</v>
      </c>
      <c r="F153" s="174">
        <f>IFERROR(DT_data[[#This Row],[Средневзвешенная цена]]/D141-1,"")</f>
        <v>-2.2542224102426234E-2</v>
      </c>
    </row>
    <row r="154" spans="1:6" ht="14.55" customHeight="1" x14ac:dyDescent="0.3">
      <c r="A154" s="180">
        <v>44228</v>
      </c>
      <c r="B154" s="181" t="s">
        <v>15</v>
      </c>
      <c r="C154" s="181">
        <v>3842</v>
      </c>
      <c r="D154" s="200">
        <v>208923</v>
      </c>
      <c r="E154" s="174">
        <f>IFERROR(DT_data[[#This Row],[Объем предложения]]/C142-1,"")</f>
        <v>9.2097782831153996E-2</v>
      </c>
      <c r="F154" s="174">
        <f>IFERROR(DT_data[[#This Row],[Средневзвешенная цена]]/D142-1,"")</f>
        <v>5.7777528167231029E-3</v>
      </c>
    </row>
    <row r="155" spans="1:6" ht="14.55" customHeight="1" x14ac:dyDescent="0.3">
      <c r="A155" s="180">
        <v>44228</v>
      </c>
      <c r="B155" s="181" t="s">
        <v>16</v>
      </c>
      <c r="C155" s="181">
        <v>4153</v>
      </c>
      <c r="D155" s="200">
        <v>251521</v>
      </c>
      <c r="E155" s="174">
        <f>IFERROR(DT_data[[#This Row],[Объем предложения]]/C143-1,"")</f>
        <v>0.14187517184492715</v>
      </c>
      <c r="F155" s="174">
        <f>IFERROR(DT_data[[#This Row],[Средневзвешенная цена]]/D143-1,"")</f>
        <v>-4.5740951561903387E-3</v>
      </c>
    </row>
    <row r="156" spans="1:6" ht="14.55" customHeight="1" x14ac:dyDescent="0.3">
      <c r="A156" s="180">
        <v>44228</v>
      </c>
      <c r="B156" s="181" t="s">
        <v>17</v>
      </c>
      <c r="C156" s="181">
        <v>3613</v>
      </c>
      <c r="D156" s="200">
        <v>227762</v>
      </c>
      <c r="E156" s="174">
        <f>IFERROR(DT_data[[#This Row],[Объем предложения]]/C144-1,"")</f>
        <v>0.10388023220287201</v>
      </c>
      <c r="F156" s="174">
        <f>IFERROR(DT_data[[#This Row],[Средневзвешенная цена]]/D144-1,"")</f>
        <v>-8.4468161945819853E-3</v>
      </c>
    </row>
    <row r="157" spans="1:6" ht="14.55" customHeight="1" x14ac:dyDescent="0.3">
      <c r="A157" s="180">
        <v>44228</v>
      </c>
      <c r="B157" s="181" t="s">
        <v>175</v>
      </c>
      <c r="C157" s="181">
        <v>0</v>
      </c>
      <c r="D157" s="200">
        <v>0</v>
      </c>
      <c r="E157" s="174" t="str">
        <f>IFERROR(DT_data[[#This Row],[Объем предложения]]/C145-1,"")</f>
        <v/>
      </c>
      <c r="F157" s="174" t="str">
        <f>IFERROR(DT_data[[#This Row],[Средневзвешенная цена]]/D145-1,"")</f>
        <v/>
      </c>
    </row>
    <row r="158" spans="1:6" ht="14.55" customHeight="1" x14ac:dyDescent="0.3">
      <c r="A158" s="180">
        <v>44256</v>
      </c>
      <c r="B158" s="179" t="s">
        <v>7</v>
      </c>
      <c r="C158" s="182">
        <v>3899.49</v>
      </c>
      <c r="D158" s="200">
        <v>229760.2050391048</v>
      </c>
      <c r="E158" s="174">
        <f>IFERROR(DT_data[[#This Row],[Объем предложения]]/C146-1,"")</f>
        <v>8.5906432748537931E-2</v>
      </c>
      <c r="F158" s="174">
        <f>IFERROR(DT_data[[#This Row],[Средневзвешенная цена]]/D146-1,"")</f>
        <v>2.5440529497031239E-2</v>
      </c>
    </row>
    <row r="159" spans="1:6" ht="14.55" customHeight="1" x14ac:dyDescent="0.3">
      <c r="A159" s="180">
        <v>44256</v>
      </c>
      <c r="B159" s="181" t="s">
        <v>8</v>
      </c>
      <c r="C159" s="182">
        <v>4920.16</v>
      </c>
      <c r="D159" s="200">
        <v>294686.30042326043</v>
      </c>
      <c r="E159" s="174">
        <f>IFERROR(DT_data[[#This Row],[Объем предложения]]/C147-1,"")</f>
        <v>7.0996952546800163E-2</v>
      </c>
      <c r="F159" s="174">
        <f>IFERROR(DT_data[[#This Row],[Средневзвешенная цена]]/D147-1,"")</f>
        <v>1.3698815369793449E-2</v>
      </c>
    </row>
    <row r="160" spans="1:6" ht="14.55" customHeight="1" x14ac:dyDescent="0.3">
      <c r="A160" s="180">
        <v>44256</v>
      </c>
      <c r="B160" s="181" t="s">
        <v>9</v>
      </c>
      <c r="C160" s="182">
        <v>1120.05</v>
      </c>
      <c r="D160" s="200">
        <v>170101.71363001299</v>
      </c>
      <c r="E160" s="174">
        <f>IFERROR(DT_data[[#This Row],[Объем предложения]]/C148-1,"")</f>
        <v>7.1818181818181781E-2</v>
      </c>
      <c r="F160" s="174">
        <f>IFERROR(DT_data[[#This Row],[Средневзвешенная цена]]/D148-1,"")</f>
        <v>2.1822162865236194E-2</v>
      </c>
    </row>
    <row r="161" spans="1:6" ht="14.55" customHeight="1" x14ac:dyDescent="0.3">
      <c r="A161" s="180">
        <v>44256</v>
      </c>
      <c r="B161" s="181" t="s">
        <v>10</v>
      </c>
      <c r="C161" s="182">
        <v>3931.1</v>
      </c>
      <c r="D161" s="200">
        <v>255178.5</v>
      </c>
      <c r="E161" s="174">
        <f>IFERROR(DT_data[[#This Row],[Объем предложения]]/C149-1,"")</f>
        <v>6.99782253674468E-2</v>
      </c>
      <c r="F161" s="174">
        <f>IFERROR(DT_data[[#This Row],[Средневзвешенная цена]]/D149-1,"")</f>
        <v>2.0000000000000018E-2</v>
      </c>
    </row>
    <row r="162" spans="1:6" ht="14.55" customHeight="1" x14ac:dyDescent="0.3">
      <c r="A162" s="180">
        <v>44256</v>
      </c>
      <c r="B162" s="181" t="s">
        <v>11</v>
      </c>
      <c r="C162" s="182">
        <v>3772.45</v>
      </c>
      <c r="D162" s="200">
        <v>230654</v>
      </c>
      <c r="E162" s="174">
        <f>IFERROR(DT_data[[#This Row],[Объем предложения]]/C150-1,"")</f>
        <v>6.6266252119841607E-2</v>
      </c>
      <c r="F162" s="174">
        <f>IFERROR(DT_data[[#This Row],[Средневзвешенная цена]]/D150-1,"")</f>
        <v>1.2452977609221483E-2</v>
      </c>
    </row>
    <row r="163" spans="1:6" ht="14.55" customHeight="1" x14ac:dyDescent="0.3">
      <c r="A163" s="180">
        <v>44256</v>
      </c>
      <c r="B163" s="181" t="s">
        <v>12</v>
      </c>
      <c r="C163" s="182">
        <v>2399.6999999999998</v>
      </c>
      <c r="D163" s="200">
        <v>256057.22500537531</v>
      </c>
      <c r="E163" s="174">
        <f>IFERROR(DT_data[[#This Row],[Объем предложения]]/C151-1,"")</f>
        <v>3.6139896373056812E-2</v>
      </c>
      <c r="F163" s="174">
        <f>IFERROR(DT_data[[#This Row],[Средневзвешенная цена]]/D151-1,"")</f>
        <v>2.6779420101032292E-2</v>
      </c>
    </row>
    <row r="164" spans="1:6" ht="14.55" customHeight="1" x14ac:dyDescent="0.3">
      <c r="A164" s="180">
        <v>44256</v>
      </c>
      <c r="B164" s="181" t="s">
        <v>13</v>
      </c>
      <c r="C164" s="182">
        <v>413.25</v>
      </c>
      <c r="D164" s="200">
        <v>132518.89463728989</v>
      </c>
      <c r="E164" s="174">
        <f>IFERROR(DT_data[[#This Row],[Объем предложения]]/C152-1,"")</f>
        <v>4.6202531645569644E-2</v>
      </c>
      <c r="F164" s="174">
        <f>IFERROR(DT_data[[#This Row],[Средневзвешенная цена]]/D152-1,"")</f>
        <v>1.7583599945403039E-2</v>
      </c>
    </row>
    <row r="165" spans="1:6" ht="14.55" customHeight="1" x14ac:dyDescent="0.3">
      <c r="A165" s="180">
        <v>44256</v>
      </c>
      <c r="B165" s="181" t="s">
        <v>14</v>
      </c>
      <c r="C165" s="182">
        <v>6806.7</v>
      </c>
      <c r="D165" s="200">
        <v>506384.34900950472</v>
      </c>
      <c r="E165" s="174">
        <f>IFERROR(DT_data[[#This Row],[Объем предложения]]/C153-1,"")</f>
        <v>0.10372952813361436</v>
      </c>
      <c r="F165" s="174">
        <f>IFERROR(DT_data[[#This Row],[Средневзвешенная цена]]/D153-1,"")</f>
        <v>4.3321319540431391E-2</v>
      </c>
    </row>
    <row r="166" spans="1:6" ht="14.55" customHeight="1" x14ac:dyDescent="0.3">
      <c r="A166" s="180">
        <v>44256</v>
      </c>
      <c r="B166" s="181" t="s">
        <v>15</v>
      </c>
      <c r="C166" s="182">
        <v>4237.5200000000004</v>
      </c>
      <c r="D166" s="200">
        <v>214923.24614204169</v>
      </c>
      <c r="E166" s="174">
        <f>IFERROR(DT_data[[#This Row],[Объем предложения]]/C154-1,"")</f>
        <v>0.10294638209266016</v>
      </c>
      <c r="F166" s="174">
        <f>IFERROR(DT_data[[#This Row],[Средневзвешенная цена]]/D154-1,"")</f>
        <v>2.8719892697509186E-2</v>
      </c>
    </row>
    <row r="167" spans="1:6" ht="14.55" customHeight="1" x14ac:dyDescent="0.3">
      <c r="A167" s="180">
        <v>44256</v>
      </c>
      <c r="B167" s="181" t="s">
        <v>16</v>
      </c>
      <c r="C167" s="182">
        <v>4542.12</v>
      </c>
      <c r="D167" s="200">
        <v>257717.3994652222</v>
      </c>
      <c r="E167" s="174">
        <f>IFERROR(DT_data[[#This Row],[Объем предложения]]/C155-1,"")</f>
        <v>9.3696123284372712E-2</v>
      </c>
      <c r="F167" s="174">
        <f>IFERROR(DT_data[[#This Row],[Средневзвешенная цена]]/D155-1,"")</f>
        <v>2.4635714175843093E-2</v>
      </c>
    </row>
    <row r="168" spans="1:6" ht="14.55" customHeight="1" x14ac:dyDescent="0.3">
      <c r="A168" s="180">
        <v>44256</v>
      </c>
      <c r="B168" s="181" t="s">
        <v>17</v>
      </c>
      <c r="C168" s="182">
        <v>4056.3</v>
      </c>
      <c r="D168" s="200">
        <v>235586.81450968509</v>
      </c>
      <c r="E168" s="174">
        <f>IFERROR(DT_data[[#This Row],[Объем предложения]]/C156-1,"")</f>
        <v>0.12269582064766138</v>
      </c>
      <c r="F168" s="174">
        <f>IFERROR(DT_data[[#This Row],[Средневзвешенная цена]]/D156-1,"")</f>
        <v>3.4355223916566757E-2</v>
      </c>
    </row>
    <row r="169" spans="1:6" ht="14.55" customHeight="1" x14ac:dyDescent="0.3">
      <c r="A169" s="180">
        <v>44256</v>
      </c>
      <c r="B169" s="181" t="s">
        <v>175</v>
      </c>
      <c r="C169" s="182">
        <v>0</v>
      </c>
      <c r="D169" s="200">
        <v>0</v>
      </c>
      <c r="E169" s="174" t="str">
        <f>IFERROR(DT_data[[#This Row],[Объем предложения]]/C157-1,"")</f>
        <v/>
      </c>
      <c r="F169" s="174" t="str">
        <f>IFERROR(DT_data[[#This Row],[Средневзвешенная цена]]/D157-1,"")</f>
        <v/>
      </c>
    </row>
    <row r="170" spans="1:6" ht="14.55" customHeight="1" x14ac:dyDescent="0.3">
      <c r="A170" s="180">
        <v>44287</v>
      </c>
      <c r="B170" s="179" t="s">
        <v>7</v>
      </c>
      <c r="C170" s="182">
        <v>3817</v>
      </c>
      <c r="D170" s="200">
        <v>231824.103198336</v>
      </c>
      <c r="E170" s="174">
        <f>IFERROR(DT_data[[#This Row],[Объем предложения]]/C158-1,"")</f>
        <v>-2.1154048349912413E-2</v>
      </c>
      <c r="F170" s="174">
        <f>IFERROR(DT_data[[#This Row],[Средневзвешенная цена]]/D158-1,"")</f>
        <v>8.9828356432739564E-3</v>
      </c>
    </row>
    <row r="171" spans="1:6" ht="14.55" customHeight="1" x14ac:dyDescent="0.3">
      <c r="A171" s="180">
        <v>44287</v>
      </c>
      <c r="B171" s="181" t="s">
        <v>8</v>
      </c>
      <c r="C171" s="182">
        <v>4885</v>
      </c>
      <c r="D171" s="200">
        <v>299003.19790890749</v>
      </c>
      <c r="E171" s="174">
        <f>IFERROR(DT_data[[#This Row],[Объем предложения]]/C159-1,"")</f>
        <v>-7.1461090696237628E-3</v>
      </c>
      <c r="F171" s="174">
        <f>IFERROR(DT_data[[#This Row],[Средневзвешенная цена]]/D159-1,"")</f>
        <v>1.4649128512070897E-2</v>
      </c>
    </row>
    <row r="172" spans="1:6" ht="14.55" customHeight="1" x14ac:dyDescent="0.3">
      <c r="A172" s="180">
        <v>44287</v>
      </c>
      <c r="B172" s="181" t="s">
        <v>9</v>
      </c>
      <c r="C172" s="182">
        <v>1150</v>
      </c>
      <c r="D172" s="200">
        <v>171331.37824459199</v>
      </c>
      <c r="E172" s="174">
        <f>IFERROR(DT_data[[#This Row],[Объем предложения]]/C160-1,"")</f>
        <v>2.6739877684031965E-2</v>
      </c>
      <c r="F172" s="174">
        <f>IFERROR(DT_data[[#This Row],[Средневзвешенная цена]]/D160-1,"")</f>
        <v>7.2289960420601762E-3</v>
      </c>
    </row>
    <row r="173" spans="1:6" ht="14.55" customHeight="1" x14ac:dyDescent="0.3">
      <c r="A173" s="180">
        <v>44287</v>
      </c>
      <c r="B173" s="181" t="s">
        <v>10</v>
      </c>
      <c r="C173" s="182">
        <v>3958</v>
      </c>
      <c r="D173" s="200">
        <v>262834</v>
      </c>
      <c r="E173" s="174">
        <f>IFERROR(DT_data[[#This Row],[Объем предложения]]/C161-1,"")</f>
        <v>6.8428684083334801E-3</v>
      </c>
      <c r="F173" s="174">
        <f>IFERROR(DT_data[[#This Row],[Средневзвешенная цена]]/D161-1,"")</f>
        <v>3.0000568229690217E-2</v>
      </c>
    </row>
    <row r="174" spans="1:6" ht="14.55" customHeight="1" x14ac:dyDescent="0.3">
      <c r="A174" s="180">
        <v>44287</v>
      </c>
      <c r="B174" s="181" t="s">
        <v>11</v>
      </c>
      <c r="C174" s="182">
        <v>3777</v>
      </c>
      <c r="D174" s="200">
        <v>232671</v>
      </c>
      <c r="E174" s="174">
        <f>IFERROR(DT_data[[#This Row],[Объем предложения]]/C162-1,"")</f>
        <v>1.2061127384062065E-3</v>
      </c>
      <c r="F174" s="174">
        <f>IFERROR(DT_data[[#This Row],[Средневзвешенная цена]]/D162-1,"")</f>
        <v>8.7446998534601583E-3</v>
      </c>
    </row>
    <row r="175" spans="1:6" ht="14.55" customHeight="1" x14ac:dyDescent="0.3">
      <c r="A175" s="180">
        <v>44287</v>
      </c>
      <c r="B175" s="181" t="s">
        <v>12</v>
      </c>
      <c r="C175" s="182">
        <v>2340</v>
      </c>
      <c r="D175" s="200">
        <v>259971.7770430946</v>
      </c>
      <c r="E175" s="174">
        <f>IFERROR(DT_data[[#This Row],[Объем предложения]]/C163-1,"")</f>
        <v>-2.4878109763720402E-2</v>
      </c>
      <c r="F175" s="174">
        <f>IFERROR(DT_data[[#This Row],[Средневзвешенная цена]]/D163-1,"")</f>
        <v>1.5287801535915024E-2</v>
      </c>
    </row>
    <row r="176" spans="1:6" ht="14.55" customHeight="1" x14ac:dyDescent="0.3">
      <c r="A176" s="180">
        <v>44287</v>
      </c>
      <c r="B176" s="181" t="s">
        <v>13</v>
      </c>
      <c r="C176" s="182">
        <v>422</v>
      </c>
      <c r="D176" s="200">
        <v>139459.01967022661</v>
      </c>
      <c r="E176" s="174">
        <f>IFERROR(DT_data[[#This Row],[Объем предложения]]/C164-1,"")</f>
        <v>2.1173623714458634E-2</v>
      </c>
      <c r="F176" s="174">
        <f>IFERROR(DT_data[[#This Row],[Средневзвешенная цена]]/D164-1,"")</f>
        <v>5.2370834000178945E-2</v>
      </c>
    </row>
    <row r="177" spans="1:6" ht="14.55" customHeight="1" x14ac:dyDescent="0.3">
      <c r="A177" s="180">
        <v>44287</v>
      </c>
      <c r="B177" s="181" t="s">
        <v>14</v>
      </c>
      <c r="C177" s="182">
        <v>6750</v>
      </c>
      <c r="D177" s="200">
        <v>506551.61429924797</v>
      </c>
      <c r="E177" s="174">
        <f>IFERROR(DT_data[[#This Row],[Объем предложения]]/C165-1,"")</f>
        <v>-8.3300277667591738E-3</v>
      </c>
      <c r="F177" s="174">
        <f>IFERROR(DT_data[[#This Row],[Средневзвешенная цена]]/D165-1,"")</f>
        <v>3.3031291364049586E-4</v>
      </c>
    </row>
    <row r="178" spans="1:6" ht="14.55" customHeight="1" x14ac:dyDescent="0.3">
      <c r="A178" s="180">
        <v>44287</v>
      </c>
      <c r="B178" s="181" t="s">
        <v>15</v>
      </c>
      <c r="C178" s="182">
        <v>4121</v>
      </c>
      <c r="D178" s="200">
        <v>214656</v>
      </c>
      <c r="E178" s="174">
        <f>IFERROR(DT_data[[#This Row],[Объем предложения]]/C166-1,"")</f>
        <v>-2.7497215352376037E-2</v>
      </c>
      <c r="F178" s="174">
        <f>IFERROR(DT_data[[#This Row],[Средневзвешенная цена]]/D166-1,"")</f>
        <v>-1.2434492165871447E-3</v>
      </c>
    </row>
    <row r="179" spans="1:6" ht="14.55" customHeight="1" x14ac:dyDescent="0.3">
      <c r="A179" s="180">
        <v>44287</v>
      </c>
      <c r="B179" s="181" t="s">
        <v>16</v>
      </c>
      <c r="C179" s="182">
        <v>4442</v>
      </c>
      <c r="D179" s="200">
        <v>263055.17312146898</v>
      </c>
      <c r="E179" s="174">
        <f>IFERROR(DT_data[[#This Row],[Объем предложения]]/C167-1,"")</f>
        <v>-2.2042570429667174E-2</v>
      </c>
      <c r="F179" s="174">
        <f>IFERROR(DT_data[[#This Row],[Средневзвешенная цена]]/D167-1,"")</f>
        <v>2.0711731793518595E-2</v>
      </c>
    </row>
    <row r="180" spans="1:6" ht="14.55" customHeight="1" x14ac:dyDescent="0.3">
      <c r="A180" s="180">
        <v>44287</v>
      </c>
      <c r="B180" s="181" t="s">
        <v>17</v>
      </c>
      <c r="C180" s="182">
        <v>4012</v>
      </c>
      <c r="D180" s="200">
        <v>240115.281335354</v>
      </c>
      <c r="E180" s="174">
        <f>IFERROR(DT_data[[#This Row],[Объем предложения]]/C168-1,"")</f>
        <v>-1.092128294258321E-2</v>
      </c>
      <c r="F180" s="174">
        <f>IFERROR(DT_data[[#This Row],[Средневзвешенная цена]]/D168-1,"")</f>
        <v>1.9222072487773856E-2</v>
      </c>
    </row>
    <row r="181" spans="1:6" ht="14.55" customHeight="1" x14ac:dyDescent="0.3">
      <c r="A181" s="180">
        <v>44287</v>
      </c>
      <c r="B181" s="181" t="s">
        <v>175</v>
      </c>
      <c r="C181" s="182">
        <v>0</v>
      </c>
      <c r="D181" s="200">
        <v>0</v>
      </c>
      <c r="E181" s="174" t="str">
        <f>IFERROR(DT_data[[#This Row],[Объем предложения]]/C169-1,"")</f>
        <v/>
      </c>
      <c r="F181" s="174" t="str">
        <f>IFERROR(DT_data[[#This Row],[Средневзвешенная цена]]/D169-1,"")</f>
        <v/>
      </c>
    </row>
    <row r="182" spans="1:6" ht="14.55" customHeight="1" x14ac:dyDescent="0.3">
      <c r="A182" s="180">
        <v>44317</v>
      </c>
      <c r="B182" s="179" t="s">
        <v>7</v>
      </c>
      <c r="C182" s="182">
        <v>3810</v>
      </c>
      <c r="D182" s="200">
        <v>236146.7532297835</v>
      </c>
      <c r="E182" s="174">
        <f>IFERROR(DT_data[[#This Row],[Объем предложения]]/C170-1,"")</f>
        <v>-1.8339009693476571E-3</v>
      </c>
      <c r="F182" s="174">
        <f>IFERROR(DT_data[[#This Row],[Средневзвешенная цена]]/D170-1,"")</f>
        <v>1.8646249340817045E-2</v>
      </c>
    </row>
    <row r="183" spans="1:6" ht="14.55" customHeight="1" x14ac:dyDescent="0.3">
      <c r="A183" s="180">
        <v>44317</v>
      </c>
      <c r="B183" s="181" t="s">
        <v>8</v>
      </c>
      <c r="C183" s="182">
        <v>4742</v>
      </c>
      <c r="D183" s="200">
        <v>303562.77174101147</v>
      </c>
      <c r="E183" s="174">
        <f>IFERROR(DT_data[[#This Row],[Объем предложения]]/C171-1,"")</f>
        <v>-2.9273285568065521E-2</v>
      </c>
      <c r="F183" s="174">
        <f>IFERROR(DT_data[[#This Row],[Средневзвешенная цена]]/D171-1,"")</f>
        <v>1.5249247713708725E-2</v>
      </c>
    </row>
    <row r="184" spans="1:6" ht="14.55" customHeight="1" x14ac:dyDescent="0.3">
      <c r="A184" s="180">
        <v>44317</v>
      </c>
      <c r="B184" s="181" t="s">
        <v>9</v>
      </c>
      <c r="C184" s="182">
        <v>998</v>
      </c>
      <c r="D184" s="200">
        <v>185143.76767959961</v>
      </c>
      <c r="E184" s="174">
        <f>IFERROR(DT_data[[#This Row],[Объем предложения]]/C172-1,"")</f>
        <v>-0.13217391304347825</v>
      </c>
      <c r="F184" s="174">
        <f>IFERROR(DT_data[[#This Row],[Средневзвешенная цена]]/D172-1,"")</f>
        <v>8.0617978892862929E-2</v>
      </c>
    </row>
    <row r="185" spans="1:6" ht="14.55" customHeight="1" x14ac:dyDescent="0.3">
      <c r="A185" s="180">
        <v>44317</v>
      </c>
      <c r="B185" s="181" t="s">
        <v>10</v>
      </c>
      <c r="C185" s="182">
        <v>3991</v>
      </c>
      <c r="D185" s="200">
        <v>270519.52216606628</v>
      </c>
      <c r="E185" s="174">
        <f>IFERROR(DT_data[[#This Row],[Объем предложения]]/C173-1,"")</f>
        <v>8.3375442142497036E-3</v>
      </c>
      <c r="F185" s="174">
        <f>IFERROR(DT_data[[#This Row],[Средневзвешенная цена]]/D173-1,"")</f>
        <v>2.9240974021877975E-2</v>
      </c>
    </row>
    <row r="186" spans="1:6" ht="14.55" customHeight="1" x14ac:dyDescent="0.3">
      <c r="A186" s="180">
        <v>44317</v>
      </c>
      <c r="B186" s="181" t="s">
        <v>11</v>
      </c>
      <c r="C186" s="182">
        <v>3734</v>
      </c>
      <c r="D186" s="200">
        <v>242760</v>
      </c>
      <c r="E186" s="174">
        <f>IFERROR(DT_data[[#This Row],[Объем предложения]]/C174-1,"")</f>
        <v>-1.1384696849351283E-2</v>
      </c>
      <c r="F186" s="174">
        <f>IFERROR(DT_data[[#This Row],[Средневзвешенная цена]]/D174-1,"")</f>
        <v>4.3361656588057906E-2</v>
      </c>
    </row>
    <row r="187" spans="1:6" ht="14.55" customHeight="1" x14ac:dyDescent="0.3">
      <c r="A187" s="180">
        <v>44317</v>
      </c>
      <c r="B187" s="181" t="s">
        <v>12</v>
      </c>
      <c r="C187" s="182">
        <v>2330</v>
      </c>
      <c r="D187" s="200">
        <v>264259.30843595619</v>
      </c>
      <c r="E187" s="174">
        <f>IFERROR(DT_data[[#This Row],[Объем предложения]]/C175-1,"")</f>
        <v>-4.2735042735042583E-3</v>
      </c>
      <c r="F187" s="174">
        <f>IFERROR(DT_data[[#This Row],[Средневзвешенная цена]]/D175-1,"")</f>
        <v>1.6492295593113049E-2</v>
      </c>
    </row>
    <row r="188" spans="1:6" ht="14.55" customHeight="1" x14ac:dyDescent="0.3">
      <c r="A188" s="180">
        <v>44317</v>
      </c>
      <c r="B188" s="181" t="s">
        <v>13</v>
      </c>
      <c r="C188" s="182">
        <v>473</v>
      </c>
      <c r="D188" s="200">
        <v>142362.58756016791</v>
      </c>
      <c r="E188" s="174">
        <f>IFERROR(DT_data[[#This Row],[Объем предложения]]/C176-1,"")</f>
        <v>0.12085308056872046</v>
      </c>
      <c r="F188" s="174">
        <f>IFERROR(DT_data[[#This Row],[Средневзвешенная цена]]/D176-1,"")</f>
        <v>2.0820223007498972E-2</v>
      </c>
    </row>
    <row r="189" spans="1:6" ht="14.55" customHeight="1" x14ac:dyDescent="0.3">
      <c r="A189" s="180">
        <v>44317</v>
      </c>
      <c r="B189" s="181" t="s">
        <v>14</v>
      </c>
      <c r="C189" s="182">
        <v>6427</v>
      </c>
      <c r="D189" s="200">
        <v>517047.08268324181</v>
      </c>
      <c r="E189" s="174">
        <f>IFERROR(DT_data[[#This Row],[Объем предложения]]/C177-1,"")</f>
        <v>-4.7851851851851812E-2</v>
      </c>
      <c r="F189" s="174">
        <f>IFERROR(DT_data[[#This Row],[Средневзвешенная цена]]/D177-1,"")</f>
        <v>2.0719445141859971E-2</v>
      </c>
    </row>
    <row r="190" spans="1:6" ht="14.55" customHeight="1" x14ac:dyDescent="0.3">
      <c r="A190" s="180">
        <v>44317</v>
      </c>
      <c r="B190" s="181" t="s">
        <v>15</v>
      </c>
      <c r="C190" s="182">
        <v>4149</v>
      </c>
      <c r="D190" s="200">
        <v>223160.25658915259</v>
      </c>
      <c r="E190" s="174">
        <f>IFERROR(DT_data[[#This Row],[Объем предложения]]/C178-1,"")</f>
        <v>6.7944673622906127E-3</v>
      </c>
      <c r="F190" s="174">
        <f>IFERROR(DT_data[[#This Row],[Средневзвешенная цена]]/D178-1,"")</f>
        <v>3.961807072316903E-2</v>
      </c>
    </row>
    <row r="191" spans="1:6" ht="14.55" customHeight="1" x14ac:dyDescent="0.3">
      <c r="A191" s="180">
        <v>44317</v>
      </c>
      <c r="B191" s="181" t="s">
        <v>16</v>
      </c>
      <c r="C191" s="182">
        <v>4379</v>
      </c>
      <c r="D191" s="200">
        <v>267496.63666675298</v>
      </c>
      <c r="E191" s="174">
        <f>IFERROR(DT_data[[#This Row],[Объем предложения]]/C179-1,"")</f>
        <v>-1.4182800540297191E-2</v>
      </c>
      <c r="F191" s="174">
        <f>IFERROR(DT_data[[#This Row],[Средневзвешенная цена]]/D179-1,"")</f>
        <v>1.6884152068102898E-2</v>
      </c>
    </row>
    <row r="192" spans="1:6" ht="14.55" customHeight="1" x14ac:dyDescent="0.3">
      <c r="A192" s="180">
        <v>44317</v>
      </c>
      <c r="B192" s="181" t="s">
        <v>17</v>
      </c>
      <c r="C192" s="182">
        <v>4106</v>
      </c>
      <c r="D192" s="200">
        <v>243481.25289579309</v>
      </c>
      <c r="E192" s="174">
        <f>IFERROR(DT_data[[#This Row],[Объем предложения]]/C180-1,"")</f>
        <v>2.3429710867397757E-2</v>
      </c>
      <c r="F192" s="174">
        <f>IFERROR(DT_data[[#This Row],[Средневзвешенная цена]]/D180-1,"")</f>
        <v>1.4018148040057632E-2</v>
      </c>
    </row>
    <row r="193" spans="1:6" ht="14.55" customHeight="1" x14ac:dyDescent="0.3">
      <c r="A193" s="180">
        <v>44317</v>
      </c>
      <c r="B193" s="181" t="s">
        <v>175</v>
      </c>
      <c r="C193" s="182">
        <v>0</v>
      </c>
      <c r="D193" s="200">
        <v>180670.98838977399</v>
      </c>
      <c r="E193" s="174" t="str">
        <f>IFERROR(DT_data[[#This Row],[Объем предложения]]/C181-1,"")</f>
        <v/>
      </c>
      <c r="F193" s="174" t="str">
        <f>IFERROR(DT_data[[#This Row],[Средневзвешенная цена]]/D181-1,"")</f>
        <v/>
      </c>
    </row>
    <row r="194" spans="1:6" ht="14.55" customHeight="1" x14ac:dyDescent="0.3">
      <c r="A194" s="180">
        <v>44348</v>
      </c>
      <c r="B194" s="179" t="s">
        <v>7</v>
      </c>
      <c r="C194" s="182">
        <v>4015</v>
      </c>
      <c r="D194" s="200">
        <v>230983.15311796564</v>
      </c>
      <c r="E194" s="174">
        <f>IFERROR(DT_data[[#This Row],[Объем предложения]]/C182-1,"")</f>
        <v>5.3805774278215202E-2</v>
      </c>
      <c r="F194" s="174">
        <f>IFERROR(DT_data[[#This Row],[Средневзвешенная цена]]/D182-1,"")</f>
        <v>-2.1866064390872242E-2</v>
      </c>
    </row>
    <row r="195" spans="1:6" ht="14.55" customHeight="1" x14ac:dyDescent="0.3">
      <c r="A195" s="180">
        <v>44348</v>
      </c>
      <c r="B195" s="181" t="s">
        <v>8</v>
      </c>
      <c r="C195" s="182">
        <v>4716</v>
      </c>
      <c r="D195" s="200">
        <v>307644.74547330698</v>
      </c>
      <c r="E195" s="174">
        <f>IFERROR(DT_data[[#This Row],[Объем предложения]]/C183-1,"")</f>
        <v>-5.4829185997469221E-3</v>
      </c>
      <c r="F195" s="174">
        <f>IFERROR(DT_data[[#This Row],[Средневзвешенная цена]]/D183-1,"")</f>
        <v>1.3446885166070732E-2</v>
      </c>
    </row>
    <row r="196" spans="1:6" ht="14.55" customHeight="1" x14ac:dyDescent="0.3">
      <c r="A196" s="180">
        <v>44348</v>
      </c>
      <c r="B196" s="181" t="s">
        <v>9</v>
      </c>
      <c r="C196" s="182">
        <v>1045</v>
      </c>
      <c r="D196" s="200">
        <v>185631.433362765</v>
      </c>
      <c r="E196" s="174">
        <f>IFERROR(DT_data[[#This Row],[Объем предложения]]/C184-1,"")</f>
        <v>4.7094188376753499E-2</v>
      </c>
      <c r="F196" s="174">
        <f>IFERROR(DT_data[[#This Row],[Средневзвешенная цена]]/D184-1,"")</f>
        <v>2.6339837915005937E-3</v>
      </c>
    </row>
    <row r="197" spans="1:6" ht="14.55" customHeight="1" x14ac:dyDescent="0.3">
      <c r="A197" s="180">
        <v>44348</v>
      </c>
      <c r="B197" s="181" t="s">
        <v>10</v>
      </c>
      <c r="C197" s="182">
        <v>3984</v>
      </c>
      <c r="D197" s="200">
        <v>271639.90676165489</v>
      </c>
      <c r="E197" s="174">
        <f>IFERROR(DT_data[[#This Row],[Объем предложения]]/C185-1,"")</f>
        <v>-1.7539463793535548E-3</v>
      </c>
      <c r="F197" s="174">
        <f>IFERROR(DT_data[[#This Row],[Средневзвешенная цена]]/D185-1,"")</f>
        <v>4.1416034843533289E-3</v>
      </c>
    </row>
    <row r="198" spans="1:6" ht="14.55" customHeight="1" x14ac:dyDescent="0.3">
      <c r="A198" s="180">
        <v>44348</v>
      </c>
      <c r="B198" s="181" t="s">
        <v>11</v>
      </c>
      <c r="C198" s="182">
        <v>3643</v>
      </c>
      <c r="D198" s="200">
        <v>250087.87851045234</v>
      </c>
      <c r="E198" s="174">
        <f>IFERROR(DT_data[[#This Row],[Объем предложения]]/C186-1,"")</f>
        <v>-2.4370648098553827E-2</v>
      </c>
      <c r="F198" s="174">
        <f>IFERROR(DT_data[[#This Row],[Средневзвешенная цена]]/D186-1,"")</f>
        <v>3.0185691672649284E-2</v>
      </c>
    </row>
    <row r="199" spans="1:6" ht="14.55" customHeight="1" x14ac:dyDescent="0.3">
      <c r="A199" s="180">
        <v>44348</v>
      </c>
      <c r="B199" s="181" t="s">
        <v>12</v>
      </c>
      <c r="C199" s="182">
        <v>2457</v>
      </c>
      <c r="D199" s="200">
        <v>263638.9330597294</v>
      </c>
      <c r="E199" s="174">
        <f>IFERROR(DT_data[[#This Row],[Объем предложения]]/C187-1,"")</f>
        <v>5.4506437768240268E-2</v>
      </c>
      <c r="F199" s="174">
        <f>IFERROR(DT_data[[#This Row],[Средневзвешенная цена]]/D187-1,"")</f>
        <v>-2.3476008466779552E-3</v>
      </c>
    </row>
    <row r="200" spans="1:6" ht="14.55" customHeight="1" x14ac:dyDescent="0.3">
      <c r="A200" s="180">
        <v>44348</v>
      </c>
      <c r="B200" s="181" t="s">
        <v>13</v>
      </c>
      <c r="C200" s="182">
        <v>490</v>
      </c>
      <c r="D200" s="200">
        <v>143498.26577306702</v>
      </c>
      <c r="E200" s="174">
        <f>IFERROR(DT_data[[#This Row],[Объем предложения]]/C188-1,"")</f>
        <v>3.5940803382663811E-2</v>
      </c>
      <c r="F200" s="174">
        <f>IFERROR(DT_data[[#This Row],[Средневзвешенная цена]]/D188-1,"")</f>
        <v>7.9773642244254095E-3</v>
      </c>
    </row>
    <row r="201" spans="1:6" ht="14.55" customHeight="1" x14ac:dyDescent="0.3">
      <c r="A201" s="180">
        <v>44348</v>
      </c>
      <c r="B201" s="181" t="s">
        <v>14</v>
      </c>
      <c r="C201" s="182">
        <v>6281</v>
      </c>
      <c r="D201" s="200">
        <v>523622.43571524927</v>
      </c>
      <c r="E201" s="174">
        <f>IFERROR(DT_data[[#This Row],[Объем предложения]]/C189-1,"")</f>
        <v>-2.2716664073440196E-2</v>
      </c>
      <c r="F201" s="174">
        <f>IFERROR(DT_data[[#This Row],[Средневзвешенная цена]]/D189-1,"")</f>
        <v>1.27171262583754E-2</v>
      </c>
    </row>
    <row r="202" spans="1:6" ht="14.55" customHeight="1" x14ac:dyDescent="0.3">
      <c r="A202" s="180">
        <v>44348</v>
      </c>
      <c r="B202" s="181" t="s">
        <v>15</v>
      </c>
      <c r="C202" s="182">
        <v>4061</v>
      </c>
      <c r="D202" s="200">
        <v>221907.45513157058</v>
      </c>
      <c r="E202" s="174">
        <f>IFERROR(DT_data[[#This Row],[Объем предложения]]/C190-1,"")</f>
        <v>-2.1209930103639474E-2</v>
      </c>
      <c r="F202" s="174">
        <f>IFERROR(DT_data[[#This Row],[Средневзвешенная цена]]/D190-1,"")</f>
        <v>-5.6139093794307371E-3</v>
      </c>
    </row>
    <row r="203" spans="1:6" ht="14.55" customHeight="1" x14ac:dyDescent="0.3">
      <c r="A203" s="180">
        <v>44348</v>
      </c>
      <c r="B203" s="181" t="s">
        <v>16</v>
      </c>
      <c r="C203" s="182">
        <v>4293</v>
      </c>
      <c r="D203" s="200">
        <v>267714.09157880186</v>
      </c>
      <c r="E203" s="174">
        <f>IFERROR(DT_data[[#This Row],[Объем предложения]]/C191-1,"")</f>
        <v>-1.9639187029002025E-2</v>
      </c>
      <c r="F203" s="174">
        <f>IFERROR(DT_data[[#This Row],[Средневзвешенная цена]]/D191-1,"")</f>
        <v>8.1292578014657835E-4</v>
      </c>
    </row>
    <row r="204" spans="1:6" ht="14.55" customHeight="1" x14ac:dyDescent="0.3">
      <c r="A204" s="180">
        <v>44348</v>
      </c>
      <c r="B204" s="181" t="s">
        <v>17</v>
      </c>
      <c r="C204" s="182">
        <v>4265</v>
      </c>
      <c r="D204" s="200">
        <v>238147.17446186498</v>
      </c>
      <c r="E204" s="174">
        <f>IFERROR(DT_data[[#This Row],[Объем предложения]]/C192-1,"")</f>
        <v>3.8723818801753573E-2</v>
      </c>
      <c r="F204" s="174">
        <f>IFERROR(DT_data[[#This Row],[Средневзвешенная цена]]/D192-1,"")</f>
        <v>-2.1907552924458784E-2</v>
      </c>
    </row>
    <row r="205" spans="1:6" ht="14.55" customHeight="1" x14ac:dyDescent="0.3">
      <c r="A205" s="180">
        <v>44348</v>
      </c>
      <c r="B205" s="181" t="s">
        <v>175</v>
      </c>
      <c r="C205" s="182">
        <v>0</v>
      </c>
      <c r="D205" s="200">
        <v>181631.4333627655</v>
      </c>
      <c r="E205" s="174" t="str">
        <f>IFERROR(DT_data[[#This Row],[Объем предложения]]/C193-1,"")</f>
        <v/>
      </c>
      <c r="F205" s="174">
        <f>IFERROR(DT_data[[#This Row],[Средневзвешенная цена]]/D193-1,"")</f>
        <v>5.3159889230220969E-3</v>
      </c>
    </row>
    <row r="206" spans="1:6" ht="14.55" customHeight="1" x14ac:dyDescent="0.3">
      <c r="A206" s="180">
        <v>44378</v>
      </c>
      <c r="B206" s="179" t="s">
        <v>7</v>
      </c>
      <c r="C206" s="182">
        <v>3909</v>
      </c>
      <c r="D206" s="200">
        <v>239462</v>
      </c>
      <c r="E206" s="174">
        <f>IFERROR(DT_data[[#This Row],[Объем предложения]]/C194-1,"")</f>
        <v>-2.6400996264009935E-2</v>
      </c>
      <c r="F206" s="174">
        <f>IFERROR(DT_data[[#This Row],[Средневзвешенная цена]]/D194-1,"")</f>
        <v>3.6707641953887871E-2</v>
      </c>
    </row>
    <row r="207" spans="1:6" ht="14.55" customHeight="1" x14ac:dyDescent="0.3">
      <c r="A207" s="180">
        <v>44378</v>
      </c>
      <c r="B207" s="181" t="s">
        <v>8</v>
      </c>
      <c r="C207" s="182">
        <v>4686</v>
      </c>
      <c r="D207" s="200">
        <v>307365.87509837101</v>
      </c>
      <c r="E207" s="174">
        <f>IFERROR(DT_data[[#This Row],[Объем предложения]]/C195-1,"")</f>
        <v>-6.3613231552163141E-3</v>
      </c>
      <c r="F207" s="174">
        <f>IFERROR(DT_data[[#This Row],[Средневзвешенная цена]]/D195-1,"")</f>
        <v>-9.0646883796741129E-4</v>
      </c>
    </row>
    <row r="208" spans="1:6" ht="14.55" customHeight="1" x14ac:dyDescent="0.3">
      <c r="A208" s="180">
        <v>44378</v>
      </c>
      <c r="B208" s="181" t="s">
        <v>9</v>
      </c>
      <c r="C208" s="182">
        <v>1083</v>
      </c>
      <c r="D208" s="200">
        <v>189270</v>
      </c>
      <c r="E208" s="174">
        <f>IFERROR(DT_data[[#This Row],[Объем предложения]]/C196-1,"")</f>
        <v>3.6363636363636376E-2</v>
      </c>
      <c r="F208" s="174">
        <f>IFERROR(DT_data[[#This Row],[Средневзвешенная цена]]/D196-1,"")</f>
        <v>1.9601026460450921E-2</v>
      </c>
    </row>
    <row r="209" spans="1:6" ht="14.55" customHeight="1" x14ac:dyDescent="0.3">
      <c r="A209" s="180">
        <v>44378</v>
      </c>
      <c r="B209" s="181" t="s">
        <v>10</v>
      </c>
      <c r="C209" s="182">
        <v>3998</v>
      </c>
      <c r="D209" s="200">
        <v>279829.87249036401</v>
      </c>
      <c r="E209" s="174">
        <f>IFERROR(DT_data[[#This Row],[Объем предложения]]/C197-1,"")</f>
        <v>3.5140562248996421E-3</v>
      </c>
      <c r="F209" s="174">
        <f>IFERROR(DT_data[[#This Row],[Средневзвешенная цена]]/D197-1,"")</f>
        <v>3.0150082976929005E-2</v>
      </c>
    </row>
    <row r="210" spans="1:6" ht="14.55" customHeight="1" x14ac:dyDescent="0.3">
      <c r="A210" s="180">
        <v>44378</v>
      </c>
      <c r="B210" s="181" t="s">
        <v>11</v>
      </c>
      <c r="C210" s="182">
        <v>3669</v>
      </c>
      <c r="D210" s="200">
        <v>258704</v>
      </c>
      <c r="E210" s="174">
        <f>IFERROR(DT_data[[#This Row],[Объем предложения]]/C198-1,"")</f>
        <v>7.1369750205874105E-3</v>
      </c>
      <c r="F210" s="174">
        <f>IFERROR(DT_data[[#This Row],[Средневзвешенная цена]]/D198-1,"")</f>
        <v>3.4452375464441243E-2</v>
      </c>
    </row>
    <row r="211" spans="1:6" ht="14.55" customHeight="1" x14ac:dyDescent="0.3">
      <c r="A211" s="180">
        <v>44378</v>
      </c>
      <c r="B211" s="181" t="s">
        <v>12</v>
      </c>
      <c r="C211" s="182">
        <v>2411</v>
      </c>
      <c r="D211" s="200">
        <v>270586.86449560802</v>
      </c>
      <c r="E211" s="174">
        <f>IFERROR(DT_data[[#This Row],[Объем предложения]]/C199-1,"")</f>
        <v>-1.872201872201873E-2</v>
      </c>
      <c r="F211" s="174">
        <f>IFERROR(DT_data[[#This Row],[Средневзвешенная цена]]/D199-1,"")</f>
        <v>2.635396583972871E-2</v>
      </c>
    </row>
    <row r="212" spans="1:6" ht="14.55" customHeight="1" x14ac:dyDescent="0.3">
      <c r="A212" s="180">
        <v>44378</v>
      </c>
      <c r="B212" s="181" t="s">
        <v>13</v>
      </c>
      <c r="C212" s="182">
        <v>480</v>
      </c>
      <c r="D212" s="200">
        <v>147506.88143227229</v>
      </c>
      <c r="E212" s="174">
        <f>IFERROR(DT_data[[#This Row],[Объем предложения]]/C200-1,"")</f>
        <v>-2.0408163265306145E-2</v>
      </c>
      <c r="F212" s="174">
        <f>IFERROR(DT_data[[#This Row],[Средневзвешенная цена]]/D200-1,"")</f>
        <v>2.7934941496398524E-2</v>
      </c>
    </row>
    <row r="213" spans="1:6" ht="14.55" customHeight="1" x14ac:dyDescent="0.3">
      <c r="A213" s="180">
        <v>44378</v>
      </c>
      <c r="B213" s="181" t="s">
        <v>14</v>
      </c>
      <c r="C213" s="182">
        <v>6230</v>
      </c>
      <c r="D213" s="200">
        <v>537692.18327814108</v>
      </c>
      <c r="E213" s="174">
        <f>IFERROR(DT_data[[#This Row],[Объем предложения]]/C201-1,"")</f>
        <v>-8.1197261582550695E-3</v>
      </c>
      <c r="F213" s="174">
        <f>IFERROR(DT_data[[#This Row],[Средневзвешенная цена]]/D201-1,"")</f>
        <v>2.6870024283189853E-2</v>
      </c>
    </row>
    <row r="214" spans="1:6" ht="14.55" customHeight="1" x14ac:dyDescent="0.3">
      <c r="A214" s="180">
        <v>44378</v>
      </c>
      <c r="B214" s="181" t="s">
        <v>15</v>
      </c>
      <c r="C214" s="182">
        <v>4012</v>
      </c>
      <c r="D214" s="200">
        <v>231525.01908459191</v>
      </c>
      <c r="E214" s="174">
        <f>IFERROR(DT_data[[#This Row],[Объем предложения]]/C202-1,"")</f>
        <v>-1.2065993597636049E-2</v>
      </c>
      <c r="F214" s="174">
        <f>IFERROR(DT_data[[#This Row],[Средневзвешенная цена]]/D202-1,"")</f>
        <v>4.3340427419705341E-2</v>
      </c>
    </row>
    <row r="215" spans="1:6" ht="14.55" customHeight="1" x14ac:dyDescent="0.3">
      <c r="A215" s="180">
        <v>44378</v>
      </c>
      <c r="B215" s="181" t="s">
        <v>16</v>
      </c>
      <c r="C215" s="182">
        <v>4190</v>
      </c>
      <c r="D215" s="200">
        <v>274500.01690092351</v>
      </c>
      <c r="E215" s="174">
        <f>IFERROR(DT_data[[#This Row],[Объем предложения]]/C203-1,"")</f>
        <v>-2.3992546005124571E-2</v>
      </c>
      <c r="F215" s="174">
        <f>IFERROR(DT_data[[#This Row],[Средневзвешенная цена]]/D203-1,"")</f>
        <v>2.5347658324979205E-2</v>
      </c>
    </row>
    <row r="216" spans="1:6" ht="14.55" customHeight="1" x14ac:dyDescent="0.3">
      <c r="A216" s="180">
        <v>44378</v>
      </c>
      <c r="B216" s="181" t="s">
        <v>17</v>
      </c>
      <c r="C216" s="182">
        <v>4278</v>
      </c>
      <c r="D216" s="200">
        <v>251078.98626123049</v>
      </c>
      <c r="E216" s="174">
        <f>IFERROR(DT_data[[#This Row],[Объем предложения]]/C204-1,"")</f>
        <v>3.04806565064486E-3</v>
      </c>
      <c r="F216" s="174">
        <f>IFERROR(DT_data[[#This Row],[Средневзвешенная цена]]/D204-1,"")</f>
        <v>5.4301764564652855E-2</v>
      </c>
    </row>
    <row r="217" spans="1:6" ht="14.55" customHeight="1" x14ac:dyDescent="0.3">
      <c r="A217" s="180">
        <v>44378</v>
      </c>
      <c r="B217" s="181" t="s">
        <v>175</v>
      </c>
      <c r="C217" s="182">
        <v>0</v>
      </c>
      <c r="D217" s="200">
        <v>0</v>
      </c>
      <c r="E217" s="174" t="str">
        <f>IFERROR(DT_data[[#This Row],[Объем предложения]]/C205-1,"")</f>
        <v/>
      </c>
      <c r="F217" s="174">
        <f>IFERROR(DT_data[[#This Row],[Средневзвешенная цена]]/D205-1,"")</f>
        <v>-1</v>
      </c>
    </row>
    <row r="218" spans="1:6" ht="14.55" customHeight="1" x14ac:dyDescent="0.3">
      <c r="A218" s="180">
        <v>44409</v>
      </c>
      <c r="B218" s="179" t="s">
        <v>7</v>
      </c>
      <c r="C218" s="182">
        <v>3911</v>
      </c>
      <c r="D218" s="200">
        <v>243817.904226457</v>
      </c>
      <c r="E218" s="174">
        <f>IFERROR(DT_data[[#This Row],[Объем предложения]]/C206-1,"")</f>
        <v>5.1163980557689115E-4</v>
      </c>
      <c r="F218" s="174">
        <f>IFERROR(DT_data[[#This Row],[Средневзвешенная цена]]/D206-1,"")</f>
        <v>1.8190377706930549E-2</v>
      </c>
    </row>
    <row r="219" spans="1:6" ht="14.55" customHeight="1" x14ac:dyDescent="0.3">
      <c r="A219" s="180">
        <v>44409</v>
      </c>
      <c r="B219" s="181" t="s">
        <v>8</v>
      </c>
      <c r="C219" s="182">
        <v>4497</v>
      </c>
      <c r="D219" s="200">
        <v>313986.35700671421</v>
      </c>
      <c r="E219" s="174">
        <f>IFERROR(DT_data[[#This Row],[Объем предложения]]/C207-1,"")</f>
        <v>-4.0332906530089585E-2</v>
      </c>
      <c r="F219" s="174">
        <f>IFERROR(DT_data[[#This Row],[Средневзвешенная цена]]/D207-1,"")</f>
        <v>2.1539417497874025E-2</v>
      </c>
    </row>
    <row r="220" spans="1:6" ht="14.55" customHeight="1" x14ac:dyDescent="0.3">
      <c r="A220" s="180">
        <v>44409</v>
      </c>
      <c r="B220" s="181" t="s">
        <v>9</v>
      </c>
      <c r="C220" s="182">
        <v>1029</v>
      </c>
      <c r="D220" s="200">
        <v>190978.5946016557</v>
      </c>
      <c r="E220" s="174">
        <f>IFERROR(DT_data[[#This Row],[Объем предложения]]/C208-1,"")</f>
        <v>-4.9861495844875314E-2</v>
      </c>
      <c r="F220" s="174">
        <f>IFERROR(DT_data[[#This Row],[Средневзвешенная цена]]/D208-1,"")</f>
        <v>9.0272869533243316E-3</v>
      </c>
    </row>
    <row r="221" spans="1:6" ht="14.55" customHeight="1" x14ac:dyDescent="0.3">
      <c r="A221" s="180">
        <v>44409</v>
      </c>
      <c r="B221" s="181" t="s">
        <v>10</v>
      </c>
      <c r="C221" s="182">
        <v>3932</v>
      </c>
      <c r="D221" s="200">
        <v>285267.26389235689</v>
      </c>
      <c r="E221" s="174">
        <f>IFERROR(DT_data[[#This Row],[Объем предложения]]/C209-1,"")</f>
        <v>-1.6508254127063582E-2</v>
      </c>
      <c r="F221" s="174">
        <f>IFERROR(DT_data[[#This Row],[Средневзвешенная цена]]/D209-1,"")</f>
        <v>1.94310612859252E-2</v>
      </c>
    </row>
    <row r="222" spans="1:6" ht="14.55" customHeight="1" x14ac:dyDescent="0.3">
      <c r="A222" s="180">
        <v>44409</v>
      </c>
      <c r="B222" s="181" t="s">
        <v>11</v>
      </c>
      <c r="C222" s="182">
        <v>3694</v>
      </c>
      <c r="D222" s="200">
        <v>262066.97207549991</v>
      </c>
      <c r="E222" s="174">
        <f>IFERROR(DT_data[[#This Row],[Объем предложения]]/C210-1,"")</f>
        <v>6.8138457345325865E-3</v>
      </c>
      <c r="F222" s="174">
        <f>IFERROR(DT_data[[#This Row],[Средневзвешенная цена]]/D210-1,"")</f>
        <v>1.2999304515971533E-2</v>
      </c>
    </row>
    <row r="223" spans="1:6" ht="14.55" customHeight="1" x14ac:dyDescent="0.3">
      <c r="A223" s="180">
        <v>44409</v>
      </c>
      <c r="B223" s="181" t="s">
        <v>12</v>
      </c>
      <c r="C223" s="182">
        <v>2442</v>
      </c>
      <c r="D223" s="200">
        <v>273464.63700159639</v>
      </c>
      <c r="E223" s="174">
        <f>IFERROR(DT_data[[#This Row],[Объем предложения]]/C211-1,"")</f>
        <v>1.2857735379510515E-2</v>
      </c>
      <c r="F223" s="174">
        <f>IFERROR(DT_data[[#This Row],[Средневзвешенная цена]]/D211-1,"")</f>
        <v>1.0635300096154765E-2</v>
      </c>
    </row>
    <row r="224" spans="1:6" ht="14.55" customHeight="1" x14ac:dyDescent="0.3">
      <c r="A224" s="180">
        <v>44409</v>
      </c>
      <c r="B224" s="181" t="s">
        <v>13</v>
      </c>
      <c r="C224" s="182">
        <v>477</v>
      </c>
      <c r="D224" s="200">
        <v>151436.4457790372</v>
      </c>
      <c r="E224" s="174">
        <f>IFERROR(DT_data[[#This Row],[Объем предложения]]/C212-1,"")</f>
        <v>-6.2499999999999778E-3</v>
      </c>
      <c r="F224" s="174">
        <f>IFERROR(DT_data[[#This Row],[Средневзвешенная цена]]/D212-1,"")</f>
        <v>2.6639871364707579E-2</v>
      </c>
    </row>
    <row r="225" spans="1:6" ht="14.55" customHeight="1" x14ac:dyDescent="0.3">
      <c r="A225" s="180">
        <v>44409</v>
      </c>
      <c r="B225" s="181" t="s">
        <v>14</v>
      </c>
      <c r="C225" s="182">
        <v>5895</v>
      </c>
      <c r="D225" s="200">
        <v>542877.9800446697</v>
      </c>
      <c r="E225" s="174">
        <f>IFERROR(DT_data[[#This Row],[Объем предложения]]/C213-1,"")</f>
        <v>-5.3772070626003199E-2</v>
      </c>
      <c r="F225" s="174">
        <f>IFERROR(DT_data[[#This Row],[Средневзвешенная цена]]/D213-1,"")</f>
        <v>9.6445455742213415E-3</v>
      </c>
    </row>
    <row r="226" spans="1:6" ht="14.55" customHeight="1" x14ac:dyDescent="0.3">
      <c r="A226" s="180">
        <v>44409</v>
      </c>
      <c r="B226" s="181" t="s">
        <v>15</v>
      </c>
      <c r="C226" s="182">
        <v>3774</v>
      </c>
      <c r="D226" s="200">
        <v>236217.4435711597</v>
      </c>
      <c r="E226" s="174">
        <f>IFERROR(DT_data[[#This Row],[Объем предложения]]/C214-1,"")</f>
        <v>-5.9322033898305038E-2</v>
      </c>
      <c r="F226" s="174">
        <f>IFERROR(DT_data[[#This Row],[Средневзвешенная цена]]/D214-1,"")</f>
        <v>2.0267461828189504E-2</v>
      </c>
    </row>
    <row r="227" spans="1:6" ht="14.55" customHeight="1" x14ac:dyDescent="0.3">
      <c r="A227" s="180">
        <v>44409</v>
      </c>
      <c r="B227" s="181" t="s">
        <v>16</v>
      </c>
      <c r="C227" s="182">
        <v>3973</v>
      </c>
      <c r="D227" s="200">
        <v>279971.03003293643</v>
      </c>
      <c r="E227" s="174">
        <f>IFERROR(DT_data[[#This Row],[Объем предложения]]/C215-1,"")</f>
        <v>-5.178997613365155E-2</v>
      </c>
      <c r="F227" s="174">
        <f>IFERROR(DT_data[[#This Row],[Средневзвешенная цена]]/D215-1,"")</f>
        <v>1.9930829854876153E-2</v>
      </c>
    </row>
    <row r="228" spans="1:6" ht="14.55" customHeight="1" x14ac:dyDescent="0.3">
      <c r="A228" s="180">
        <v>44409</v>
      </c>
      <c r="B228" s="181" t="s">
        <v>17</v>
      </c>
      <c r="C228" s="182">
        <v>4053</v>
      </c>
      <c r="D228" s="200">
        <v>255337.31070487079</v>
      </c>
      <c r="E228" s="174">
        <f>IFERROR(DT_data[[#This Row],[Объем предложения]]/C216-1,"")</f>
        <v>-5.2594670406732158E-2</v>
      </c>
      <c r="F228" s="174">
        <f>IFERROR(DT_data[[#This Row],[Средневзвешенная цена]]/D216-1,"")</f>
        <v>1.6960098919667432E-2</v>
      </c>
    </row>
    <row r="229" spans="1:6" ht="14.55" customHeight="1" x14ac:dyDescent="0.3">
      <c r="A229" s="180">
        <v>44409</v>
      </c>
      <c r="B229" s="181" t="s">
        <v>175</v>
      </c>
      <c r="C229" s="182">
        <v>0</v>
      </c>
      <c r="D229" s="200">
        <v>0</v>
      </c>
      <c r="E229" s="174" t="str">
        <f>IFERROR(DT_data[[#This Row],[Объем предложения]]/C217-1,"")</f>
        <v/>
      </c>
      <c r="F229" s="174" t="str">
        <f>IFERROR(DT_data[[#This Row],[Средневзвешенная цена]]/D217-1,"")</f>
        <v/>
      </c>
    </row>
    <row r="230" spans="1:6" ht="14.55" customHeight="1" x14ac:dyDescent="0.3">
      <c r="A230" s="180">
        <v>44440</v>
      </c>
      <c r="B230" s="179" t="s">
        <v>7</v>
      </c>
      <c r="C230" s="182">
        <v>4049</v>
      </c>
      <c r="D230" s="200">
        <v>249485.8436743115</v>
      </c>
      <c r="E230" s="174">
        <f>IFERROR(DT_data[[#This Row],[Объем предложения]]/C218-1,"")</f>
        <v>3.5285093326514971E-2</v>
      </c>
      <c r="F230" s="174">
        <f>IFERROR(DT_data[[#This Row],[Средневзвешенная цена]]/D218-1,"")</f>
        <v>2.3246608840465477E-2</v>
      </c>
    </row>
    <row r="231" spans="1:6" ht="14.55" customHeight="1" x14ac:dyDescent="0.3">
      <c r="A231" s="180">
        <v>44440</v>
      </c>
      <c r="B231" s="181" t="s">
        <v>8</v>
      </c>
      <c r="C231" s="182">
        <v>4608</v>
      </c>
      <c r="D231" s="200">
        <v>318405.32816914219</v>
      </c>
      <c r="E231" s="174">
        <f>IFERROR(DT_data[[#This Row],[Объем предложения]]/C219-1,"")</f>
        <v>2.4683122081387676E-2</v>
      </c>
      <c r="F231" s="174">
        <f>IFERROR(DT_data[[#This Row],[Средневзвешенная цена]]/D219-1,"")</f>
        <v>1.407376805971694E-2</v>
      </c>
    </row>
    <row r="232" spans="1:6" ht="14.55" customHeight="1" x14ac:dyDescent="0.3">
      <c r="A232" s="180">
        <v>44440</v>
      </c>
      <c r="B232" s="181" t="s">
        <v>9</v>
      </c>
      <c r="C232" s="182">
        <v>1036</v>
      </c>
      <c r="D232" s="200">
        <v>191949.76357757431</v>
      </c>
      <c r="E232" s="174">
        <f>IFERROR(DT_data[[#This Row],[Объем предложения]]/C220-1,"")</f>
        <v>6.8027210884353817E-3</v>
      </c>
      <c r="F232" s="174">
        <f>IFERROR(DT_data[[#This Row],[Средневзвешенная цена]]/D220-1,"")</f>
        <v>5.0852242260148728E-3</v>
      </c>
    </row>
    <row r="233" spans="1:6" ht="14.55" customHeight="1" x14ac:dyDescent="0.3">
      <c r="A233" s="180">
        <v>44440</v>
      </c>
      <c r="B233" s="181" t="s">
        <v>10</v>
      </c>
      <c r="C233" s="182">
        <v>4049.96</v>
      </c>
      <c r="D233" s="200">
        <v>288234.28745723149</v>
      </c>
      <c r="E233" s="174">
        <f>IFERROR(DT_data[[#This Row],[Объем предложения]]/C221-1,"")</f>
        <v>3.0000000000000027E-2</v>
      </c>
      <c r="F233" s="174">
        <f>IFERROR(DT_data[[#This Row],[Средневзвешенная цена]]/D221-1,"")</f>
        <v>1.0400855409733234E-2</v>
      </c>
    </row>
    <row r="234" spans="1:6" ht="14.55" customHeight="1" x14ac:dyDescent="0.3">
      <c r="A234" s="180">
        <v>44440</v>
      </c>
      <c r="B234" s="181" t="s">
        <v>11</v>
      </c>
      <c r="C234" s="182">
        <v>3908</v>
      </c>
      <c r="D234" s="200">
        <v>267543.33263386798</v>
      </c>
      <c r="E234" s="174">
        <f>IFERROR(DT_data[[#This Row],[Объем предложения]]/C222-1,"")</f>
        <v>5.7931781266919335E-2</v>
      </c>
      <c r="F234" s="174">
        <f>IFERROR(DT_data[[#This Row],[Средневзвешенная цена]]/D222-1,"")</f>
        <v>2.089679792534227E-2</v>
      </c>
    </row>
    <row r="235" spans="1:6" ht="14.55" customHeight="1" x14ac:dyDescent="0.3">
      <c r="A235" s="180">
        <v>44440</v>
      </c>
      <c r="B235" s="181" t="s">
        <v>12</v>
      </c>
      <c r="C235" s="182">
        <v>2514</v>
      </c>
      <c r="D235" s="200">
        <v>278765.98798666633</v>
      </c>
      <c r="E235" s="174">
        <f>IFERROR(DT_data[[#This Row],[Объем предложения]]/C223-1,"")</f>
        <v>2.9484029484029506E-2</v>
      </c>
      <c r="F235" s="174">
        <f>IFERROR(DT_data[[#This Row],[Средневзвешенная цена]]/D223-1,"")</f>
        <v>1.9385873958682964E-2</v>
      </c>
    </row>
    <row r="236" spans="1:6" ht="14.55" customHeight="1" x14ac:dyDescent="0.3">
      <c r="A236" s="180">
        <v>44440</v>
      </c>
      <c r="B236" s="181" t="s">
        <v>13</v>
      </c>
      <c r="C236" s="182">
        <v>528</v>
      </c>
      <c r="D236" s="200">
        <v>155868.4950546629</v>
      </c>
      <c r="E236" s="174">
        <f>IFERROR(DT_data[[#This Row],[Объем предложения]]/C224-1,"")</f>
        <v>0.10691823899371067</v>
      </c>
      <c r="F236" s="174">
        <f>IFERROR(DT_data[[#This Row],[Средневзвешенная цена]]/D224-1,"")</f>
        <v>2.9266728051003943E-2</v>
      </c>
    </row>
    <row r="237" spans="1:6" ht="14.55" customHeight="1" x14ac:dyDescent="0.3">
      <c r="A237" s="180">
        <v>44440</v>
      </c>
      <c r="B237" s="181" t="s">
        <v>14</v>
      </c>
      <c r="C237" s="182">
        <v>6071.85</v>
      </c>
      <c r="D237" s="200">
        <v>543264.80966320937</v>
      </c>
      <c r="E237" s="174">
        <f>IFERROR(DT_data[[#This Row],[Объем предложения]]/C225-1,"")</f>
        <v>3.0000000000000027E-2</v>
      </c>
      <c r="F237" s="174">
        <f>IFERROR(DT_data[[#This Row],[Средневзвешенная цена]]/D225-1,"")</f>
        <v>7.1255352539401073E-4</v>
      </c>
    </row>
    <row r="238" spans="1:6" ht="14.55" customHeight="1" x14ac:dyDescent="0.3">
      <c r="A238" s="180">
        <v>44440</v>
      </c>
      <c r="B238" s="181" t="s">
        <v>15</v>
      </c>
      <c r="C238" s="182">
        <v>3827</v>
      </c>
      <c r="D238" s="200">
        <v>240456.28294197639</v>
      </c>
      <c r="E238" s="174">
        <f>IFERROR(DT_data[[#This Row],[Объем предложения]]/C226-1,"")</f>
        <v>1.4043455219925782E-2</v>
      </c>
      <c r="F238" s="174">
        <f>IFERROR(DT_data[[#This Row],[Средневзвешенная цена]]/D226-1,"")</f>
        <v>1.7944650093293157E-2</v>
      </c>
    </row>
    <row r="239" spans="1:6" ht="14.55" customHeight="1" x14ac:dyDescent="0.3">
      <c r="A239" s="180">
        <v>44440</v>
      </c>
      <c r="B239" s="181" t="s">
        <v>16</v>
      </c>
      <c r="C239" s="182">
        <v>4204</v>
      </c>
      <c r="D239" s="200">
        <v>284425.09842203389</v>
      </c>
      <c r="E239" s="174">
        <f>IFERROR(DT_data[[#This Row],[Объем предложения]]/C227-1,"")</f>
        <v>5.8142461615907415E-2</v>
      </c>
      <c r="F239" s="174">
        <f>IFERROR(DT_data[[#This Row],[Средневзвешенная цена]]/D227-1,"")</f>
        <v>1.5909033118796101E-2</v>
      </c>
    </row>
    <row r="240" spans="1:6" ht="14.55" customHeight="1" x14ac:dyDescent="0.3">
      <c r="A240" s="180">
        <v>44440</v>
      </c>
      <c r="B240" s="181" t="s">
        <v>17</v>
      </c>
      <c r="C240" s="182">
        <v>4134.0600000000004</v>
      </c>
      <c r="D240" s="200">
        <v>257160.38414682401</v>
      </c>
      <c r="E240" s="174">
        <f>IFERROR(DT_data[[#This Row],[Объем предложения]]/C228-1,"")</f>
        <v>2.0000000000000018E-2</v>
      </c>
      <c r="F240" s="174">
        <f>IFERROR(DT_data[[#This Row],[Средневзвешенная цена]]/D228-1,"")</f>
        <v>7.1398630968602106E-3</v>
      </c>
    </row>
    <row r="241" spans="1:6" ht="14.55" customHeight="1" x14ac:dyDescent="0.3">
      <c r="A241" s="180">
        <v>44440</v>
      </c>
      <c r="B241" s="181" t="s">
        <v>175</v>
      </c>
      <c r="C241" s="182">
        <v>442</v>
      </c>
      <c r="D241" s="200">
        <v>0</v>
      </c>
      <c r="E241" s="174" t="str">
        <f>IFERROR(DT_data[[#This Row],[Объем предложения]]/C229-1,"")</f>
        <v/>
      </c>
      <c r="F241" s="174" t="str">
        <f>IFERROR(DT_data[[#This Row],[Средневзвешенная цена]]/D229-1,"")</f>
        <v/>
      </c>
    </row>
    <row r="242" spans="1:6" ht="14.55" customHeight="1" x14ac:dyDescent="0.3">
      <c r="A242" s="180">
        <v>44470</v>
      </c>
      <c r="B242" s="179" t="s">
        <v>7</v>
      </c>
      <c r="C242" s="182">
        <v>4337</v>
      </c>
      <c r="D242" s="200">
        <v>253346.3276842862</v>
      </c>
      <c r="E242" s="174">
        <f>IFERROR(DT_data[[#This Row],[Объем предложения]]/C230-1,"")</f>
        <v>7.1128673746604143E-2</v>
      </c>
      <c r="F242" s="174">
        <f>IFERROR(DT_data[[#This Row],[Средневзвешенная цена]]/D230-1,"")</f>
        <v>1.5473759765761708E-2</v>
      </c>
    </row>
    <row r="243" spans="1:6" ht="14.55" customHeight="1" x14ac:dyDescent="0.3">
      <c r="A243" s="180">
        <v>44470</v>
      </c>
      <c r="B243" s="181" t="s">
        <v>8</v>
      </c>
      <c r="C243" s="182">
        <v>4784</v>
      </c>
      <c r="D243" s="200">
        <v>321496.05009821663</v>
      </c>
      <c r="E243" s="174">
        <f>IFERROR(DT_data[[#This Row],[Объем предложения]]/C231-1,"")</f>
        <v>3.819444444444442E-2</v>
      </c>
      <c r="F243" s="174">
        <f>IFERROR(DT_data[[#This Row],[Средневзвешенная цена]]/D231-1,"")</f>
        <v>9.7068787976832827E-3</v>
      </c>
    </row>
    <row r="244" spans="1:6" ht="14.55" customHeight="1" x14ac:dyDescent="0.3">
      <c r="A244" s="180">
        <v>44470</v>
      </c>
      <c r="B244" s="181" t="s">
        <v>9</v>
      </c>
      <c r="C244" s="182">
        <v>1172</v>
      </c>
      <c r="D244" s="200">
        <v>199505.4179037796</v>
      </c>
      <c r="E244" s="174">
        <f>IFERROR(DT_data[[#This Row],[Объем предложения]]/C232-1,"")</f>
        <v>0.13127413127413123</v>
      </c>
      <c r="F244" s="174">
        <f>IFERROR(DT_data[[#This Row],[Средневзвешенная цена]]/D232-1,"")</f>
        <v>3.9362665446325273E-2</v>
      </c>
    </row>
    <row r="245" spans="1:6" ht="14.55" customHeight="1" x14ac:dyDescent="0.3">
      <c r="A245" s="180">
        <v>44470</v>
      </c>
      <c r="B245" s="181" t="s">
        <v>10</v>
      </c>
      <c r="C245" s="182">
        <v>3949</v>
      </c>
      <c r="D245" s="200">
        <v>290471.21689291118</v>
      </c>
      <c r="E245" s="174">
        <f>IFERROR(DT_data[[#This Row],[Объем предложения]]/C233-1,"")</f>
        <v>-2.4928641270531071E-2</v>
      </c>
      <c r="F245" s="174">
        <f>IFERROR(DT_data[[#This Row],[Средневзвешенная цена]]/D233-1,"")</f>
        <v>7.7608026977415978E-3</v>
      </c>
    </row>
    <row r="246" spans="1:6" ht="14.55" customHeight="1" x14ac:dyDescent="0.3">
      <c r="A246" s="180">
        <v>44470</v>
      </c>
      <c r="B246" s="181" t="s">
        <v>11</v>
      </c>
      <c r="C246" s="182">
        <v>4163</v>
      </c>
      <c r="D246" s="200">
        <v>271461.21226723271</v>
      </c>
      <c r="E246" s="174">
        <f>IFERROR(DT_data[[#This Row],[Объем предложения]]/C234-1,"")</f>
        <v>6.5250767656090058E-2</v>
      </c>
      <c r="F246" s="174">
        <f>IFERROR(DT_data[[#This Row],[Средневзвешенная цена]]/D234-1,"")</f>
        <v>1.4643906819858277E-2</v>
      </c>
    </row>
    <row r="247" spans="1:6" ht="14.55" customHeight="1" x14ac:dyDescent="0.3">
      <c r="A247" s="180">
        <v>44470</v>
      </c>
      <c r="B247" s="181" t="s">
        <v>12</v>
      </c>
      <c r="C247" s="182">
        <v>2540</v>
      </c>
      <c r="D247" s="200">
        <v>285228.90836500551</v>
      </c>
      <c r="E247" s="174">
        <f>IFERROR(DT_data[[#This Row],[Объем предложения]]/C235-1,"")</f>
        <v>1.0342084327764622E-2</v>
      </c>
      <c r="F247" s="174">
        <f>IFERROR(DT_data[[#This Row],[Средневзвешенная цена]]/D235-1,"")</f>
        <v>2.3184034842329115E-2</v>
      </c>
    </row>
    <row r="248" spans="1:6" ht="14.55" customHeight="1" x14ac:dyDescent="0.3">
      <c r="A248" s="180">
        <v>44470</v>
      </c>
      <c r="B248" s="181" t="s">
        <v>13</v>
      </c>
      <c r="C248" s="182">
        <v>530</v>
      </c>
      <c r="D248" s="200">
        <v>157390.60041545649</v>
      </c>
      <c r="E248" s="174">
        <f>IFERROR(DT_data[[#This Row],[Объем предложения]]/C236-1,"")</f>
        <v>3.7878787878788955E-3</v>
      </c>
      <c r="F248" s="174">
        <f>IFERROR(DT_data[[#This Row],[Средневзвешенная цена]]/D236-1,"")</f>
        <v>9.7653176176479839E-3</v>
      </c>
    </row>
    <row r="249" spans="1:6" ht="14.55" customHeight="1" x14ac:dyDescent="0.3">
      <c r="A249" s="180">
        <v>44470</v>
      </c>
      <c r="B249" s="181" t="s">
        <v>14</v>
      </c>
      <c r="C249" s="182">
        <v>5722</v>
      </c>
      <c r="D249" s="200">
        <v>542715.61971284903</v>
      </c>
      <c r="E249" s="174">
        <f>IFERROR(DT_data[[#This Row],[Объем предложения]]/C237-1,"")</f>
        <v>-5.7618353549577228E-2</v>
      </c>
      <c r="F249" s="174">
        <f>IFERROR(DT_data[[#This Row],[Средневзвешенная цена]]/D237-1,"")</f>
        <v>-1.0109065424296348E-3</v>
      </c>
    </row>
    <row r="250" spans="1:6" ht="14.55" customHeight="1" x14ac:dyDescent="0.3">
      <c r="A250" s="180">
        <v>44470</v>
      </c>
      <c r="B250" s="181" t="s">
        <v>15</v>
      </c>
      <c r="C250" s="182">
        <v>4050</v>
      </c>
      <c r="D250" s="200">
        <v>244291.873544584</v>
      </c>
      <c r="E250" s="174">
        <f>IFERROR(DT_data[[#This Row],[Объем предложения]]/C238-1,"")</f>
        <v>5.8270185523909168E-2</v>
      </c>
      <c r="F250" s="174">
        <f>IFERROR(DT_data[[#This Row],[Средневзвешенная цена]]/D238-1,"")</f>
        <v>1.5951301233135817E-2</v>
      </c>
    </row>
    <row r="251" spans="1:6" ht="14.55" customHeight="1" x14ac:dyDescent="0.3">
      <c r="A251" s="180">
        <v>44470</v>
      </c>
      <c r="B251" s="181" t="s">
        <v>16</v>
      </c>
      <c r="C251" s="182">
        <v>4348</v>
      </c>
      <c r="D251" s="200">
        <v>287414.23817491438</v>
      </c>
      <c r="E251" s="174">
        <f>IFERROR(DT_data[[#This Row],[Объем предложения]]/C239-1,"")</f>
        <v>3.4253092293054177E-2</v>
      </c>
      <c r="F251" s="174">
        <f>IFERROR(DT_data[[#This Row],[Средневзвешенная цена]]/D239-1,"")</f>
        <v>1.0509409223953714E-2</v>
      </c>
    </row>
    <row r="252" spans="1:6" ht="14.55" customHeight="1" x14ac:dyDescent="0.3">
      <c r="A252" s="180">
        <v>44470</v>
      </c>
      <c r="B252" s="181" t="s">
        <v>17</v>
      </c>
      <c r="C252" s="182">
        <v>4258</v>
      </c>
      <c r="D252" s="200">
        <v>260881.01090544171</v>
      </c>
      <c r="E252" s="174">
        <f>IFERROR(DT_data[[#This Row],[Объем предложения]]/C240-1,"")</f>
        <v>2.998021315607402E-2</v>
      </c>
      <c r="F252" s="174">
        <f>IFERROR(DT_data[[#This Row],[Средневзвешенная цена]]/D240-1,"")</f>
        <v>1.4468117906113465E-2</v>
      </c>
    </row>
    <row r="253" spans="1:6" ht="14.55" customHeight="1" x14ac:dyDescent="0.3">
      <c r="A253" s="180">
        <v>44470</v>
      </c>
      <c r="B253" s="181" t="s">
        <v>175</v>
      </c>
      <c r="C253" s="182">
        <v>467</v>
      </c>
      <c r="D253" s="200">
        <v>0</v>
      </c>
      <c r="E253" s="174">
        <f>IFERROR(DT_data[[#This Row],[Объем предложения]]/C241-1,"")</f>
        <v>5.65610859728507E-2</v>
      </c>
      <c r="F253" s="174" t="str">
        <f>IFERROR(DT_data[[#This Row],[Средневзвешенная цена]]/D241-1,"")</f>
        <v/>
      </c>
    </row>
    <row r="254" spans="1:6" ht="14.55" customHeight="1" x14ac:dyDescent="0.3">
      <c r="A254" s="180">
        <v>44501</v>
      </c>
      <c r="B254" s="179" t="s">
        <v>7</v>
      </c>
      <c r="C254" s="182">
        <v>4287</v>
      </c>
      <c r="D254" s="200">
        <v>256232</v>
      </c>
      <c r="E254" s="174">
        <f>IFERROR(DT_data[[#This Row],[Объем предложения]]/C242-1,"")</f>
        <v>-1.1528706479133066E-2</v>
      </c>
      <c r="F254" s="174">
        <f>IFERROR(DT_data[[#This Row],[Средневзвешенная цена]]/D242-1,"")</f>
        <v>1.1390227528025765E-2</v>
      </c>
    </row>
    <row r="255" spans="1:6" ht="14.55" customHeight="1" x14ac:dyDescent="0.3">
      <c r="A255" s="180">
        <v>44501</v>
      </c>
      <c r="B255" s="181" t="s">
        <v>8</v>
      </c>
      <c r="C255" s="182">
        <v>4565</v>
      </c>
      <c r="D255" s="200">
        <v>326170</v>
      </c>
      <c r="E255" s="174">
        <f>IFERROR(DT_data[[#This Row],[Объем предложения]]/C243-1,"")</f>
        <v>-4.5777591973244158E-2</v>
      </c>
      <c r="F255" s="174">
        <f>IFERROR(DT_data[[#This Row],[Средневзвешенная цена]]/D243-1,"")</f>
        <v>1.4538125430640481E-2</v>
      </c>
    </row>
    <row r="256" spans="1:6" ht="14.55" customHeight="1" x14ac:dyDescent="0.3">
      <c r="A256" s="180">
        <v>44501</v>
      </c>
      <c r="B256" s="181" t="s">
        <v>9</v>
      </c>
      <c r="C256" s="182">
        <v>1255</v>
      </c>
      <c r="D256" s="200">
        <v>204239.18979340579</v>
      </c>
      <c r="E256" s="174">
        <f>IFERROR(DT_data[[#This Row],[Объем предложения]]/C244-1,"")</f>
        <v>7.0819112627986458E-2</v>
      </c>
      <c r="F256" s="174">
        <f>IFERROR(DT_data[[#This Row],[Средневзвешенная цена]]/D244-1,"")</f>
        <v>2.3727535519407539E-2</v>
      </c>
    </row>
    <row r="257" spans="1:6" ht="14.55" customHeight="1" x14ac:dyDescent="0.3">
      <c r="A257" s="180">
        <v>44501</v>
      </c>
      <c r="B257" s="181" t="s">
        <v>10</v>
      </c>
      <c r="C257" s="182">
        <v>3838</v>
      </c>
      <c r="D257" s="200">
        <v>293787</v>
      </c>
      <c r="E257" s="174">
        <f>IFERROR(DT_data[[#This Row],[Объем предложения]]/C245-1,"")</f>
        <v>-2.8108381868827581E-2</v>
      </c>
      <c r="F257" s="174">
        <f>IFERROR(DT_data[[#This Row],[Средневзвешенная цена]]/D245-1,"")</f>
        <v>1.1415186477189865E-2</v>
      </c>
    </row>
    <row r="258" spans="1:6" ht="14.55" customHeight="1" x14ac:dyDescent="0.3">
      <c r="A258" s="180">
        <v>44501</v>
      </c>
      <c r="B258" s="181" t="s">
        <v>11</v>
      </c>
      <c r="C258" s="182">
        <v>3956</v>
      </c>
      <c r="D258" s="200">
        <v>275176.24553046102</v>
      </c>
      <c r="E258" s="174">
        <f>IFERROR(DT_data[[#This Row],[Объем предложения]]/C246-1,"")</f>
        <v>-4.9723756906077332E-2</v>
      </c>
      <c r="F258" s="174">
        <f>IFERROR(DT_data[[#This Row],[Средневзвешенная цена]]/D246-1,"")</f>
        <v>1.3685318916100364E-2</v>
      </c>
    </row>
    <row r="259" spans="1:6" ht="14.55" customHeight="1" x14ac:dyDescent="0.3">
      <c r="A259" s="180">
        <v>44501</v>
      </c>
      <c r="B259" s="181" t="s">
        <v>12</v>
      </c>
      <c r="C259" s="182">
        <v>2434</v>
      </c>
      <c r="D259" s="200">
        <v>289711.73171745968</v>
      </c>
      <c r="E259" s="174">
        <f>IFERROR(DT_data[[#This Row],[Объем предложения]]/C247-1,"")</f>
        <v>-4.1732283464566922E-2</v>
      </c>
      <c r="F259" s="174">
        <f>IFERROR(DT_data[[#This Row],[Средневзвешенная цена]]/D247-1,"")</f>
        <v>1.5716581387737572E-2</v>
      </c>
    </row>
    <row r="260" spans="1:6" ht="14.55" customHeight="1" x14ac:dyDescent="0.3">
      <c r="A260" s="180">
        <v>44501</v>
      </c>
      <c r="B260" s="181" t="s">
        <v>13</v>
      </c>
      <c r="C260" s="182">
        <v>476</v>
      </c>
      <c r="D260" s="200">
        <v>159785.937546264</v>
      </c>
      <c r="E260" s="174">
        <f>IFERROR(DT_data[[#This Row],[Объем предложения]]/C248-1,"")</f>
        <v>-0.10188679245283017</v>
      </c>
      <c r="F260" s="174">
        <f>IFERROR(DT_data[[#This Row],[Средневзвешенная цена]]/D248-1,"")</f>
        <v>1.5219060887274427E-2</v>
      </c>
    </row>
    <row r="261" spans="1:6" ht="14.55" customHeight="1" x14ac:dyDescent="0.3">
      <c r="A261" s="180">
        <v>44501</v>
      </c>
      <c r="B261" s="181" t="s">
        <v>14</v>
      </c>
      <c r="C261" s="182">
        <v>5276</v>
      </c>
      <c r="D261" s="200">
        <v>555672.40852921503</v>
      </c>
      <c r="E261" s="174">
        <f>IFERROR(DT_data[[#This Row],[Объем предложения]]/C249-1,"")</f>
        <v>-7.794477455435167E-2</v>
      </c>
      <c r="F261" s="174">
        <f>IFERROR(DT_data[[#This Row],[Средневзвешенная цена]]/D249-1,"")</f>
        <v>2.3873992834813729E-2</v>
      </c>
    </row>
    <row r="262" spans="1:6" ht="14.55" customHeight="1" x14ac:dyDescent="0.3">
      <c r="A262" s="180">
        <v>44501</v>
      </c>
      <c r="B262" s="181" t="s">
        <v>15</v>
      </c>
      <c r="C262" s="182">
        <v>3936</v>
      </c>
      <c r="D262" s="200">
        <v>248434.6984776</v>
      </c>
      <c r="E262" s="174">
        <f>IFERROR(DT_data[[#This Row],[Объем предложения]]/C250-1,"")</f>
        <v>-2.8148148148148144E-2</v>
      </c>
      <c r="F262" s="174">
        <f>IFERROR(DT_data[[#This Row],[Средневзвешенная цена]]/D250-1,"")</f>
        <v>1.6958504893777926E-2</v>
      </c>
    </row>
    <row r="263" spans="1:6" ht="14.55" customHeight="1" x14ac:dyDescent="0.3">
      <c r="A263" s="180">
        <v>44501</v>
      </c>
      <c r="B263" s="181" t="s">
        <v>16</v>
      </c>
      <c r="C263" s="182">
        <v>4211</v>
      </c>
      <c r="D263" s="200">
        <v>291686.34427841782</v>
      </c>
      <c r="E263" s="174">
        <f>IFERROR(DT_data[[#This Row],[Объем предложения]]/C251-1,"")</f>
        <v>-3.1508739650414008E-2</v>
      </c>
      <c r="F263" s="174">
        <f>IFERROR(DT_data[[#This Row],[Средневзвешенная цена]]/D251-1,"")</f>
        <v>1.4863933431521703E-2</v>
      </c>
    </row>
    <row r="264" spans="1:6" ht="14.55" customHeight="1" x14ac:dyDescent="0.3">
      <c r="A264" s="180">
        <v>44501</v>
      </c>
      <c r="B264" s="181" t="s">
        <v>17</v>
      </c>
      <c r="C264" s="182">
        <v>3965</v>
      </c>
      <c r="D264" s="200">
        <v>265469.06839972612</v>
      </c>
      <c r="E264" s="174">
        <f>IFERROR(DT_data[[#This Row],[Объем предложения]]/C252-1,"")</f>
        <v>-6.8811648661343372E-2</v>
      </c>
      <c r="F264" s="174">
        <f>IFERROR(DT_data[[#This Row],[Средневзвешенная цена]]/D252-1,"")</f>
        <v>1.7586782105606602E-2</v>
      </c>
    </row>
    <row r="265" spans="1:6" ht="14.55" customHeight="1" x14ac:dyDescent="0.3">
      <c r="A265" s="180">
        <v>44501</v>
      </c>
      <c r="B265" s="181" t="s">
        <v>175</v>
      </c>
      <c r="C265" s="182">
        <v>455</v>
      </c>
      <c r="D265" s="200">
        <v>0</v>
      </c>
      <c r="E265" s="174">
        <f>IFERROR(DT_data[[#This Row],[Объем предложения]]/C253-1,"")</f>
        <v>-2.5695931477516032E-2</v>
      </c>
      <c r="F265" s="174" t="str">
        <f>IFERROR(DT_data[[#This Row],[Средневзвешенная цена]]/D253-1,"")</f>
        <v/>
      </c>
    </row>
    <row r="266" spans="1:6" ht="14.55" customHeight="1" x14ac:dyDescent="0.3">
      <c r="A266" s="180">
        <v>44531</v>
      </c>
      <c r="B266" s="179" t="s">
        <v>7</v>
      </c>
      <c r="C266" s="182">
        <v>4143</v>
      </c>
      <c r="D266" s="200">
        <v>258976.40443368099</v>
      </c>
      <c r="E266" s="174">
        <f>IFERROR(DT_data[[#This Row],[Объем предложения]]/C254-1,"")</f>
        <v>-3.3589923023093049E-2</v>
      </c>
      <c r="F266" s="174">
        <f>IFERROR(DT_data[[#This Row],[Средневзвешенная цена]]/D254-1,"")</f>
        <v>1.0710623316685597E-2</v>
      </c>
    </row>
    <row r="267" spans="1:6" ht="14.55" customHeight="1" x14ac:dyDescent="0.3">
      <c r="A267" s="180">
        <v>44531</v>
      </c>
      <c r="B267" s="181" t="s">
        <v>8</v>
      </c>
      <c r="C267" s="182">
        <v>4438</v>
      </c>
      <c r="D267" s="200">
        <v>330302.86080593202</v>
      </c>
      <c r="E267" s="174">
        <f>IFERROR(DT_data[[#This Row],[Объем предложения]]/C255-1,"")</f>
        <v>-2.7820372398685622E-2</v>
      </c>
      <c r="F267" s="174">
        <f>IFERROR(DT_data[[#This Row],[Средневзвешенная цена]]/D255-1,"")</f>
        <v>1.2670879620848119E-2</v>
      </c>
    </row>
    <row r="268" spans="1:6" ht="14.55" customHeight="1" x14ac:dyDescent="0.3">
      <c r="A268" s="180">
        <v>44531</v>
      </c>
      <c r="B268" s="181" t="s">
        <v>9</v>
      </c>
      <c r="C268" s="182">
        <v>1214</v>
      </c>
      <c r="D268" s="200">
        <v>207782.7273838</v>
      </c>
      <c r="E268" s="174">
        <f>IFERROR(DT_data[[#This Row],[Объем предложения]]/C256-1,"")</f>
        <v>-3.266932270916334E-2</v>
      </c>
      <c r="F268" s="174">
        <f>IFERROR(DT_data[[#This Row],[Средневзвешенная цена]]/D256-1,"")</f>
        <v>1.7349939519338164E-2</v>
      </c>
    </row>
    <row r="269" spans="1:6" ht="14.55" customHeight="1" x14ac:dyDescent="0.3">
      <c r="A269" s="180">
        <v>44531</v>
      </c>
      <c r="B269" s="181" t="s">
        <v>10</v>
      </c>
      <c r="C269" s="182">
        <v>3729</v>
      </c>
      <c r="D269" s="200">
        <v>298124.974818199</v>
      </c>
      <c r="E269" s="174">
        <f>IFERROR(DT_data[[#This Row],[Объем предложения]]/C257-1,"")</f>
        <v>-2.8400208441896835E-2</v>
      </c>
      <c r="F269" s="174">
        <f>IFERROR(DT_data[[#This Row],[Средневзвешенная цена]]/D257-1,"")</f>
        <v>1.4765713997552554E-2</v>
      </c>
    </row>
    <row r="270" spans="1:6" ht="14.55" customHeight="1" x14ac:dyDescent="0.3">
      <c r="A270" s="180">
        <v>44531</v>
      </c>
      <c r="B270" s="181" t="s">
        <v>11</v>
      </c>
      <c r="C270" s="182">
        <v>3794</v>
      </c>
      <c r="D270" s="200">
        <v>279581.36686801759</v>
      </c>
      <c r="E270" s="174">
        <f>IFERROR(DT_data[[#This Row],[Объем предложения]]/C258-1,"")</f>
        <v>-4.0950455005055564E-2</v>
      </c>
      <c r="F270" s="174">
        <f>IFERROR(DT_data[[#This Row],[Средневзвешенная цена]]/D258-1,"")</f>
        <v>1.6008363400208392E-2</v>
      </c>
    </row>
    <row r="271" spans="1:6" ht="14.55" customHeight="1" x14ac:dyDescent="0.3">
      <c r="A271" s="180">
        <v>44531</v>
      </c>
      <c r="B271" s="181" t="s">
        <v>12</v>
      </c>
      <c r="C271" s="182">
        <v>2334</v>
      </c>
      <c r="D271" s="200">
        <v>292388.12739667401</v>
      </c>
      <c r="E271" s="174">
        <f>IFERROR(DT_data[[#This Row],[Объем предложения]]/C259-1,"")</f>
        <v>-4.1084634346754356E-2</v>
      </c>
      <c r="F271" s="174">
        <f>IFERROR(DT_data[[#This Row],[Средневзвешенная цена]]/D259-1,"")</f>
        <v>9.2381335866111858E-3</v>
      </c>
    </row>
    <row r="272" spans="1:6" ht="14.55" customHeight="1" x14ac:dyDescent="0.3">
      <c r="A272" s="180">
        <v>44531</v>
      </c>
      <c r="B272" s="181" t="s">
        <v>13</v>
      </c>
      <c r="C272" s="182">
        <v>465</v>
      </c>
      <c r="D272" s="200">
        <v>161645.5357903064</v>
      </c>
      <c r="E272" s="174">
        <f>IFERROR(DT_data[[#This Row],[Объем предложения]]/C260-1,"")</f>
        <v>-2.3109243697479021E-2</v>
      </c>
      <c r="F272" s="174">
        <f>IFERROR(DT_data[[#This Row],[Средневзвешенная цена]]/D260-1,"")</f>
        <v>1.1638059472561357E-2</v>
      </c>
    </row>
    <row r="273" spans="1:6" ht="14.55" customHeight="1" x14ac:dyDescent="0.3">
      <c r="A273" s="180">
        <v>44531</v>
      </c>
      <c r="B273" s="181" t="s">
        <v>14</v>
      </c>
      <c r="C273" s="182">
        <v>5051</v>
      </c>
      <c r="D273" s="200">
        <v>556712.36456874479</v>
      </c>
      <c r="E273" s="174">
        <f>IFERROR(DT_data[[#This Row],[Объем предложения]]/C261-1,"")</f>
        <v>-4.264594389689158E-2</v>
      </c>
      <c r="F273" s="174">
        <f>IFERROR(DT_data[[#This Row],[Средневзвешенная цена]]/D261-1,"")</f>
        <v>1.8715272228153612E-3</v>
      </c>
    </row>
    <row r="274" spans="1:6" ht="14.55" customHeight="1" x14ac:dyDescent="0.3">
      <c r="A274" s="180">
        <v>44531</v>
      </c>
      <c r="B274" s="181" t="s">
        <v>15</v>
      </c>
      <c r="C274" s="182">
        <v>3787</v>
      </c>
      <c r="D274" s="200">
        <v>250776.498061486</v>
      </c>
      <c r="E274" s="174">
        <f>IFERROR(DT_data[[#This Row],[Объем предложения]]/C262-1,"")</f>
        <v>-3.7855691056910556E-2</v>
      </c>
      <c r="F274" s="174">
        <f>IFERROR(DT_data[[#This Row],[Средневзвешенная цена]]/D262-1,"")</f>
        <v>9.4262178280106745E-3</v>
      </c>
    </row>
    <row r="275" spans="1:6" ht="14.55" customHeight="1" x14ac:dyDescent="0.3">
      <c r="A275" s="180">
        <v>44531</v>
      </c>
      <c r="B275" s="181" t="s">
        <v>16</v>
      </c>
      <c r="C275" s="182">
        <v>4120</v>
      </c>
      <c r="D275" s="200">
        <v>295671.37932612142</v>
      </c>
      <c r="E275" s="174">
        <f>IFERROR(DT_data[[#This Row],[Объем предложения]]/C263-1,"")</f>
        <v>-2.1610068867252474E-2</v>
      </c>
      <c r="F275" s="174">
        <f>IFERROR(DT_data[[#This Row],[Средневзвешенная цена]]/D263-1,"")</f>
        <v>1.3662055580839327E-2</v>
      </c>
    </row>
    <row r="276" spans="1:6" ht="14.55" customHeight="1" x14ac:dyDescent="0.3">
      <c r="A276" s="180">
        <v>44531</v>
      </c>
      <c r="B276" s="181" t="s">
        <v>17</v>
      </c>
      <c r="C276" s="182">
        <v>3864</v>
      </c>
      <c r="D276" s="200">
        <v>271211.70766656921</v>
      </c>
      <c r="E276" s="174">
        <f>IFERROR(DT_data[[#This Row],[Объем предложения]]/C264-1,"")</f>
        <v>-2.5472887767969743E-2</v>
      </c>
      <c r="F276" s="174">
        <f>IFERROR(DT_data[[#This Row],[Средневзвешенная цена]]/D264-1,"")</f>
        <v>2.1632046631497648E-2</v>
      </c>
    </row>
    <row r="277" spans="1:6" ht="14.55" customHeight="1" x14ac:dyDescent="0.3">
      <c r="A277" s="180">
        <v>44531</v>
      </c>
      <c r="B277" s="181" t="s">
        <v>175</v>
      </c>
      <c r="C277" s="182">
        <v>0</v>
      </c>
      <c r="D277" s="200">
        <v>217795.9708053146</v>
      </c>
      <c r="E277" s="174">
        <f>IFERROR(DT_data[[#This Row],[Объем предложения]]/C265-1,"")</f>
        <v>-1</v>
      </c>
      <c r="F277" s="174" t="str">
        <f>IFERROR(DT_data[[#This Row],[Средневзвешенная цена]]/D265-1,"")</f>
        <v/>
      </c>
    </row>
    <row r="278" spans="1:6" x14ac:dyDescent="0.3">
      <c r="A278" s="168">
        <v>44562</v>
      </c>
      <c r="B278" s="169" t="s">
        <v>7</v>
      </c>
      <c r="C278" s="171">
        <v>3736</v>
      </c>
      <c r="D278" s="201">
        <v>267946.63172765332</v>
      </c>
      <c r="E278" s="174">
        <f>IFERROR(DT_data[[#This Row],[Объем предложения]]/C266-1,"")</f>
        <v>-9.8237991793386437E-2</v>
      </c>
      <c r="F278" s="174">
        <f>IFERROR(DT_data[[#This Row],[Средневзвешенная цена]]/D266-1,"")</f>
        <v>3.4637237757578987E-2</v>
      </c>
    </row>
    <row r="279" spans="1:6" x14ac:dyDescent="0.3">
      <c r="A279" s="164">
        <v>44562</v>
      </c>
      <c r="B279" s="166" t="s">
        <v>8</v>
      </c>
      <c r="C279">
        <v>4084</v>
      </c>
      <c r="D279" s="65">
        <v>340527.33672739542</v>
      </c>
      <c r="E279" s="174">
        <f>IFERROR(DT_data[[#This Row],[Объем предложения]]/C267-1,"")</f>
        <v>-7.9765660207300582E-2</v>
      </c>
      <c r="F279" s="174">
        <f>IFERROR(DT_data[[#This Row],[Средневзвешенная цена]]/D267-1,"")</f>
        <v>3.095485124323738E-2</v>
      </c>
    </row>
    <row r="280" spans="1:6" x14ac:dyDescent="0.3">
      <c r="A280" s="164">
        <v>44562</v>
      </c>
      <c r="B280" t="s">
        <v>9</v>
      </c>
      <c r="C280">
        <v>1018</v>
      </c>
      <c r="D280" s="65">
        <v>209952.13364457179</v>
      </c>
      <c r="E280" s="174">
        <f>IFERROR(DT_data[[#This Row],[Объем предложения]]/C268-1,"")</f>
        <v>-0.16144975288303132</v>
      </c>
      <c r="F280" s="174">
        <f>IFERROR(DT_data[[#This Row],[Средневзвешенная цена]]/D268-1,"")</f>
        <v>1.0440743983327616E-2</v>
      </c>
    </row>
    <row r="281" spans="1:6" x14ac:dyDescent="0.3">
      <c r="A281" s="164">
        <v>44562</v>
      </c>
      <c r="B281" s="166" t="s">
        <v>10</v>
      </c>
      <c r="C281">
        <v>3454</v>
      </c>
      <c r="D281" s="65">
        <v>301307.60404216993</v>
      </c>
      <c r="E281" s="174">
        <f>IFERROR(DT_data[[#This Row],[Объем предложения]]/C269-1,"")</f>
        <v>-7.3746312684365822E-2</v>
      </c>
      <c r="F281" s="174">
        <f>IFERROR(DT_data[[#This Row],[Средневзвешенная цена]]/D269-1,"")</f>
        <v>1.0675486768298326E-2</v>
      </c>
    </row>
    <row r="282" spans="1:6" x14ac:dyDescent="0.3">
      <c r="A282" s="164">
        <v>44562</v>
      </c>
      <c r="B282" t="s">
        <v>11</v>
      </c>
      <c r="C282">
        <v>3524</v>
      </c>
      <c r="D282" s="65">
        <v>283948.77177602582</v>
      </c>
      <c r="E282" s="174">
        <f>IFERROR(DT_data[[#This Row],[Объем предложения]]/C270-1,"")</f>
        <v>-7.1164997364259408E-2</v>
      </c>
      <c r="F282" s="174">
        <f>IFERROR(DT_data[[#This Row],[Средневзвешенная цена]]/D270-1,"")</f>
        <v>1.5621230259132313E-2</v>
      </c>
    </row>
    <row r="283" spans="1:6" x14ac:dyDescent="0.3">
      <c r="A283" s="164">
        <v>44562</v>
      </c>
      <c r="B283" s="166" t="s">
        <v>12</v>
      </c>
      <c r="C283">
        <v>2076</v>
      </c>
      <c r="D283" s="65">
        <v>301531.94290582743</v>
      </c>
      <c r="E283" s="174">
        <f>IFERROR(DT_data[[#This Row],[Объем предложения]]/C271-1,"")</f>
        <v>-0.11053984575835474</v>
      </c>
      <c r="F283" s="174">
        <f>IFERROR(DT_data[[#This Row],[Средневзвешенная цена]]/D271-1,"")</f>
        <v>3.1272868671402332E-2</v>
      </c>
    </row>
    <row r="284" spans="1:6" x14ac:dyDescent="0.3">
      <c r="A284" s="164">
        <v>44562</v>
      </c>
      <c r="B284" t="s">
        <v>13</v>
      </c>
      <c r="C284">
        <v>435</v>
      </c>
      <c r="D284" s="65">
        <v>170210.68660550661</v>
      </c>
      <c r="E284" s="174">
        <f>IFERROR(DT_data[[#This Row],[Объем предложения]]/C272-1,"")</f>
        <v>-6.4516129032258118E-2</v>
      </c>
      <c r="F284" s="174">
        <f>IFERROR(DT_data[[#This Row],[Средневзвешенная цена]]/D272-1,"")</f>
        <v>5.2987240094964916E-2</v>
      </c>
    </row>
    <row r="285" spans="1:6" x14ac:dyDescent="0.3">
      <c r="A285" s="164">
        <v>44562</v>
      </c>
      <c r="B285" s="166" t="s">
        <v>14</v>
      </c>
      <c r="C285">
        <v>4645</v>
      </c>
      <c r="D285" s="65">
        <v>566412.42145575269</v>
      </c>
      <c r="E285" s="174">
        <f>IFERROR(DT_data[[#This Row],[Объем предложения]]/C273-1,"")</f>
        <v>-8.0380122747970684E-2</v>
      </c>
      <c r="F285" s="174">
        <f>IFERROR(DT_data[[#This Row],[Средневзвешенная цена]]/D273-1,"")</f>
        <v>1.7423821535780037E-2</v>
      </c>
    </row>
    <row r="286" spans="1:6" x14ac:dyDescent="0.3">
      <c r="A286" s="164">
        <v>44562</v>
      </c>
      <c r="B286" t="s">
        <v>15</v>
      </c>
      <c r="C286">
        <v>3421</v>
      </c>
      <c r="D286" s="65">
        <v>257687.7018565388</v>
      </c>
      <c r="E286" s="174">
        <f>IFERROR(DT_data[[#This Row],[Объем предложения]]/C274-1,"")</f>
        <v>-9.6646421969897034E-2</v>
      </c>
      <c r="F286" s="174">
        <f>IFERROR(DT_data[[#This Row],[Средневзвешенная цена]]/D274-1,"")</f>
        <v>2.7559216467558656E-2</v>
      </c>
    </row>
    <row r="287" spans="1:6" x14ac:dyDescent="0.3">
      <c r="A287" s="164">
        <v>44562</v>
      </c>
      <c r="B287" s="167" t="s">
        <v>16</v>
      </c>
      <c r="C287">
        <v>3707</v>
      </c>
      <c r="D287" s="65">
        <v>301752.70797902631</v>
      </c>
      <c r="E287" s="174">
        <f>IFERROR(DT_data[[#This Row],[Объем предложения]]/C275-1,"")</f>
        <v>-0.10024271844660193</v>
      </c>
      <c r="F287" s="174">
        <f>IFERROR(DT_data[[#This Row],[Средневзвешенная цена]]/D275-1,"")</f>
        <v>2.0567863777566586E-2</v>
      </c>
    </row>
    <row r="288" spans="1:6" x14ac:dyDescent="0.3">
      <c r="A288" s="164">
        <v>44562</v>
      </c>
      <c r="B288" t="s">
        <v>17</v>
      </c>
      <c r="C288">
        <v>3497</v>
      </c>
      <c r="D288" s="65">
        <v>276059.69586917787</v>
      </c>
      <c r="E288" s="174">
        <f>IFERROR(DT_data[[#This Row],[Объем предложения]]/C276-1,"")</f>
        <v>-9.497929606625255E-2</v>
      </c>
      <c r="F288" s="174">
        <f>IFERROR(DT_data[[#This Row],[Средневзвешенная цена]]/D276-1,"")</f>
        <v>1.7875291020138517E-2</v>
      </c>
    </row>
    <row r="289" spans="1:6" x14ac:dyDescent="0.3">
      <c r="A289" s="164">
        <v>44562</v>
      </c>
      <c r="B289" s="167" t="s">
        <v>175</v>
      </c>
      <c r="C289">
        <v>458</v>
      </c>
      <c r="D289" s="65">
        <v>221735.64023842389</v>
      </c>
      <c r="E289" s="174" t="str">
        <f>IFERROR(DT_data[[#This Row],[Объем предложения]]/C277-1,"")</f>
        <v/>
      </c>
      <c r="F289" s="174">
        <f>IFERROR(DT_data[[#This Row],[Средневзвешенная цена]]/D277-1,"")</f>
        <v>1.8088807697140163E-2</v>
      </c>
    </row>
    <row r="290" spans="1:6" x14ac:dyDescent="0.3">
      <c r="A290" s="168">
        <v>44593</v>
      </c>
      <c r="B290" s="170" t="s">
        <v>7</v>
      </c>
      <c r="C290" s="171">
        <v>4066</v>
      </c>
      <c r="D290" s="202">
        <v>270974.11240620178</v>
      </c>
      <c r="E290" s="174">
        <f>IFERROR(DT_data[[#This Row],[Объем предложения]]/C278-1,"")</f>
        <v>8.8329764453961346E-2</v>
      </c>
      <c r="F290" s="174">
        <f>IFERROR(DT_data[[#This Row],[Средневзвешенная цена]]/D278-1,"")</f>
        <v>1.1298819690428674E-2</v>
      </c>
    </row>
    <row r="291" spans="1:6" x14ac:dyDescent="0.3">
      <c r="A291" s="164">
        <v>44593</v>
      </c>
      <c r="B291" t="s">
        <v>8</v>
      </c>
      <c r="C291">
        <v>4474</v>
      </c>
      <c r="D291" s="34">
        <v>346948.1862733243</v>
      </c>
      <c r="E291" s="174">
        <f>IFERROR(DT_data[[#This Row],[Объем предложения]]/C279-1,"")</f>
        <v>9.5494613124387895E-2</v>
      </c>
      <c r="F291" s="174">
        <f>IFERROR(DT_data[[#This Row],[Средневзвешенная цена]]/D279-1,"")</f>
        <v>1.8855606741108755E-2</v>
      </c>
    </row>
    <row r="292" spans="1:6" x14ac:dyDescent="0.3">
      <c r="A292" s="164">
        <v>44593</v>
      </c>
      <c r="B292" t="s">
        <v>9</v>
      </c>
      <c r="C292">
        <v>1187</v>
      </c>
      <c r="D292" s="34">
        <v>212581.93896508319</v>
      </c>
      <c r="E292" s="174">
        <f>IFERROR(DT_data[[#This Row],[Объем предложения]]/C280-1,"")</f>
        <v>0.16601178781925352</v>
      </c>
      <c r="F292" s="174">
        <f>IFERROR(DT_data[[#This Row],[Средневзвешенная цена]]/D280-1,"")</f>
        <v>1.2525737532933956E-2</v>
      </c>
    </row>
    <row r="293" spans="1:6" x14ac:dyDescent="0.3">
      <c r="A293" s="164">
        <v>44593</v>
      </c>
      <c r="B293" t="s">
        <v>10</v>
      </c>
      <c r="C293">
        <v>3790</v>
      </c>
      <c r="D293" s="34">
        <v>306540.32746884797</v>
      </c>
      <c r="E293" s="174">
        <f>IFERROR(DT_data[[#This Row],[Объем предложения]]/C281-1,"")</f>
        <v>9.7278517660683184E-2</v>
      </c>
      <c r="F293" s="174">
        <f>IFERROR(DT_data[[#This Row],[Средневзвешенная цена]]/D281-1,"")</f>
        <v>1.7366715464458338E-2</v>
      </c>
    </row>
    <row r="294" spans="1:6" x14ac:dyDescent="0.3">
      <c r="A294" s="164">
        <v>44593</v>
      </c>
      <c r="B294" t="s">
        <v>11</v>
      </c>
      <c r="C294">
        <v>3808</v>
      </c>
      <c r="D294" s="34">
        <v>287890.35994628642</v>
      </c>
      <c r="E294" s="174">
        <f>IFERROR(DT_data[[#This Row],[Объем предложения]]/C282-1,"")</f>
        <v>8.0590238365493727E-2</v>
      </c>
      <c r="F294" s="174">
        <f>IFERROR(DT_data[[#This Row],[Средневзвешенная цена]]/D282-1,"")</f>
        <v>1.3881335515582682E-2</v>
      </c>
    </row>
    <row r="295" spans="1:6" x14ac:dyDescent="0.3">
      <c r="A295" s="164">
        <v>44593</v>
      </c>
      <c r="B295" t="s">
        <v>12</v>
      </c>
      <c r="C295">
        <v>2350</v>
      </c>
      <c r="D295" s="34">
        <v>306505.3299040483</v>
      </c>
      <c r="E295" s="174">
        <f>IFERROR(DT_data[[#This Row],[Объем предложения]]/C283-1,"")</f>
        <v>0.13198458574181116</v>
      </c>
      <c r="F295" s="174">
        <f>IFERROR(DT_data[[#This Row],[Средневзвешенная цена]]/D283-1,"")</f>
        <v>1.6493731809283485E-2</v>
      </c>
    </row>
    <row r="296" spans="1:6" x14ac:dyDescent="0.3">
      <c r="A296" s="164">
        <v>44593</v>
      </c>
      <c r="B296" t="s">
        <v>13</v>
      </c>
      <c r="C296">
        <v>462</v>
      </c>
      <c r="D296" s="34">
        <v>174859.56953524469</v>
      </c>
      <c r="E296" s="174">
        <f>IFERROR(DT_data[[#This Row],[Объем предложения]]/C284-1,"")</f>
        <v>6.2068965517241281E-2</v>
      </c>
      <c r="F296" s="174">
        <f>IFERROR(DT_data[[#This Row],[Средневзвешенная цена]]/D284-1,"")</f>
        <v>2.7312520867227796E-2</v>
      </c>
    </row>
    <row r="297" spans="1:6" x14ac:dyDescent="0.3">
      <c r="A297" s="164">
        <v>44593</v>
      </c>
      <c r="B297" t="s">
        <v>14</v>
      </c>
      <c r="C297">
        <v>4969</v>
      </c>
      <c r="D297" s="34">
        <v>581480.31554015295</v>
      </c>
      <c r="E297" s="174">
        <f>IFERROR(DT_data[[#This Row],[Объем предложения]]/C285-1,"")</f>
        <v>6.9752421959095701E-2</v>
      </c>
      <c r="F297" s="174">
        <f>IFERROR(DT_data[[#This Row],[Средневзвешенная цена]]/D285-1,"")</f>
        <v>2.6602336943236216E-2</v>
      </c>
    </row>
    <row r="298" spans="1:6" x14ac:dyDescent="0.3">
      <c r="A298" s="164">
        <v>44593</v>
      </c>
      <c r="B298" t="s">
        <v>15</v>
      </c>
      <c r="C298">
        <v>3763</v>
      </c>
      <c r="D298" s="34">
        <v>262051.61598266201</v>
      </c>
      <c r="E298" s="174">
        <f>IFERROR(DT_data[[#This Row],[Объем предложения]]/C286-1,"")</f>
        <v>9.9970768781058261E-2</v>
      </c>
      <c r="F298" s="174">
        <f>IFERROR(DT_data[[#This Row],[Средневзвешенная цена]]/D286-1,"")</f>
        <v>1.6934894815247015E-2</v>
      </c>
    </row>
    <row r="299" spans="1:6" x14ac:dyDescent="0.3">
      <c r="A299" s="164">
        <v>44593</v>
      </c>
      <c r="B299" t="s">
        <v>16</v>
      </c>
      <c r="C299">
        <v>3960</v>
      </c>
      <c r="D299" s="34">
        <v>307307.36865101598</v>
      </c>
      <c r="E299" s="174">
        <f>IFERROR(DT_data[[#This Row],[Объем предложения]]/C287-1,"")</f>
        <v>6.8249258160237414E-2</v>
      </c>
      <c r="F299" s="174">
        <f>IFERROR(DT_data[[#This Row],[Средневзвешенная цена]]/D287-1,"")</f>
        <v>1.8407989473207209E-2</v>
      </c>
    </row>
    <row r="300" spans="1:6" x14ac:dyDescent="0.3">
      <c r="A300" s="164">
        <v>44593</v>
      </c>
      <c r="B300" t="s">
        <v>17</v>
      </c>
      <c r="C300">
        <v>4004</v>
      </c>
      <c r="D300" s="34">
        <v>279253.82993361098</v>
      </c>
      <c r="E300" s="174">
        <f>IFERROR(DT_data[[#This Row],[Объем предложения]]/C288-1,"")</f>
        <v>0.14498141263940512</v>
      </c>
      <c r="F300" s="174">
        <f>IFERROR(DT_data[[#This Row],[Средневзвешенная цена]]/D288-1,"")</f>
        <v>1.1570446944007218E-2</v>
      </c>
    </row>
    <row r="301" spans="1:6" x14ac:dyDescent="0.3">
      <c r="A301" s="164">
        <v>44593</v>
      </c>
      <c r="B301" t="s">
        <v>175</v>
      </c>
      <c r="C301">
        <v>518</v>
      </c>
      <c r="D301" s="34">
        <v>223597.34755542799</v>
      </c>
      <c r="E301" s="174">
        <f>IFERROR(DT_data[[#This Row],[Объем предложения]]/C289-1,"")</f>
        <v>0.13100436681222716</v>
      </c>
      <c r="F301" s="174">
        <f>IFERROR(DT_data[[#This Row],[Средневзвешенная цена]]/D289-1,"")</f>
        <v>8.3960671139844401E-3</v>
      </c>
    </row>
    <row r="302" spans="1:6" x14ac:dyDescent="0.3">
      <c r="A302" s="168">
        <v>44621</v>
      </c>
      <c r="B302" s="170" t="s">
        <v>7</v>
      </c>
      <c r="C302" s="171">
        <v>3814</v>
      </c>
      <c r="D302" s="202">
        <v>278463.86159667029</v>
      </c>
      <c r="E302" s="174">
        <f>IFERROR(DT_data[[#This Row],[Объем предложения]]/C290-1,"")</f>
        <v>-6.1977373339891839E-2</v>
      </c>
      <c r="F302" s="174">
        <f>IFERROR(DT_data[[#This Row],[Средневзвешенная цена]]/D290-1,"")</f>
        <v>2.7640091239568454E-2</v>
      </c>
    </row>
    <row r="303" spans="1:6" x14ac:dyDescent="0.3">
      <c r="A303" s="164">
        <v>44621</v>
      </c>
      <c r="B303" t="s">
        <v>8</v>
      </c>
      <c r="C303">
        <v>4342</v>
      </c>
      <c r="D303" s="34">
        <v>363085.50828029233</v>
      </c>
      <c r="E303" s="174">
        <f>IFERROR(DT_data[[#This Row],[Объем предложения]]/C291-1,"")</f>
        <v>-2.9503799731783631E-2</v>
      </c>
      <c r="F303" s="174">
        <f>IFERROR(DT_data[[#This Row],[Средневзвешенная цена]]/D291-1,"")</f>
        <v>4.6512195899635289E-2</v>
      </c>
    </row>
    <row r="304" spans="1:6" x14ac:dyDescent="0.3">
      <c r="A304" s="164">
        <v>44621</v>
      </c>
      <c r="B304" t="s">
        <v>9</v>
      </c>
      <c r="C304">
        <v>1035</v>
      </c>
      <c r="D304" s="34">
        <v>221724.66943999371</v>
      </c>
      <c r="E304" s="174">
        <f>IFERROR(DT_data[[#This Row],[Объем предложения]]/C292-1,"")</f>
        <v>-0.12805391743892169</v>
      </c>
      <c r="F304" s="174">
        <f>IFERROR(DT_data[[#This Row],[Средневзвешенная цена]]/D292-1,"")</f>
        <v>4.3008030312547962E-2</v>
      </c>
    </row>
    <row r="305" spans="1:6" x14ac:dyDescent="0.3">
      <c r="A305" s="164">
        <v>44621</v>
      </c>
      <c r="B305" t="s">
        <v>10</v>
      </c>
      <c r="C305">
        <v>3672</v>
      </c>
      <c r="D305" s="34">
        <v>320968.52090053831</v>
      </c>
      <c r="E305" s="174">
        <f>IFERROR(DT_data[[#This Row],[Объем предложения]]/C293-1,"")</f>
        <v>-3.1134564643799489E-2</v>
      </c>
      <c r="F305" s="174">
        <f>IFERROR(DT_data[[#This Row],[Средневзвешенная цена]]/D293-1,"")</f>
        <v>4.7067847649365557E-2</v>
      </c>
    </row>
    <row r="306" spans="1:6" x14ac:dyDescent="0.3">
      <c r="A306" s="164">
        <v>44621</v>
      </c>
      <c r="B306" t="s">
        <v>11</v>
      </c>
      <c r="C306">
        <v>3632</v>
      </c>
      <c r="D306" s="34">
        <v>296364.80183482671</v>
      </c>
      <c r="E306" s="174">
        <f>IFERROR(DT_data[[#This Row],[Объем предложения]]/C294-1,"")</f>
        <v>-4.621848739495793E-2</v>
      </c>
      <c r="F306" s="174">
        <f>IFERROR(DT_data[[#This Row],[Средневзвешенная цена]]/D294-1,"")</f>
        <v>2.9436351707370134E-2</v>
      </c>
    </row>
    <row r="307" spans="1:6" x14ac:dyDescent="0.3">
      <c r="A307" s="164">
        <v>44621</v>
      </c>
      <c r="B307" t="s">
        <v>12</v>
      </c>
      <c r="C307">
        <v>2221</v>
      </c>
      <c r="D307" s="34">
        <v>317477.79596749821</v>
      </c>
      <c r="E307" s="174">
        <f>IFERROR(DT_data[[#This Row],[Объем предложения]]/C295-1,"")</f>
        <v>-5.4893617021276597E-2</v>
      </c>
      <c r="F307" s="174">
        <f>IFERROR(DT_data[[#This Row],[Средневзвешенная цена]]/D295-1,"")</f>
        <v>3.579861422600672E-2</v>
      </c>
    </row>
    <row r="308" spans="1:6" x14ac:dyDescent="0.3">
      <c r="A308" s="164">
        <v>44621</v>
      </c>
      <c r="B308" t="s">
        <v>13</v>
      </c>
      <c r="C308">
        <v>491</v>
      </c>
      <c r="D308" s="34">
        <v>179453.84332747641</v>
      </c>
      <c r="E308" s="174">
        <f>IFERROR(DT_data[[#This Row],[Объем предложения]]/C296-1,"")</f>
        <v>6.277056277056281E-2</v>
      </c>
      <c r="F308" s="174">
        <f>IFERROR(DT_data[[#This Row],[Средневзвешенная цена]]/D296-1,"")</f>
        <v>2.6274076988995976E-2</v>
      </c>
    </row>
    <row r="309" spans="1:6" x14ac:dyDescent="0.3">
      <c r="A309" s="164">
        <v>44621</v>
      </c>
      <c r="B309" t="s">
        <v>14</v>
      </c>
      <c r="C309">
        <v>4989</v>
      </c>
      <c r="D309" s="34">
        <v>614649.65555774572</v>
      </c>
      <c r="E309" s="174">
        <f>IFERROR(DT_data[[#This Row],[Объем предложения]]/C297-1,"")</f>
        <v>4.0249547192594548E-3</v>
      </c>
      <c r="F309" s="174">
        <f>IFERROR(DT_data[[#This Row],[Средневзвешенная цена]]/D297-1,"")</f>
        <v>5.7042928421026318E-2</v>
      </c>
    </row>
    <row r="310" spans="1:6" x14ac:dyDescent="0.3">
      <c r="A310" s="164">
        <v>44621</v>
      </c>
      <c r="B310" t="s">
        <v>15</v>
      </c>
      <c r="C310">
        <v>3548</v>
      </c>
      <c r="D310" s="34">
        <v>270818.45032309112</v>
      </c>
      <c r="E310" s="174">
        <f>IFERROR(DT_data[[#This Row],[Объем предложения]]/C298-1,"")</f>
        <v>-5.7135264416688814E-2</v>
      </c>
      <c r="F310" s="174">
        <f>IFERROR(DT_data[[#This Row],[Средневзвешенная цена]]/D298-1,"")</f>
        <v>3.3454608961499988E-2</v>
      </c>
    </row>
    <row r="311" spans="1:6" x14ac:dyDescent="0.3">
      <c r="A311" s="164">
        <v>44621</v>
      </c>
      <c r="B311" t="s">
        <v>16</v>
      </c>
      <c r="C311">
        <v>3645</v>
      </c>
      <c r="D311" s="34">
        <v>320210.02967514237</v>
      </c>
      <c r="E311" s="174">
        <f>IFERROR(DT_data[[#This Row],[Объем предложения]]/C299-1,"")</f>
        <v>-7.9545454545454586E-2</v>
      </c>
      <c r="F311" s="174">
        <f>IFERROR(DT_data[[#This Row],[Средневзвешенная цена]]/D299-1,"")</f>
        <v>4.1986175212020083E-2</v>
      </c>
    </row>
    <row r="312" spans="1:6" x14ac:dyDescent="0.3">
      <c r="A312" s="164">
        <v>44621</v>
      </c>
      <c r="B312" t="s">
        <v>17</v>
      </c>
      <c r="C312">
        <v>3818</v>
      </c>
      <c r="D312" s="34">
        <v>289946.48951570521</v>
      </c>
      <c r="E312" s="174">
        <f>IFERROR(DT_data[[#This Row],[Объем предложения]]/C300-1,"")</f>
        <v>-4.645354645354649E-2</v>
      </c>
      <c r="F312" s="174">
        <f>IFERROR(DT_data[[#This Row],[Средневзвешенная цена]]/D300-1,"")</f>
        <v>3.8290108983057625E-2</v>
      </c>
    </row>
    <row r="313" spans="1:6" x14ac:dyDescent="0.3">
      <c r="A313" s="164">
        <v>44621</v>
      </c>
      <c r="B313" t="s">
        <v>175</v>
      </c>
      <c r="C313">
        <v>542</v>
      </c>
      <c r="D313" s="34">
        <v>226435.23676572871</v>
      </c>
      <c r="E313" s="174">
        <f>IFERROR(DT_data[[#This Row],[Объем предложения]]/C301-1,"")</f>
        <v>4.6332046332046239E-2</v>
      </c>
      <c r="F313" s="174">
        <f>IFERROR(DT_data[[#This Row],[Средневзвешенная цена]]/D301-1,"")</f>
        <v>1.2691962768463627E-2</v>
      </c>
    </row>
    <row r="314" spans="1:6" x14ac:dyDescent="0.3">
      <c r="A314" s="168">
        <v>44652</v>
      </c>
      <c r="B314" s="170" t="s">
        <v>7</v>
      </c>
      <c r="C314" s="171">
        <v>3544</v>
      </c>
      <c r="D314" s="202">
        <v>280226.01933808258</v>
      </c>
      <c r="E314" s="174">
        <f>IFERROR(DT_data[[#This Row],[Объем предложения]]/C302-1,"")</f>
        <v>-7.0791819611955908E-2</v>
      </c>
      <c r="F314" s="174">
        <f>IFERROR(DT_data[[#This Row],[Средневзвешенная цена]]/D302-1,"")</f>
        <v>6.3281379900010926E-3</v>
      </c>
    </row>
    <row r="315" spans="1:6" x14ac:dyDescent="0.3">
      <c r="A315" s="164">
        <v>44652</v>
      </c>
      <c r="B315" t="s">
        <v>8</v>
      </c>
      <c r="C315">
        <v>3957</v>
      </c>
      <c r="D315" s="34">
        <v>367420.52702621918</v>
      </c>
      <c r="E315" s="174">
        <f>IFERROR(DT_data[[#This Row],[Объем предложения]]/C303-1,"")</f>
        <v>-8.8668816213726354E-2</v>
      </c>
      <c r="F315" s="174">
        <f>IFERROR(DT_data[[#This Row],[Средневзвешенная цена]]/D303-1,"")</f>
        <v>1.1939387959764902E-2</v>
      </c>
    </row>
    <row r="316" spans="1:6" x14ac:dyDescent="0.3">
      <c r="A316" s="164">
        <v>44652</v>
      </c>
      <c r="B316" t="s">
        <v>9</v>
      </c>
      <c r="C316">
        <v>893</v>
      </c>
      <c r="D316" s="34">
        <v>224159.74462695079</v>
      </c>
      <c r="E316" s="174">
        <f>IFERROR(DT_data[[#This Row],[Объем предложения]]/C304-1,"")</f>
        <v>-0.13719806763285025</v>
      </c>
      <c r="F316" s="174">
        <f>IFERROR(DT_data[[#This Row],[Средневзвешенная цена]]/D304-1,"")</f>
        <v>1.0982427860225519E-2</v>
      </c>
    </row>
    <row r="317" spans="1:6" x14ac:dyDescent="0.3">
      <c r="A317" s="164">
        <v>44652</v>
      </c>
      <c r="B317" t="s">
        <v>10</v>
      </c>
      <c r="C317">
        <v>3319</v>
      </c>
      <c r="D317" s="34">
        <v>327258.34607007517</v>
      </c>
      <c r="E317" s="174">
        <f>IFERROR(DT_data[[#This Row],[Объем предложения]]/C305-1,"")</f>
        <v>-9.6132897603485867E-2</v>
      </c>
      <c r="F317" s="174">
        <f>IFERROR(DT_data[[#This Row],[Средневзвешенная цена]]/D305-1,"")</f>
        <v>1.9596392667696971E-2</v>
      </c>
    </row>
    <row r="318" spans="1:6" x14ac:dyDescent="0.3">
      <c r="A318" s="164">
        <v>44652</v>
      </c>
      <c r="B318" t="s">
        <v>11</v>
      </c>
      <c r="C318">
        <v>3131</v>
      </c>
      <c r="D318" s="34">
        <v>297827.46372484748</v>
      </c>
      <c r="E318" s="174">
        <f>IFERROR(DT_data[[#This Row],[Объем предложения]]/C306-1,"")</f>
        <v>-0.13794052863436124</v>
      </c>
      <c r="F318" s="174">
        <f>IFERROR(DT_data[[#This Row],[Средневзвешенная цена]]/D306-1,"")</f>
        <v>4.9353427970031394E-3</v>
      </c>
    </row>
    <row r="319" spans="1:6" x14ac:dyDescent="0.3">
      <c r="A319" s="164">
        <v>44652</v>
      </c>
      <c r="B319" t="s">
        <v>12</v>
      </c>
      <c r="C319">
        <v>2045</v>
      </c>
      <c r="D319" s="34">
        <v>317865.33061718981</v>
      </c>
      <c r="E319" s="174">
        <f>IFERROR(DT_data[[#This Row],[Объем предложения]]/C307-1,"")</f>
        <v>-7.9243583971184139E-2</v>
      </c>
      <c r="F319" s="174">
        <f>IFERROR(DT_data[[#This Row],[Средневзвешенная цена]]/D307-1,"")</f>
        <v>1.2206669399055237E-3</v>
      </c>
    </row>
    <row r="320" spans="1:6" x14ac:dyDescent="0.3">
      <c r="A320" s="164">
        <v>44652</v>
      </c>
      <c r="B320" t="s">
        <v>13</v>
      </c>
      <c r="C320">
        <v>430</v>
      </c>
      <c r="D320" s="34">
        <v>179428.2809239756</v>
      </c>
      <c r="E320" s="174">
        <f>IFERROR(DT_data[[#This Row],[Объем предложения]]/C308-1,"")</f>
        <v>-0.12423625254582482</v>
      </c>
      <c r="F320" s="174">
        <f>IFERROR(DT_data[[#This Row],[Средневзвешенная цена]]/D308-1,"")</f>
        <v>-1.4244556163756084E-4</v>
      </c>
    </row>
    <row r="321" spans="1:6" x14ac:dyDescent="0.3">
      <c r="A321" s="164">
        <v>44652</v>
      </c>
      <c r="B321" t="s">
        <v>14</v>
      </c>
      <c r="C321">
        <v>4684</v>
      </c>
      <c r="D321" s="34">
        <v>611145.75765048899</v>
      </c>
      <c r="E321" s="174">
        <f>IFERROR(DT_data[[#This Row],[Объем предложения]]/C309-1,"")</f>
        <v>-6.1134495890960094E-2</v>
      </c>
      <c r="F321" s="174">
        <f>IFERROR(DT_data[[#This Row],[Средневзвешенная цена]]/D309-1,"")</f>
        <v>-5.7006424319513416E-3</v>
      </c>
    </row>
    <row r="322" spans="1:6" x14ac:dyDescent="0.3">
      <c r="A322" s="164">
        <v>44652</v>
      </c>
      <c r="B322" t="s">
        <v>15</v>
      </c>
      <c r="C322">
        <v>3190</v>
      </c>
      <c r="D322" s="34">
        <v>273327.71999100369</v>
      </c>
      <c r="E322" s="174">
        <f>IFERROR(DT_data[[#This Row],[Объем предложения]]/C310-1,"")</f>
        <v>-0.10090191657271708</v>
      </c>
      <c r="F322" s="174">
        <f>IFERROR(DT_data[[#This Row],[Средневзвешенная цена]]/D310-1,"")</f>
        <v>9.2655048609833202E-3</v>
      </c>
    </row>
    <row r="323" spans="1:6" x14ac:dyDescent="0.3">
      <c r="A323" s="164">
        <v>44652</v>
      </c>
      <c r="B323" t="s">
        <v>16</v>
      </c>
      <c r="C323">
        <v>3243</v>
      </c>
      <c r="D323" s="34">
        <v>324283.56090027408</v>
      </c>
      <c r="E323" s="174">
        <f>IFERROR(DT_data[[#This Row],[Объем предложения]]/C311-1,"")</f>
        <v>-0.11028806584362139</v>
      </c>
      <c r="F323" s="174">
        <f>IFERROR(DT_data[[#This Row],[Средневзвешенная цена]]/D311-1,"")</f>
        <v>1.2721435456797936E-2</v>
      </c>
    </row>
    <row r="324" spans="1:6" x14ac:dyDescent="0.3">
      <c r="A324" s="164">
        <v>44652</v>
      </c>
      <c r="B324" t="s">
        <v>17</v>
      </c>
      <c r="C324">
        <v>3297</v>
      </c>
      <c r="D324" s="34">
        <v>293908.62513073621</v>
      </c>
      <c r="E324" s="174">
        <f>IFERROR(DT_data[[#This Row],[Объем предложения]]/C312-1,"")</f>
        <v>-0.13645887899423781</v>
      </c>
      <c r="F324" s="174">
        <f>IFERROR(DT_data[[#This Row],[Средневзвешенная цена]]/D312-1,"")</f>
        <v>1.3665058065193136E-2</v>
      </c>
    </row>
    <row r="325" spans="1:6" x14ac:dyDescent="0.3">
      <c r="A325" s="164">
        <v>44652</v>
      </c>
      <c r="B325" t="s">
        <v>175</v>
      </c>
      <c r="C325">
        <v>494</v>
      </c>
      <c r="D325" s="34">
        <v>227738.3632656353</v>
      </c>
      <c r="E325" s="174">
        <f>IFERROR(DT_data[[#This Row],[Объем предложения]]/C313-1,"")</f>
        <v>-8.856088560885611E-2</v>
      </c>
      <c r="F325" s="174">
        <f>IFERROR(DT_data[[#This Row],[Средневзвешенная цена]]/D313-1,"")</f>
        <v>5.7549633993352334E-3</v>
      </c>
    </row>
    <row r="326" spans="1:6" x14ac:dyDescent="0.3">
      <c r="A326" s="168">
        <v>44682</v>
      </c>
      <c r="B326" s="170" t="s">
        <v>7</v>
      </c>
      <c r="C326" s="171">
        <v>3839</v>
      </c>
      <c r="D326" s="202">
        <v>275858.12621868192</v>
      </c>
      <c r="E326" s="174">
        <f>IFERROR(DT_data[[#This Row],[Объем предложения]]/C314-1,"")</f>
        <v>8.3239277652370269E-2</v>
      </c>
      <c r="F326" s="174">
        <f>IFERROR(DT_data[[#This Row],[Средневзвешенная цена]]/D314-1,"")</f>
        <v>-1.5587036242094787E-2</v>
      </c>
    </row>
    <row r="327" spans="1:6" x14ac:dyDescent="0.3">
      <c r="A327" s="164">
        <v>44682</v>
      </c>
      <c r="B327" t="s">
        <v>8</v>
      </c>
      <c r="C327">
        <v>4248</v>
      </c>
      <c r="D327" s="34">
        <v>359294.42630135908</v>
      </c>
      <c r="E327" s="174">
        <f>IFERROR(DT_data[[#This Row],[Объем предложения]]/C315-1,"")</f>
        <v>7.3540561031084195E-2</v>
      </c>
      <c r="F327" s="174">
        <f>IFERROR(DT_data[[#This Row],[Средневзвешенная цена]]/D315-1,"")</f>
        <v>-2.2116621492626165E-2</v>
      </c>
    </row>
    <row r="328" spans="1:6" x14ac:dyDescent="0.3">
      <c r="A328" s="164">
        <v>44682</v>
      </c>
      <c r="B328" t="s">
        <v>9</v>
      </c>
      <c r="C328">
        <v>963</v>
      </c>
      <c r="D328" s="34">
        <v>224950.51592621111</v>
      </c>
      <c r="E328" s="174">
        <f>IFERROR(DT_data[[#This Row],[Объем предложения]]/C316-1,"")</f>
        <v>7.838745800671898E-2</v>
      </c>
      <c r="F328" s="174">
        <f>IFERROR(DT_data[[#This Row],[Средневзвешенная цена]]/D316-1,"")</f>
        <v>3.527713241181285E-3</v>
      </c>
    </row>
    <row r="329" spans="1:6" x14ac:dyDescent="0.3">
      <c r="A329" s="164">
        <v>44682</v>
      </c>
      <c r="B329" t="s">
        <v>10</v>
      </c>
      <c r="C329">
        <v>3715</v>
      </c>
      <c r="D329" s="34">
        <v>321220.19261946628</v>
      </c>
      <c r="E329" s="174">
        <f>IFERROR(DT_data[[#This Row],[Объем предложения]]/C317-1,"")</f>
        <v>0.11931304609822235</v>
      </c>
      <c r="F329" s="174">
        <f>IFERROR(DT_data[[#This Row],[Средневзвешенная цена]]/D317-1,"")</f>
        <v>-1.8450724093422965E-2</v>
      </c>
    </row>
    <row r="330" spans="1:6" x14ac:dyDescent="0.3">
      <c r="A330" s="164">
        <v>44682</v>
      </c>
      <c r="B330" t="s">
        <v>11</v>
      </c>
      <c r="C330">
        <v>3500</v>
      </c>
      <c r="D330" s="34">
        <v>293393.42577519623</v>
      </c>
      <c r="E330" s="174">
        <f>IFERROR(DT_data[[#This Row],[Объем предложения]]/C318-1,"")</f>
        <v>0.11785372085595647</v>
      </c>
      <c r="F330" s="174">
        <f>IFERROR(DT_data[[#This Row],[Средневзвешенная цена]]/D318-1,"")</f>
        <v>-1.4887941810993288E-2</v>
      </c>
    </row>
    <row r="331" spans="1:6" x14ac:dyDescent="0.3">
      <c r="A331" s="164">
        <v>44682</v>
      </c>
      <c r="B331" t="s">
        <v>12</v>
      </c>
      <c r="C331">
        <v>2324</v>
      </c>
      <c r="D331" s="34">
        <v>314491.06933455681</v>
      </c>
      <c r="E331" s="174">
        <f>IFERROR(DT_data[[#This Row],[Объем предложения]]/C319-1,"")</f>
        <v>0.13643031784841075</v>
      </c>
      <c r="F331" s="174">
        <f>IFERROR(DT_data[[#This Row],[Средневзвешенная цена]]/D319-1,"")</f>
        <v>-1.06153800292762E-2</v>
      </c>
    </row>
    <row r="332" spans="1:6" x14ac:dyDescent="0.3">
      <c r="A332" s="164">
        <v>44682</v>
      </c>
      <c r="B332" t="s">
        <v>13</v>
      </c>
      <c r="C332">
        <v>505</v>
      </c>
      <c r="D332" s="34">
        <v>177505.728807262</v>
      </c>
      <c r="E332" s="174">
        <f>IFERROR(DT_data[[#This Row],[Объем предложения]]/C320-1,"")</f>
        <v>0.17441860465116288</v>
      </c>
      <c r="F332" s="174">
        <f>IFERROR(DT_data[[#This Row],[Средневзвешенная цена]]/D320-1,"")</f>
        <v>-1.0714877871054185E-2</v>
      </c>
    </row>
    <row r="333" spans="1:6" x14ac:dyDescent="0.3">
      <c r="A333" s="164">
        <v>44682</v>
      </c>
      <c r="B333" t="s">
        <v>14</v>
      </c>
      <c r="C333">
        <v>5078</v>
      </c>
      <c r="D333" s="34">
        <v>582476.15835085395</v>
      </c>
      <c r="E333" s="174">
        <f>IFERROR(DT_data[[#This Row],[Объем предложения]]/C321-1,"")</f>
        <v>8.4116140051238242E-2</v>
      </c>
      <c r="F333" s="174">
        <f>IFERROR(DT_data[[#This Row],[Средневзвешенная цена]]/D321-1,"")</f>
        <v>-4.6911230161939543E-2</v>
      </c>
    </row>
    <row r="334" spans="1:6" x14ac:dyDescent="0.3">
      <c r="A334" s="164">
        <v>44682</v>
      </c>
      <c r="B334" t="s">
        <v>15</v>
      </c>
      <c r="C334">
        <v>3566</v>
      </c>
      <c r="D334" s="34">
        <v>270054.66578569799</v>
      </c>
      <c r="E334" s="174">
        <f>IFERROR(DT_data[[#This Row],[Объем предложения]]/C322-1,"")</f>
        <v>0.11786833855799372</v>
      </c>
      <c r="F334" s="174">
        <f>IFERROR(DT_data[[#This Row],[Средневзвешенная цена]]/D322-1,"")</f>
        <v>-1.1974834478601148E-2</v>
      </c>
    </row>
    <row r="335" spans="1:6" x14ac:dyDescent="0.3">
      <c r="A335" s="164">
        <v>44682</v>
      </c>
      <c r="B335" t="s">
        <v>16</v>
      </c>
      <c r="C335">
        <v>3657</v>
      </c>
      <c r="D335" s="34">
        <v>318190.26654221967</v>
      </c>
      <c r="E335" s="174">
        <f>IFERROR(DT_data[[#This Row],[Объем предложения]]/C323-1,"")</f>
        <v>0.12765957446808507</v>
      </c>
      <c r="F335" s="174">
        <f>IFERROR(DT_data[[#This Row],[Средневзвешенная цена]]/D323-1,"")</f>
        <v>-1.8790019269364855E-2</v>
      </c>
    </row>
    <row r="336" spans="1:6" x14ac:dyDescent="0.3">
      <c r="A336" s="164">
        <v>44682</v>
      </c>
      <c r="B336" t="s">
        <v>17</v>
      </c>
      <c r="C336">
        <v>3710</v>
      </c>
      <c r="D336" s="34">
        <v>290264.32717697421</v>
      </c>
      <c r="E336" s="174">
        <f>IFERROR(DT_data[[#This Row],[Объем предложения]]/C324-1,"")</f>
        <v>0.12526539278131632</v>
      </c>
      <c r="F336" s="174">
        <f>IFERROR(DT_data[[#This Row],[Средневзвешенная цена]]/D324-1,"")</f>
        <v>-1.2399424998640107E-2</v>
      </c>
    </row>
    <row r="337" spans="1:6" x14ac:dyDescent="0.3">
      <c r="A337" s="164">
        <v>44682</v>
      </c>
      <c r="B337" t="s">
        <v>175</v>
      </c>
      <c r="C337">
        <v>501</v>
      </c>
      <c r="D337" s="34">
        <v>223917.70895399069</v>
      </c>
      <c r="E337" s="174">
        <f>IFERROR(DT_data[[#This Row],[Объем предложения]]/C325-1,"")</f>
        <v>1.4170040485830038E-2</v>
      </c>
      <c r="F337" s="174">
        <f>IFERROR(DT_data[[#This Row],[Средневзвешенная цена]]/D325-1,"")</f>
        <v>-1.6776507290465537E-2</v>
      </c>
    </row>
    <row r="338" spans="1:6" x14ac:dyDescent="0.3">
      <c r="A338" s="168">
        <v>44713</v>
      </c>
      <c r="B338" s="170" t="s">
        <v>7</v>
      </c>
      <c r="C338" s="171">
        <v>4363</v>
      </c>
      <c r="D338" s="202">
        <v>272522.22327429499</v>
      </c>
      <c r="E338" s="174">
        <f>IFERROR(DT_data[[#This Row],[Объем предложения]]/C326-1,"")</f>
        <v>0.13649387861422246</v>
      </c>
      <c r="F338" s="174">
        <f>IFERROR(DT_data[[#This Row],[Средневзвешенная цена]]/D326-1,"")</f>
        <v>-1.2092821009530241E-2</v>
      </c>
    </row>
    <row r="339" spans="1:6" x14ac:dyDescent="0.3">
      <c r="A339" s="164">
        <v>44713</v>
      </c>
      <c r="B339" t="s">
        <v>8</v>
      </c>
      <c r="C339">
        <v>4886</v>
      </c>
      <c r="D339" s="34">
        <v>348500.65509742312</v>
      </c>
      <c r="E339" s="174">
        <f>IFERROR(DT_data[[#This Row],[Объем предложения]]/C327-1,"")</f>
        <v>0.15018832391713755</v>
      </c>
      <c r="F339" s="174">
        <f>IFERROR(DT_data[[#This Row],[Средневзвешенная цена]]/D327-1,"")</f>
        <v>-3.0041577084980009E-2</v>
      </c>
    </row>
    <row r="340" spans="1:6" x14ac:dyDescent="0.3">
      <c r="A340" s="164">
        <v>44713</v>
      </c>
      <c r="B340" t="s">
        <v>9</v>
      </c>
      <c r="C340">
        <v>1088</v>
      </c>
      <c r="D340" s="34">
        <v>223068.0169433133</v>
      </c>
      <c r="E340" s="174">
        <f>IFERROR(DT_data[[#This Row],[Объем предложения]]/C328-1,"")</f>
        <v>0.12980269989615789</v>
      </c>
      <c r="F340" s="174">
        <f>IFERROR(DT_data[[#This Row],[Средневзвешенная цена]]/D328-1,"")</f>
        <v>-8.3685026244407767E-3</v>
      </c>
    </row>
    <row r="341" spans="1:6" x14ac:dyDescent="0.3">
      <c r="A341" s="164">
        <v>44713</v>
      </c>
      <c r="B341" t="s">
        <v>10</v>
      </c>
      <c r="C341">
        <v>4146</v>
      </c>
      <c r="D341" s="34">
        <v>314573.90563794709</v>
      </c>
      <c r="E341" s="174">
        <f>IFERROR(DT_data[[#This Row],[Объем предложения]]/C329-1,"")</f>
        <v>0.11601615074024219</v>
      </c>
      <c r="F341" s="174">
        <f>IFERROR(DT_data[[#This Row],[Средневзвешенная цена]]/D329-1,"")</f>
        <v>-2.0690750875032027E-2</v>
      </c>
    </row>
    <row r="342" spans="1:6" x14ac:dyDescent="0.3">
      <c r="A342" s="164">
        <v>44713</v>
      </c>
      <c r="B342" t="s">
        <v>11</v>
      </c>
      <c r="C342">
        <v>4008</v>
      </c>
      <c r="D342" s="34">
        <v>294060.66383427603</v>
      </c>
      <c r="E342" s="174">
        <f>IFERROR(DT_data[[#This Row],[Объем предложения]]/C330-1,"")</f>
        <v>0.14514285714285724</v>
      </c>
      <c r="F342" s="174">
        <f>IFERROR(DT_data[[#This Row],[Средневзвешенная цена]]/D330-1,"")</f>
        <v>2.2742093055316825E-3</v>
      </c>
    </row>
    <row r="343" spans="1:6" x14ac:dyDescent="0.3">
      <c r="A343" s="164">
        <v>44713</v>
      </c>
      <c r="B343" t="s">
        <v>12</v>
      </c>
      <c r="C343">
        <v>2578</v>
      </c>
      <c r="D343" s="34">
        <v>306747.44519740611</v>
      </c>
      <c r="E343" s="174">
        <f>IFERROR(DT_data[[#This Row],[Объем предложения]]/C331-1,"")</f>
        <v>0.10929432013769369</v>
      </c>
      <c r="F343" s="174">
        <f>IFERROR(DT_data[[#This Row],[Средневзвешенная цена]]/D331-1,"")</f>
        <v>-2.4622715530637218E-2</v>
      </c>
    </row>
    <row r="344" spans="1:6" x14ac:dyDescent="0.3">
      <c r="A344" s="164">
        <v>44713</v>
      </c>
      <c r="B344" t="s">
        <v>13</v>
      </c>
      <c r="C344">
        <v>558</v>
      </c>
      <c r="D344" s="34">
        <v>172695.16443705879</v>
      </c>
      <c r="E344" s="174">
        <f>IFERROR(DT_data[[#This Row],[Объем предложения]]/C332-1,"")</f>
        <v>0.10495049504950504</v>
      </c>
      <c r="F344" s="174">
        <f>IFERROR(DT_data[[#This Row],[Средневзвешенная цена]]/D332-1,"")</f>
        <v>-2.7100896419104181E-2</v>
      </c>
    </row>
    <row r="345" spans="1:6" x14ac:dyDescent="0.3">
      <c r="A345" s="164">
        <v>44713</v>
      </c>
      <c r="B345" t="s">
        <v>14</v>
      </c>
      <c r="C345">
        <v>5504</v>
      </c>
      <c r="D345" s="34">
        <v>561015.95666451391</v>
      </c>
      <c r="E345" s="174">
        <f>IFERROR(DT_data[[#This Row],[Объем предложения]]/C333-1,"")</f>
        <v>8.3891295785742503E-2</v>
      </c>
      <c r="F345" s="174">
        <f>IFERROR(DT_data[[#This Row],[Средневзвешенная цена]]/D333-1,"")</f>
        <v>-3.68430559408639E-2</v>
      </c>
    </row>
    <row r="346" spans="1:6" x14ac:dyDescent="0.3">
      <c r="A346" s="164">
        <v>44713</v>
      </c>
      <c r="B346" t="s">
        <v>15</v>
      </c>
      <c r="C346">
        <v>4048</v>
      </c>
      <c r="D346" s="34">
        <v>265723.44464542938</v>
      </c>
      <c r="E346" s="174">
        <f>IFERROR(DT_data[[#This Row],[Объем предложения]]/C334-1,"")</f>
        <v>0.13516545148625903</v>
      </c>
      <c r="F346" s="174">
        <f>IFERROR(DT_data[[#This Row],[Средневзвешенная цена]]/D334-1,"")</f>
        <v>-1.6038312567817847E-2</v>
      </c>
    </row>
    <row r="347" spans="1:6" x14ac:dyDescent="0.3">
      <c r="A347" s="164">
        <v>44713</v>
      </c>
      <c r="B347" t="s">
        <v>16</v>
      </c>
      <c r="C347">
        <v>4314</v>
      </c>
      <c r="D347" s="34">
        <v>312344.65072477132</v>
      </c>
      <c r="E347" s="174">
        <f>IFERROR(DT_data[[#This Row],[Объем предложения]]/C335-1,"")</f>
        <v>0.1796554552912224</v>
      </c>
      <c r="F347" s="174">
        <f>IFERROR(DT_data[[#This Row],[Средневзвешенная цена]]/D335-1,"")</f>
        <v>-1.837144762777565E-2</v>
      </c>
    </row>
    <row r="348" spans="1:6" x14ac:dyDescent="0.3">
      <c r="A348" s="164">
        <v>44713</v>
      </c>
      <c r="B348" t="s">
        <v>17</v>
      </c>
      <c r="C348">
        <v>4269</v>
      </c>
      <c r="D348" s="34">
        <v>285898.24451545969</v>
      </c>
      <c r="E348" s="174">
        <f>IFERROR(DT_data[[#This Row],[Объем предложения]]/C336-1,"")</f>
        <v>0.1506738544474393</v>
      </c>
      <c r="F348" s="174">
        <f>IFERROR(DT_data[[#This Row],[Средневзвешенная цена]]/D336-1,"")</f>
        <v>-1.50417473065938E-2</v>
      </c>
    </row>
    <row r="349" spans="1:6" x14ac:dyDescent="0.3">
      <c r="A349" s="164">
        <v>44713</v>
      </c>
      <c r="B349" t="s">
        <v>175</v>
      </c>
      <c r="C349">
        <v>605</v>
      </c>
      <c r="D349" s="34">
        <v>220589.88778040101</v>
      </c>
      <c r="E349" s="174">
        <f>IFERROR(DT_data[[#This Row],[Объем предложения]]/C337-1,"")</f>
        <v>0.20758483033932129</v>
      </c>
      <c r="F349" s="174">
        <f>IFERROR(DT_data[[#This Row],[Средневзвешенная цена]]/D337-1,"")</f>
        <v>-1.4861804317020111E-2</v>
      </c>
    </row>
    <row r="350" spans="1:6" x14ac:dyDescent="0.3">
      <c r="A350" s="168">
        <v>44743</v>
      </c>
      <c r="B350" s="170" t="s">
        <v>7</v>
      </c>
      <c r="C350" s="171">
        <v>4660</v>
      </c>
      <c r="D350" s="202">
        <v>269980.5322232318</v>
      </c>
      <c r="E350" s="174">
        <f>IFERROR(DT_data[[#This Row],[Объем предложения]]/C338-1,"")</f>
        <v>6.8072427228971E-2</v>
      </c>
      <c r="F350" s="174">
        <f>IFERROR(DT_data[[#This Row],[Средневзвешенная цена]]/D338-1,"")</f>
        <v>-9.3265459988008947E-3</v>
      </c>
    </row>
    <row r="351" spans="1:6" x14ac:dyDescent="0.3">
      <c r="A351" s="164">
        <v>44743</v>
      </c>
      <c r="B351" t="s">
        <v>8</v>
      </c>
      <c r="C351">
        <v>5282</v>
      </c>
      <c r="D351" s="34">
        <v>343912.83252685261</v>
      </c>
      <c r="E351" s="174">
        <f>IFERROR(DT_data[[#This Row],[Объем предложения]]/C339-1,"")</f>
        <v>8.1047891936144145E-2</v>
      </c>
      <c r="F351" s="174">
        <f>IFERROR(DT_data[[#This Row],[Средневзвешенная цена]]/D339-1,"")</f>
        <v>-1.3164458957151681E-2</v>
      </c>
    </row>
    <row r="352" spans="1:6" x14ac:dyDescent="0.3">
      <c r="A352" s="164">
        <v>44743</v>
      </c>
      <c r="B352" t="s">
        <v>9</v>
      </c>
      <c r="C352">
        <v>1210</v>
      </c>
      <c r="D352" s="34">
        <v>218829.20562310121</v>
      </c>
      <c r="E352" s="174">
        <f>IFERROR(DT_data[[#This Row],[Объем предложения]]/C340-1,"")</f>
        <v>0.11213235294117641</v>
      </c>
      <c r="F352" s="174">
        <f>IFERROR(DT_data[[#This Row],[Средневзвешенная цена]]/D340-1,"")</f>
        <v>-1.9002326636943456E-2</v>
      </c>
    </row>
    <row r="353" spans="1:6" x14ac:dyDescent="0.3">
      <c r="A353" s="164">
        <v>44743</v>
      </c>
      <c r="B353" t="s">
        <v>10</v>
      </c>
      <c r="C353">
        <v>4412</v>
      </c>
      <c r="D353" s="34">
        <v>308423.61822482687</v>
      </c>
      <c r="E353" s="174">
        <f>IFERROR(DT_data[[#This Row],[Объем предложения]]/C341-1,"")</f>
        <v>6.415822479498301E-2</v>
      </c>
      <c r="F353" s="174">
        <f>IFERROR(DT_data[[#This Row],[Средневзвешенная цена]]/D341-1,"")</f>
        <v>-1.9551168430984811E-2</v>
      </c>
    </row>
    <row r="354" spans="1:6" x14ac:dyDescent="0.3">
      <c r="A354" s="164">
        <v>44743</v>
      </c>
      <c r="B354" t="s">
        <v>11</v>
      </c>
      <c r="C354">
        <v>4259</v>
      </c>
      <c r="D354" s="34">
        <v>288945.80174840608</v>
      </c>
      <c r="E354" s="174">
        <f>IFERROR(DT_data[[#This Row],[Объем предложения]]/C342-1,"")</f>
        <v>6.2624750499002069E-2</v>
      </c>
      <c r="F354" s="174">
        <f>IFERROR(DT_data[[#This Row],[Средневзвешенная цена]]/D342-1,"")</f>
        <v>-1.7393901037891069E-2</v>
      </c>
    </row>
    <row r="355" spans="1:6" x14ac:dyDescent="0.3">
      <c r="A355" s="164">
        <v>44743</v>
      </c>
      <c r="B355" t="s">
        <v>12</v>
      </c>
      <c r="C355">
        <v>2799</v>
      </c>
      <c r="D355" s="34">
        <v>302028.76333584398</v>
      </c>
      <c r="E355" s="174">
        <f>IFERROR(DT_data[[#This Row],[Объем предложения]]/C343-1,"")</f>
        <v>8.5725368502715282E-2</v>
      </c>
      <c r="F355" s="174">
        <f>IFERROR(DT_data[[#This Row],[Средневзвешенная цена]]/D343-1,"")</f>
        <v>-1.5382954073261956E-2</v>
      </c>
    </row>
    <row r="356" spans="1:6" x14ac:dyDescent="0.3">
      <c r="A356" s="164">
        <v>44743</v>
      </c>
      <c r="B356" t="s">
        <v>13</v>
      </c>
      <c r="C356">
        <v>597</v>
      </c>
      <c r="D356" s="34">
        <v>173119.69770832741</v>
      </c>
      <c r="E356" s="174">
        <f>IFERROR(DT_data[[#This Row],[Объем предложения]]/C344-1,"")</f>
        <v>6.9892473118279508E-2</v>
      </c>
      <c r="F356" s="174">
        <f>IFERROR(DT_data[[#This Row],[Средневзвешенная цена]]/D344-1,"")</f>
        <v>2.4582811722173581E-3</v>
      </c>
    </row>
    <row r="357" spans="1:6" x14ac:dyDescent="0.3">
      <c r="A357" s="164">
        <v>44743</v>
      </c>
      <c r="B357" t="s">
        <v>14</v>
      </c>
      <c r="C357">
        <v>5763</v>
      </c>
      <c r="D357" s="34">
        <v>560227.79481246381</v>
      </c>
      <c r="E357" s="174">
        <f>IFERROR(DT_data[[#This Row],[Объем предложения]]/C345-1,"")</f>
        <v>4.7056686046511587E-2</v>
      </c>
      <c r="F357" s="174">
        <f>IFERROR(DT_data[[#This Row],[Средневзвешенная цена]]/D345-1,"")</f>
        <v>-1.4048831279881435E-3</v>
      </c>
    </row>
    <row r="358" spans="1:6" x14ac:dyDescent="0.3">
      <c r="A358" s="164">
        <v>44743</v>
      </c>
      <c r="B358" t="s">
        <v>15</v>
      </c>
      <c r="C358">
        <v>4381</v>
      </c>
      <c r="D358" s="34">
        <v>263884.01689317689</v>
      </c>
      <c r="E358" s="174">
        <f>IFERROR(DT_data[[#This Row],[Объем предложения]]/C346-1,"")</f>
        <v>8.2262845849802479E-2</v>
      </c>
      <c r="F358" s="174">
        <f>IFERROR(DT_data[[#This Row],[Средневзвешенная цена]]/D346-1,"")</f>
        <v>-6.9223389554766701E-3</v>
      </c>
    </row>
    <row r="359" spans="1:6" x14ac:dyDescent="0.3">
      <c r="A359" s="164">
        <v>44743</v>
      </c>
      <c r="B359" t="s">
        <v>16</v>
      </c>
      <c r="C359">
        <v>4756</v>
      </c>
      <c r="D359" s="34">
        <v>309244.1348849741</v>
      </c>
      <c r="E359" s="174">
        <f>IFERROR(DT_data[[#This Row],[Объем предложения]]/C347-1,"")</f>
        <v>0.10245711636532229</v>
      </c>
      <c r="F359" s="174">
        <f>IFERROR(DT_data[[#This Row],[Средневзвешенная цена]]/D347-1,"")</f>
        <v>-9.9265853684470384E-3</v>
      </c>
    </row>
    <row r="360" spans="1:6" x14ac:dyDescent="0.3">
      <c r="A360" s="164">
        <v>44743</v>
      </c>
      <c r="B360" t="s">
        <v>17</v>
      </c>
      <c r="C360">
        <v>4581</v>
      </c>
      <c r="D360" s="34">
        <v>283666.13279055618</v>
      </c>
      <c r="E360" s="174">
        <f>IFERROR(DT_data[[#This Row],[Объем предложения]]/C348-1,"")</f>
        <v>7.3085031623330909E-2</v>
      </c>
      <c r="F360" s="174">
        <f>IFERROR(DT_data[[#This Row],[Средневзвешенная цена]]/D348-1,"")</f>
        <v>-7.8073642203941862E-3</v>
      </c>
    </row>
    <row r="361" spans="1:6" x14ac:dyDescent="0.3">
      <c r="A361" s="164">
        <v>44743</v>
      </c>
      <c r="B361" t="s">
        <v>175</v>
      </c>
      <c r="C361">
        <v>664</v>
      </c>
      <c r="D361" s="34">
        <v>216946.6580796089</v>
      </c>
      <c r="E361" s="174">
        <f>IFERROR(DT_data[[#This Row],[Объем предложения]]/C349-1,"")</f>
        <v>9.7520661157024735E-2</v>
      </c>
      <c r="F361" s="174">
        <f>IFERROR(DT_data[[#This Row],[Средневзвешенная цена]]/D349-1,"")</f>
        <v>-1.651585091887342E-2</v>
      </c>
    </row>
    <row r="362" spans="1:6" x14ac:dyDescent="0.3">
      <c r="A362" s="168">
        <v>44774</v>
      </c>
      <c r="B362" s="170" t="s">
        <v>7</v>
      </c>
      <c r="C362" s="171">
        <v>4854</v>
      </c>
      <c r="D362" s="202">
        <v>268038.24546257441</v>
      </c>
      <c r="E362" s="174">
        <f>IFERROR(DT_data[[#This Row],[Объем предложения]]/C350-1,"")</f>
        <v>4.1630901287553757E-2</v>
      </c>
      <c r="F362" s="174">
        <f>IFERROR(DT_data[[#This Row],[Средневзвешенная цена]]/D350-1,"")</f>
        <v>-7.1941733896998539E-3</v>
      </c>
    </row>
    <row r="363" spans="1:6" x14ac:dyDescent="0.3">
      <c r="A363" s="164">
        <v>44774</v>
      </c>
      <c r="B363" t="s">
        <v>8</v>
      </c>
      <c r="C363">
        <v>5343</v>
      </c>
      <c r="D363" s="34">
        <v>340004.22844694433</v>
      </c>
      <c r="E363" s="174">
        <f>IFERROR(DT_data[[#This Row],[Объем предложения]]/C351-1,"")</f>
        <v>1.1548655812192443E-2</v>
      </c>
      <c r="F363" s="174">
        <f>IFERROR(DT_data[[#This Row],[Средневзвешенная цена]]/D351-1,"")</f>
        <v>-1.1365101008852574E-2</v>
      </c>
    </row>
    <row r="364" spans="1:6" x14ac:dyDescent="0.3">
      <c r="A364" s="164">
        <v>44774</v>
      </c>
      <c r="B364" t="s">
        <v>9</v>
      </c>
      <c r="C364">
        <v>1262</v>
      </c>
      <c r="D364" s="34">
        <v>217394.79671944631</v>
      </c>
      <c r="E364" s="174">
        <f>IFERROR(DT_data[[#This Row],[Объем предложения]]/C352-1,"")</f>
        <v>4.2975206611570282E-2</v>
      </c>
      <c r="F364" s="174">
        <f>IFERROR(DT_data[[#This Row],[Средневзвешенная цена]]/D352-1,"")</f>
        <v>-6.5549244195742817E-3</v>
      </c>
    </row>
    <row r="365" spans="1:6" x14ac:dyDescent="0.3">
      <c r="A365" s="164">
        <v>44774</v>
      </c>
      <c r="B365" t="s">
        <v>10</v>
      </c>
      <c r="C365">
        <v>4509</v>
      </c>
      <c r="D365" s="34">
        <v>308092.55807605002</v>
      </c>
      <c r="E365" s="174">
        <f>IFERROR(DT_data[[#This Row],[Объем предложения]]/C353-1,"")</f>
        <v>2.1985494106981029E-2</v>
      </c>
      <c r="F365" s="174">
        <f>IFERROR(DT_data[[#This Row],[Средневзвешенная цена]]/D353-1,"")</f>
        <v>-1.0733942837527488E-3</v>
      </c>
    </row>
    <row r="366" spans="1:6" x14ac:dyDescent="0.3">
      <c r="A366" s="164">
        <v>44774</v>
      </c>
      <c r="B366" t="s">
        <v>11</v>
      </c>
      <c r="C366">
        <v>4356</v>
      </c>
      <c r="D366" s="34">
        <v>286930.18072477228</v>
      </c>
      <c r="E366" s="174">
        <f>IFERROR(DT_data[[#This Row],[Объем предложения]]/C354-1,"")</f>
        <v>2.2775299366048385E-2</v>
      </c>
      <c r="F366" s="174">
        <f>IFERROR(DT_data[[#This Row],[Средневзвешенная цена]]/D354-1,"")</f>
        <v>-6.9757754272161687E-3</v>
      </c>
    </row>
    <row r="367" spans="1:6" x14ac:dyDescent="0.3">
      <c r="A367" s="164">
        <v>44774</v>
      </c>
      <c r="B367" t="s">
        <v>12</v>
      </c>
      <c r="C367">
        <v>2901</v>
      </c>
      <c r="D367" s="34">
        <v>301502.58819331578</v>
      </c>
      <c r="E367" s="174">
        <f>IFERROR(DT_data[[#This Row],[Объем предложения]]/C355-1,"")</f>
        <v>3.6441586280814509E-2</v>
      </c>
      <c r="F367" s="174">
        <f>IFERROR(DT_data[[#This Row],[Средневзвешенная цена]]/D355-1,"")</f>
        <v>-1.7421358704936551E-3</v>
      </c>
    </row>
    <row r="368" spans="1:6" x14ac:dyDescent="0.3">
      <c r="A368" s="164">
        <v>44774</v>
      </c>
      <c r="B368" t="s">
        <v>13</v>
      </c>
      <c r="C368">
        <v>613</v>
      </c>
      <c r="D368" s="34">
        <v>173425.58342890229</v>
      </c>
      <c r="E368" s="174">
        <f>IFERROR(DT_data[[#This Row],[Объем предложения]]/C356-1,"")</f>
        <v>2.6800670016750461E-2</v>
      </c>
      <c r="F368" s="174">
        <f>IFERROR(DT_data[[#This Row],[Средневзвешенная цена]]/D356-1,"")</f>
        <v>1.7669030423692611E-3</v>
      </c>
    </row>
    <row r="369" spans="1:6" x14ac:dyDescent="0.3">
      <c r="A369" s="164">
        <v>44774</v>
      </c>
      <c r="B369" t="s">
        <v>14</v>
      </c>
      <c r="C369">
        <v>5700</v>
      </c>
      <c r="D369" s="34">
        <v>556845.13157476194</v>
      </c>
      <c r="E369" s="174">
        <f>IFERROR(DT_data[[#This Row],[Объем предложения]]/C357-1,"")</f>
        <v>-1.0931806350858886E-2</v>
      </c>
      <c r="F369" s="174">
        <f>IFERROR(DT_data[[#This Row],[Средневзвешенная цена]]/D357-1,"")</f>
        <v>-6.0380139454420112E-3</v>
      </c>
    </row>
    <row r="370" spans="1:6" x14ac:dyDescent="0.3">
      <c r="A370" s="164">
        <v>44774</v>
      </c>
      <c r="B370" t="s">
        <v>15</v>
      </c>
      <c r="C370">
        <v>4489</v>
      </c>
      <c r="D370" s="34">
        <v>263479.18276773021</v>
      </c>
      <c r="E370" s="174">
        <f>IFERROR(DT_data[[#This Row],[Объем предложения]]/C358-1,"")</f>
        <v>2.4651905957543851E-2</v>
      </c>
      <c r="F370" s="174">
        <f>IFERROR(DT_data[[#This Row],[Средневзвешенная цена]]/D358-1,"")</f>
        <v>-1.5341365885398472E-3</v>
      </c>
    </row>
    <row r="371" spans="1:6" x14ac:dyDescent="0.3">
      <c r="A371" s="164">
        <v>44774</v>
      </c>
      <c r="B371" t="s">
        <v>16</v>
      </c>
      <c r="C371">
        <v>4923</v>
      </c>
      <c r="D371" s="34">
        <v>308834.37533444568</v>
      </c>
      <c r="E371" s="174">
        <f>IFERROR(DT_data[[#This Row],[Объем предложения]]/C359-1,"")</f>
        <v>3.5113540790580267E-2</v>
      </c>
      <c r="F371" s="174">
        <f>IFERROR(DT_data[[#This Row],[Средневзвешенная цена]]/D359-1,"")</f>
        <v>-1.3250358027997455E-3</v>
      </c>
    </row>
    <row r="372" spans="1:6" x14ac:dyDescent="0.3">
      <c r="A372" s="164">
        <v>44774</v>
      </c>
      <c r="B372" t="s">
        <v>17</v>
      </c>
      <c r="C372">
        <v>4833</v>
      </c>
      <c r="D372" s="34">
        <v>282502.1327105618</v>
      </c>
      <c r="E372" s="174">
        <f>IFERROR(DT_data[[#This Row],[Объем предложения]]/C360-1,"")</f>
        <v>5.5009823182711193E-2</v>
      </c>
      <c r="F372" s="174">
        <f>IFERROR(DT_data[[#This Row],[Средневзвешенная цена]]/D360-1,"")</f>
        <v>-4.1034157604348254E-3</v>
      </c>
    </row>
    <row r="373" spans="1:6" x14ac:dyDescent="0.3">
      <c r="A373" s="164">
        <v>44774</v>
      </c>
      <c r="B373" t="s">
        <v>175</v>
      </c>
      <c r="C373">
        <v>703</v>
      </c>
      <c r="D373" s="34">
        <v>217039.433850556</v>
      </c>
      <c r="E373" s="174">
        <f>IFERROR(DT_data[[#This Row],[Объем предложения]]/C361-1,"")</f>
        <v>5.8734939759036209E-2</v>
      </c>
      <c r="F373" s="174">
        <f>IFERROR(DT_data[[#This Row],[Средневзвешенная цена]]/D361-1,"")</f>
        <v>4.2764323621469202E-4</v>
      </c>
    </row>
    <row r="374" spans="1:6" x14ac:dyDescent="0.3">
      <c r="A374" s="168">
        <v>44805</v>
      </c>
      <c r="B374" s="170" t="s">
        <v>7</v>
      </c>
      <c r="C374" s="171">
        <v>5392</v>
      </c>
      <c r="D374" s="202">
        <v>266117.43562820752</v>
      </c>
      <c r="E374" s="174">
        <f>IFERROR(DT_data[[#This Row],[Объем предложения]]/C362-1,"")</f>
        <v>0.11083642356819112</v>
      </c>
      <c r="F374" s="174">
        <f>IFERROR(DT_data[[#This Row],[Средневзвешенная цена]]/D362-1,"")</f>
        <v>-7.1661782110683525E-3</v>
      </c>
    </row>
    <row r="375" spans="1:6" x14ac:dyDescent="0.3">
      <c r="A375" s="164">
        <v>44805</v>
      </c>
      <c r="B375" t="s">
        <v>8</v>
      </c>
      <c r="C375">
        <v>5886</v>
      </c>
      <c r="D375" s="34">
        <v>336424.29970319528</v>
      </c>
      <c r="E375" s="174">
        <f>IFERROR(DT_data[[#This Row],[Объем предложения]]/C363-1,"")</f>
        <v>0.10162829870859058</v>
      </c>
      <c r="F375" s="174">
        <f>IFERROR(DT_data[[#This Row],[Средневзвешенная цена]]/D363-1,"")</f>
        <v>-1.0529071241558552E-2</v>
      </c>
    </row>
    <row r="376" spans="1:6" x14ac:dyDescent="0.3">
      <c r="A376" s="164">
        <v>44805</v>
      </c>
      <c r="B376" t="s">
        <v>9</v>
      </c>
      <c r="C376">
        <v>1442</v>
      </c>
      <c r="D376" s="34">
        <v>219142.34026592321</v>
      </c>
      <c r="E376" s="174">
        <f>IFERROR(DT_data[[#This Row],[Объем предложения]]/C364-1,"")</f>
        <v>0.14263074484944527</v>
      </c>
      <c r="F376" s="174">
        <f>IFERROR(DT_data[[#This Row],[Средневзвешенная цена]]/D364-1,"")</f>
        <v>8.0385711748756083E-3</v>
      </c>
    </row>
    <row r="377" spans="1:6" x14ac:dyDescent="0.3">
      <c r="A377" s="164">
        <v>44805</v>
      </c>
      <c r="B377" t="s">
        <v>10</v>
      </c>
      <c r="C377">
        <v>4984</v>
      </c>
      <c r="D377" s="34">
        <v>307037.0851852576</v>
      </c>
      <c r="E377" s="174">
        <f>IFERROR(DT_data[[#This Row],[Объем предложения]]/C365-1,"")</f>
        <v>0.10534486582390779</v>
      </c>
      <c r="F377" s="174">
        <f>IFERROR(DT_data[[#This Row],[Средневзвешенная цена]]/D365-1,"")</f>
        <v>-3.4258305276295697E-3</v>
      </c>
    </row>
    <row r="378" spans="1:6" x14ac:dyDescent="0.3">
      <c r="A378" s="164">
        <v>44805</v>
      </c>
      <c r="B378" t="s">
        <v>11</v>
      </c>
      <c r="C378">
        <v>4848</v>
      </c>
      <c r="D378" s="34">
        <v>285504.26702068438</v>
      </c>
      <c r="E378" s="174">
        <f>IFERROR(DT_data[[#This Row],[Объем предложения]]/C366-1,"")</f>
        <v>0.11294765840220378</v>
      </c>
      <c r="F378" s="174">
        <f>IFERROR(DT_data[[#This Row],[Средневзвешенная цена]]/D366-1,"")</f>
        <v>-4.9695493882383479E-3</v>
      </c>
    </row>
    <row r="379" spans="1:6" x14ac:dyDescent="0.3">
      <c r="A379" s="164">
        <v>44805</v>
      </c>
      <c r="B379" t="s">
        <v>12</v>
      </c>
      <c r="C379">
        <v>3264</v>
      </c>
      <c r="D379" s="34">
        <v>299742.17782187578</v>
      </c>
      <c r="E379" s="174">
        <f>IFERROR(DT_data[[#This Row],[Объем предложения]]/C367-1,"")</f>
        <v>0.12512926577042394</v>
      </c>
      <c r="F379" s="174">
        <f>IFERROR(DT_data[[#This Row],[Средневзвешенная цена]]/D367-1,"")</f>
        <v>-5.838790247171155E-3</v>
      </c>
    </row>
    <row r="380" spans="1:6" x14ac:dyDescent="0.3">
      <c r="A380" s="164">
        <v>44805</v>
      </c>
      <c r="B380" t="s">
        <v>13</v>
      </c>
      <c r="C380">
        <v>649</v>
      </c>
      <c r="D380" s="34">
        <v>172950.42462868241</v>
      </c>
      <c r="E380" s="174">
        <f>IFERROR(DT_data[[#This Row],[Объем предложения]]/C368-1,"")</f>
        <v>5.8727569331158191E-2</v>
      </c>
      <c r="F380" s="174">
        <f>IFERROR(DT_data[[#This Row],[Средневзвешенная цена]]/D368-1,"")</f>
        <v>-2.7398425931470793E-3</v>
      </c>
    </row>
    <row r="381" spans="1:6" x14ac:dyDescent="0.3">
      <c r="A381" s="164">
        <v>44805</v>
      </c>
      <c r="B381" t="s">
        <v>14</v>
      </c>
      <c r="C381">
        <v>6098</v>
      </c>
      <c r="D381" s="34">
        <v>546331.8309059419</v>
      </c>
      <c r="E381" s="174">
        <f>IFERROR(DT_data[[#This Row],[Объем предложения]]/C369-1,"")</f>
        <v>6.9824561403508678E-2</v>
      </c>
      <c r="F381" s="174">
        <f>IFERROR(DT_data[[#This Row],[Средневзвешенная цена]]/D369-1,"")</f>
        <v>-1.8880115983214818E-2</v>
      </c>
    </row>
    <row r="382" spans="1:6" x14ac:dyDescent="0.3">
      <c r="A382" s="164">
        <v>44805</v>
      </c>
      <c r="B382" t="s">
        <v>15</v>
      </c>
      <c r="C382">
        <v>4962</v>
      </c>
      <c r="D382" s="34">
        <v>262155.09597327432</v>
      </c>
      <c r="E382" s="174">
        <f>IFERROR(DT_data[[#This Row],[Объем предложения]]/C370-1,"")</f>
        <v>0.10536867899309432</v>
      </c>
      <c r="F382" s="174">
        <f>IFERROR(DT_data[[#This Row],[Средневзвешенная цена]]/D370-1,"")</f>
        <v>-5.0253943425319081E-3</v>
      </c>
    </row>
    <row r="383" spans="1:6" x14ac:dyDescent="0.3">
      <c r="A383" s="164">
        <v>44805</v>
      </c>
      <c r="B383" t="s">
        <v>16</v>
      </c>
      <c r="C383">
        <v>5460</v>
      </c>
      <c r="D383" s="34">
        <v>306233.1175945258</v>
      </c>
      <c r="E383" s="174">
        <f>IFERROR(DT_data[[#This Row],[Объем предложения]]/C371-1,"")</f>
        <v>0.10907982937233385</v>
      </c>
      <c r="F383" s="174">
        <f>IFERROR(DT_data[[#This Row],[Средневзвешенная цена]]/D371-1,"")</f>
        <v>-8.4228244899969829E-3</v>
      </c>
    </row>
    <row r="384" spans="1:6" x14ac:dyDescent="0.3">
      <c r="A384" s="164">
        <v>44805</v>
      </c>
      <c r="B384" t="s">
        <v>17</v>
      </c>
      <c r="C384">
        <v>5354</v>
      </c>
      <c r="D384" s="34">
        <v>283201.69586318691</v>
      </c>
      <c r="E384" s="174">
        <f>IFERROR(DT_data[[#This Row],[Объем предложения]]/C372-1,"")</f>
        <v>0.10780053796813571</v>
      </c>
      <c r="F384" s="174">
        <f>IFERROR(DT_data[[#This Row],[Средневзвешенная цена]]/D372-1,"")</f>
        <v>2.4763110490986229E-3</v>
      </c>
    </row>
    <row r="385" spans="1:6" x14ac:dyDescent="0.3">
      <c r="A385" s="164">
        <v>44805</v>
      </c>
      <c r="B385" t="s">
        <v>175</v>
      </c>
      <c r="C385">
        <v>752</v>
      </c>
      <c r="D385" s="34">
        <v>213455.49847557559</v>
      </c>
      <c r="E385" s="174">
        <f>IFERROR(DT_data[[#This Row],[Объем предложения]]/C373-1,"")</f>
        <v>6.970128022759603E-2</v>
      </c>
      <c r="F385" s="174">
        <f>IFERROR(DT_data[[#This Row],[Средневзвешенная цена]]/D373-1,"")</f>
        <v>-1.6512830463095263E-2</v>
      </c>
    </row>
    <row r="386" spans="1:6" x14ac:dyDescent="0.3">
      <c r="A386" s="168">
        <v>44835</v>
      </c>
      <c r="B386" s="170" t="s">
        <v>7</v>
      </c>
      <c r="C386" s="171">
        <v>5520</v>
      </c>
      <c r="D386" s="202">
        <v>261889.18829567861</v>
      </c>
      <c r="E386" s="174">
        <f>IFERROR(DT_data[[#This Row],[Объем предложения]]/C374-1,"")</f>
        <v>2.3738872403560762E-2</v>
      </c>
      <c r="F386" s="174">
        <f>IFERROR(DT_data[[#This Row],[Средневзвешенная цена]]/D374-1,"")</f>
        <v>-1.5888652025176531E-2</v>
      </c>
    </row>
    <row r="387" spans="1:6" x14ac:dyDescent="0.3">
      <c r="A387" s="164">
        <v>44835</v>
      </c>
      <c r="B387" t="s">
        <v>8</v>
      </c>
      <c r="C387">
        <v>6034</v>
      </c>
      <c r="D387" s="34">
        <v>330306.84382925881</v>
      </c>
      <c r="E387" s="174">
        <f>IFERROR(DT_data[[#This Row],[Объем предложения]]/C375-1,"")</f>
        <v>2.5144410465511413E-2</v>
      </c>
      <c r="F387" s="174">
        <f>IFERROR(DT_data[[#This Row],[Средневзвешенная цена]]/D375-1,"")</f>
        <v>-1.8183751528452308E-2</v>
      </c>
    </row>
    <row r="388" spans="1:6" x14ac:dyDescent="0.3">
      <c r="A388" s="164">
        <v>44835</v>
      </c>
      <c r="B388" t="s">
        <v>9</v>
      </c>
      <c r="C388">
        <v>1461</v>
      </c>
      <c r="D388" s="34">
        <v>218235.13738975261</v>
      </c>
      <c r="E388" s="174">
        <f>IFERROR(DT_data[[#This Row],[Объем предложения]]/C376-1,"")</f>
        <v>1.3176144244105403E-2</v>
      </c>
      <c r="F388" s="174">
        <f>IFERROR(DT_data[[#This Row],[Средневзвешенная цена]]/D376-1,"")</f>
        <v>-4.1397882082929716E-3</v>
      </c>
    </row>
    <row r="389" spans="1:6" x14ac:dyDescent="0.3">
      <c r="A389" s="164">
        <v>44835</v>
      </c>
      <c r="B389" t="s">
        <v>10</v>
      </c>
      <c r="C389">
        <v>5141</v>
      </c>
      <c r="D389" s="34">
        <v>301857.90412314358</v>
      </c>
      <c r="E389" s="174">
        <f>IFERROR(DT_data[[#This Row],[Объем предложения]]/C377-1,"")</f>
        <v>3.1500802568218189E-2</v>
      </c>
      <c r="F389" s="174">
        <f>IFERROR(DT_data[[#This Row],[Средневзвешенная цена]]/D377-1,"")</f>
        <v>-1.686825895637023E-2</v>
      </c>
    </row>
    <row r="390" spans="1:6" x14ac:dyDescent="0.3">
      <c r="A390" s="164">
        <v>44835</v>
      </c>
      <c r="B390" t="s">
        <v>11</v>
      </c>
      <c r="C390">
        <v>5071</v>
      </c>
      <c r="D390" s="34">
        <v>281794.19893284788</v>
      </c>
      <c r="E390" s="174">
        <f>IFERROR(DT_data[[#This Row],[Объем предложения]]/C378-1,"")</f>
        <v>4.599834983498341E-2</v>
      </c>
      <c r="F390" s="174">
        <f>IFERROR(DT_data[[#This Row],[Средневзвешенная цена]]/D378-1,"")</f>
        <v>-1.2994790328537231E-2</v>
      </c>
    </row>
    <row r="391" spans="1:6" x14ac:dyDescent="0.3">
      <c r="A391" s="164">
        <v>44835</v>
      </c>
      <c r="B391" t="s">
        <v>12</v>
      </c>
      <c r="C391">
        <v>3390</v>
      </c>
      <c r="D391" s="34">
        <v>295218.10880760069</v>
      </c>
      <c r="E391" s="174">
        <f>IFERROR(DT_data[[#This Row],[Объем предложения]]/C379-1,"")</f>
        <v>3.8602941176470562E-2</v>
      </c>
      <c r="F391" s="174">
        <f>IFERROR(DT_data[[#This Row],[Средневзвешенная цена]]/D379-1,"")</f>
        <v>-1.5093201254324562E-2</v>
      </c>
    </row>
    <row r="392" spans="1:6" x14ac:dyDescent="0.3">
      <c r="A392" s="164">
        <v>44835</v>
      </c>
      <c r="B392" t="s">
        <v>13</v>
      </c>
      <c r="C392">
        <v>653</v>
      </c>
      <c r="D392" s="34">
        <v>171117.59397983059</v>
      </c>
      <c r="E392" s="174">
        <f>IFERROR(DT_data[[#This Row],[Объем предложения]]/C380-1,"")</f>
        <v>6.1633281972264253E-3</v>
      </c>
      <c r="F392" s="174">
        <f>IFERROR(DT_data[[#This Row],[Средневзвешенная цена]]/D380-1,"")</f>
        <v>-1.0597433644854215E-2</v>
      </c>
    </row>
    <row r="393" spans="1:6" x14ac:dyDescent="0.3">
      <c r="A393" s="164">
        <v>44835</v>
      </c>
      <c r="B393" t="s">
        <v>14</v>
      </c>
      <c r="C393">
        <v>6450</v>
      </c>
      <c r="D393" s="34">
        <v>540294.95933754591</v>
      </c>
      <c r="E393" s="174">
        <f>IFERROR(DT_data[[#This Row],[Объем предложения]]/C381-1,"")</f>
        <v>5.7723843883240367E-2</v>
      </c>
      <c r="F393" s="174">
        <f>IFERROR(DT_data[[#This Row],[Средневзвешенная цена]]/D381-1,"")</f>
        <v>-1.1049825814442249E-2</v>
      </c>
    </row>
    <row r="394" spans="1:6" x14ac:dyDescent="0.3">
      <c r="A394" s="164">
        <v>44835</v>
      </c>
      <c r="B394" t="s">
        <v>15</v>
      </c>
      <c r="C394">
        <v>5129</v>
      </c>
      <c r="D394" s="34">
        <v>259166.2479942012</v>
      </c>
      <c r="E394" s="174">
        <f>IFERROR(DT_data[[#This Row],[Объем предложения]]/C382-1,"")</f>
        <v>3.3655783958081331E-2</v>
      </c>
      <c r="F394" s="174">
        <f>IFERROR(DT_data[[#This Row],[Средневзвешенная цена]]/D382-1,"")</f>
        <v>-1.1401067631269024E-2</v>
      </c>
    </row>
    <row r="395" spans="1:6" x14ac:dyDescent="0.3">
      <c r="A395" s="164">
        <v>44835</v>
      </c>
      <c r="B395" t="s">
        <v>16</v>
      </c>
      <c r="C395">
        <v>5771</v>
      </c>
      <c r="D395" s="34">
        <v>301531.71527971758</v>
      </c>
      <c r="E395" s="174">
        <f>IFERROR(DT_data[[#This Row],[Объем предложения]]/C383-1,"")</f>
        <v>5.6959706959706979E-2</v>
      </c>
      <c r="F395" s="174">
        <f>IFERROR(DT_data[[#This Row],[Средневзвешенная цена]]/D383-1,"")</f>
        <v>-1.5352364080468917E-2</v>
      </c>
    </row>
    <row r="396" spans="1:6" x14ac:dyDescent="0.3">
      <c r="A396" s="164">
        <v>44835</v>
      </c>
      <c r="B396" t="s">
        <v>17</v>
      </c>
      <c r="C396">
        <v>5459</v>
      </c>
      <c r="D396" s="34">
        <v>278112.6184314813</v>
      </c>
      <c r="E396" s="174">
        <f>IFERROR(DT_data[[#This Row],[Объем предложения]]/C384-1,"")</f>
        <v>1.961150541651091E-2</v>
      </c>
      <c r="F396" s="174">
        <f>IFERROR(DT_data[[#This Row],[Средневзвешенная цена]]/D384-1,"")</f>
        <v>-1.7969798578339358E-2</v>
      </c>
    </row>
    <row r="397" spans="1:6" x14ac:dyDescent="0.3">
      <c r="A397" s="164">
        <v>44835</v>
      </c>
      <c r="B397" t="s">
        <v>175</v>
      </c>
      <c r="C397">
        <v>772</v>
      </c>
      <c r="D397" s="34">
        <v>208951.3651929319</v>
      </c>
      <c r="E397" s="174">
        <f>IFERROR(DT_data[[#This Row],[Объем предложения]]/C385-1,"")</f>
        <v>2.659574468085113E-2</v>
      </c>
      <c r="F397" s="174">
        <f>IFERROR(DT_data[[#This Row],[Средневзвешенная цена]]/D385-1,"")</f>
        <v>-2.1101041270010001E-2</v>
      </c>
    </row>
    <row r="398" spans="1:6" x14ac:dyDescent="0.3">
      <c r="A398" s="168">
        <v>44866</v>
      </c>
      <c r="B398" s="170" t="s">
        <v>7</v>
      </c>
      <c r="C398" s="171">
        <v>5411</v>
      </c>
      <c r="D398" s="202">
        <v>258588.9765727123</v>
      </c>
      <c r="E398" s="174">
        <f>IFERROR(DT_data[[#This Row],[Объем предложения]]/C386-1,"")</f>
        <v>-1.9746376811594191E-2</v>
      </c>
      <c r="F398" s="174">
        <f>IFERROR(DT_data[[#This Row],[Средневзвешенная цена]]/D386-1,"")</f>
        <v>-1.2601557721582224E-2</v>
      </c>
    </row>
    <row r="399" spans="1:6" x14ac:dyDescent="0.3">
      <c r="A399" s="164">
        <v>44866</v>
      </c>
      <c r="B399" t="s">
        <v>8</v>
      </c>
      <c r="C399">
        <v>5864</v>
      </c>
      <c r="D399" s="34">
        <v>326518.66673538182</v>
      </c>
      <c r="E399" s="174">
        <f>IFERROR(DT_data[[#This Row],[Объем предложения]]/C387-1,"")</f>
        <v>-2.8173682466025807E-2</v>
      </c>
      <c r="F399" s="174">
        <f>IFERROR(DT_data[[#This Row],[Средневзвешенная цена]]/D387-1,"")</f>
        <v>-1.1468660624649907E-2</v>
      </c>
    </row>
    <row r="400" spans="1:6" x14ac:dyDescent="0.3">
      <c r="A400" s="164">
        <v>44866</v>
      </c>
      <c r="B400" t="s">
        <v>9</v>
      </c>
      <c r="C400">
        <v>1383</v>
      </c>
      <c r="D400" s="34">
        <v>213383.53864553969</v>
      </c>
      <c r="E400" s="174">
        <f>IFERROR(DT_data[[#This Row],[Объем предложения]]/C388-1,"")</f>
        <v>-5.3388090349075989E-2</v>
      </c>
      <c r="F400" s="174">
        <f>IFERROR(DT_data[[#This Row],[Средневзвешенная цена]]/D388-1,"")</f>
        <v>-2.2231061424120235E-2</v>
      </c>
    </row>
    <row r="401" spans="1:6" x14ac:dyDescent="0.3">
      <c r="A401" s="164">
        <v>44866</v>
      </c>
      <c r="B401" t="s">
        <v>10</v>
      </c>
      <c r="C401">
        <v>5135</v>
      </c>
      <c r="D401" s="34">
        <v>298853.75503415312</v>
      </c>
      <c r="E401" s="174">
        <f>IFERROR(DT_data[[#This Row],[Объем предложения]]/C389-1,"")</f>
        <v>-1.167088115152648E-3</v>
      </c>
      <c r="F401" s="174">
        <f>IFERROR(DT_data[[#This Row],[Средневзвешенная цена]]/D389-1,"")</f>
        <v>-9.9521962087331106E-3</v>
      </c>
    </row>
    <row r="402" spans="1:6" x14ac:dyDescent="0.3">
      <c r="A402" s="164">
        <v>44866</v>
      </c>
      <c r="B402" t="s">
        <v>11</v>
      </c>
      <c r="C402">
        <v>4985</v>
      </c>
      <c r="D402" s="34">
        <v>278597.23265815148</v>
      </c>
      <c r="E402" s="174">
        <f>IFERROR(DT_data[[#This Row],[Объем предложения]]/C390-1,"")</f>
        <v>-1.6959179648984413E-2</v>
      </c>
      <c r="F402" s="174">
        <f>IFERROR(DT_data[[#This Row],[Средневзвешенная цена]]/D390-1,"")</f>
        <v>-1.1345039347166463E-2</v>
      </c>
    </row>
    <row r="403" spans="1:6" x14ac:dyDescent="0.3">
      <c r="A403" s="164">
        <v>44866</v>
      </c>
      <c r="B403" t="s">
        <v>12</v>
      </c>
      <c r="C403">
        <v>3374</v>
      </c>
      <c r="D403" s="34">
        <v>290013.10981768259</v>
      </c>
      <c r="E403" s="174">
        <f>IFERROR(DT_data[[#This Row],[Объем предложения]]/C391-1,"")</f>
        <v>-4.71976401179941E-3</v>
      </c>
      <c r="F403" s="174">
        <f>IFERROR(DT_data[[#This Row],[Средневзвешенная цена]]/D391-1,"")</f>
        <v>-1.7631028838106633E-2</v>
      </c>
    </row>
    <row r="404" spans="1:6" x14ac:dyDescent="0.3">
      <c r="A404" s="164">
        <v>44866</v>
      </c>
      <c r="B404" t="s">
        <v>13</v>
      </c>
      <c r="C404">
        <v>652</v>
      </c>
      <c r="D404" s="34">
        <v>169378.69014830299</v>
      </c>
      <c r="E404" s="174">
        <f>IFERROR(DT_data[[#This Row],[Объем предложения]]/C392-1,"")</f>
        <v>-1.5313935681470214E-3</v>
      </c>
      <c r="F404" s="174">
        <f>IFERROR(DT_data[[#This Row],[Средневзвешенная цена]]/D392-1,"")</f>
        <v>-1.016203998130405E-2</v>
      </c>
    </row>
    <row r="405" spans="1:6" x14ac:dyDescent="0.3">
      <c r="A405" s="164">
        <v>44866</v>
      </c>
      <c r="B405" t="s">
        <v>14</v>
      </c>
      <c r="C405">
        <v>6518</v>
      </c>
      <c r="D405" s="34">
        <v>537600.66520599893</v>
      </c>
      <c r="E405" s="174">
        <f>IFERROR(DT_data[[#This Row],[Объем предложения]]/C393-1,"")</f>
        <v>1.0542635658914667E-2</v>
      </c>
      <c r="F405" s="174">
        <f>IFERROR(DT_data[[#This Row],[Средневзвешенная цена]]/D393-1,"")</f>
        <v>-4.9867097313853748E-3</v>
      </c>
    </row>
    <row r="406" spans="1:6" x14ac:dyDescent="0.3">
      <c r="A406" s="164">
        <v>44866</v>
      </c>
      <c r="B406" t="s">
        <v>15</v>
      </c>
      <c r="C406">
        <v>5121</v>
      </c>
      <c r="D406" s="34">
        <v>255999.51713306949</v>
      </c>
      <c r="E406" s="174">
        <f>IFERROR(DT_data[[#This Row],[Объем предложения]]/C394-1,"")</f>
        <v>-1.5597582374732299E-3</v>
      </c>
      <c r="F406" s="174">
        <f>IFERROR(DT_data[[#This Row],[Средневзвешенная цена]]/D394-1,"")</f>
        <v>-1.2218916952498216E-2</v>
      </c>
    </row>
    <row r="407" spans="1:6" x14ac:dyDescent="0.3">
      <c r="A407" s="164">
        <v>44866</v>
      </c>
      <c r="B407" t="s">
        <v>16</v>
      </c>
      <c r="C407">
        <v>5673</v>
      </c>
      <c r="D407" s="34">
        <v>299035.41672953381</v>
      </c>
      <c r="E407" s="174">
        <f>IFERROR(DT_data[[#This Row],[Объем предложения]]/C395-1,"")</f>
        <v>-1.6981459019234091E-2</v>
      </c>
      <c r="F407" s="174">
        <f>IFERROR(DT_data[[#This Row],[Средневзвешенная цена]]/D395-1,"")</f>
        <v>-8.2787263285656332E-3</v>
      </c>
    </row>
    <row r="408" spans="1:6" x14ac:dyDescent="0.3">
      <c r="A408" s="164">
        <v>44866</v>
      </c>
      <c r="B408" t="s">
        <v>17</v>
      </c>
      <c r="C408">
        <v>5331</v>
      </c>
      <c r="D408" s="34">
        <v>274615.69143664488</v>
      </c>
      <c r="E408" s="174">
        <f>IFERROR(DT_data[[#This Row],[Объем предложения]]/C396-1,"")</f>
        <v>-2.3447517860413991E-2</v>
      </c>
      <c r="F408" s="174">
        <f>IFERROR(DT_data[[#This Row],[Средневзвешенная цена]]/D396-1,"")</f>
        <v>-1.2573780415137681E-2</v>
      </c>
    </row>
    <row r="409" spans="1:6" x14ac:dyDescent="0.3">
      <c r="A409" s="164">
        <v>44866</v>
      </c>
      <c r="B409" t="s">
        <v>175</v>
      </c>
      <c r="C409">
        <v>739</v>
      </c>
      <c r="D409" s="34">
        <v>204943.3550358896</v>
      </c>
      <c r="E409" s="174">
        <f>IFERROR(DT_data[[#This Row],[Объем предложения]]/C397-1,"")</f>
        <v>-4.2746113989637347E-2</v>
      </c>
      <c r="F409" s="174">
        <f>IFERROR(DT_data[[#This Row],[Средневзвешенная цена]]/D397-1,"")</f>
        <v>-1.9181545683329526E-2</v>
      </c>
    </row>
    <row r="410" spans="1:6" x14ac:dyDescent="0.3">
      <c r="A410" s="168">
        <v>44896</v>
      </c>
      <c r="B410" s="170" t="s">
        <v>7</v>
      </c>
      <c r="C410" s="171">
        <v>5176</v>
      </c>
      <c r="D410" s="202">
        <v>258297.76694470219</v>
      </c>
      <c r="E410" s="174">
        <f>IFERROR(DT_data[[#This Row],[Объем предложения]]/C398-1,"")</f>
        <v>-4.3430049898355194E-2</v>
      </c>
      <c r="F410" s="174">
        <f>IFERROR(DT_data[[#This Row],[Средневзвешенная цена]]/D398-1,"")</f>
        <v>-1.1261486544003052E-3</v>
      </c>
    </row>
    <row r="411" spans="1:6" x14ac:dyDescent="0.3">
      <c r="A411" s="164">
        <v>44896</v>
      </c>
      <c r="B411" t="s">
        <v>8</v>
      </c>
      <c r="C411">
        <v>5684</v>
      </c>
      <c r="D411" s="34">
        <v>324768.07093273278</v>
      </c>
      <c r="E411" s="174">
        <f>IFERROR(DT_data[[#This Row],[Объем предложения]]/C399-1,"")</f>
        <v>-3.0695770804911371E-2</v>
      </c>
      <c r="F411" s="174">
        <f>IFERROR(DT_data[[#This Row],[Средневзвешенная цена]]/D399-1,"")</f>
        <v>-5.3613957822135072E-3</v>
      </c>
    </row>
    <row r="412" spans="1:6" x14ac:dyDescent="0.3">
      <c r="A412" s="164">
        <v>44896</v>
      </c>
      <c r="B412" t="s">
        <v>9</v>
      </c>
      <c r="C412">
        <v>1450</v>
      </c>
      <c r="D412" s="34">
        <v>213351.93392868809</v>
      </c>
      <c r="E412" s="174">
        <f>IFERROR(DT_data[[#This Row],[Объем предложения]]/C400-1,"")</f>
        <v>4.8445408532176382E-2</v>
      </c>
      <c r="F412" s="174">
        <f>IFERROR(DT_data[[#This Row],[Средневзвешенная цена]]/D400-1,"")</f>
        <v>-1.4811225388899896E-4</v>
      </c>
    </row>
    <row r="413" spans="1:6" x14ac:dyDescent="0.3">
      <c r="A413" s="164">
        <v>44896</v>
      </c>
      <c r="B413" t="s">
        <v>10</v>
      </c>
      <c r="C413">
        <v>5116</v>
      </c>
      <c r="D413" s="34">
        <v>296416.32505120052</v>
      </c>
      <c r="E413" s="174">
        <f>IFERROR(DT_data[[#This Row],[Объем предложения]]/C401-1,"")</f>
        <v>-3.700097370983424E-3</v>
      </c>
      <c r="F413" s="174">
        <f>IFERROR(DT_data[[#This Row],[Средневзвешенная цена]]/D401-1,"")</f>
        <v>-8.1559289180557215E-3</v>
      </c>
    </row>
    <row r="414" spans="1:6" x14ac:dyDescent="0.3">
      <c r="A414" s="164">
        <v>44896</v>
      </c>
      <c r="B414" t="s">
        <v>11</v>
      </c>
      <c r="C414">
        <v>4728</v>
      </c>
      <c r="D414" s="34">
        <v>275840.2238329539</v>
      </c>
      <c r="E414" s="174">
        <f>IFERROR(DT_data[[#This Row],[Объем предложения]]/C402-1,"")</f>
        <v>-5.1554663991975946E-2</v>
      </c>
      <c r="F414" s="174">
        <f>IFERROR(DT_data[[#This Row],[Средневзвешенная цена]]/D402-1,"")</f>
        <v>-9.8960380865682485E-3</v>
      </c>
    </row>
    <row r="415" spans="1:6" x14ac:dyDescent="0.3">
      <c r="A415" s="164">
        <v>44896</v>
      </c>
      <c r="B415" t="s">
        <v>12</v>
      </c>
      <c r="C415">
        <v>3261</v>
      </c>
      <c r="D415" s="34">
        <v>289305.56698198023</v>
      </c>
      <c r="E415" s="174">
        <f>IFERROR(DT_data[[#This Row],[Объем предложения]]/C403-1,"")</f>
        <v>-3.3491404860699459E-2</v>
      </c>
      <c r="F415" s="174">
        <f>IFERROR(DT_data[[#This Row],[Средневзвешенная цена]]/D403-1,"")</f>
        <v>-2.4396925923354518E-3</v>
      </c>
    </row>
    <row r="416" spans="1:6" x14ac:dyDescent="0.3">
      <c r="A416" s="164">
        <v>44896</v>
      </c>
      <c r="B416" t="s">
        <v>13</v>
      </c>
      <c r="C416">
        <v>632</v>
      </c>
      <c r="D416" s="34">
        <v>166884.05761793401</v>
      </c>
      <c r="E416" s="174">
        <f>IFERROR(DT_data[[#This Row],[Объем предложения]]/C404-1,"")</f>
        <v>-3.0674846625766916E-2</v>
      </c>
      <c r="F416" s="174">
        <f>IFERROR(DT_data[[#This Row],[Средневзвешенная цена]]/D404-1,"")</f>
        <v>-1.4728136864116448E-2</v>
      </c>
    </row>
    <row r="417" spans="1:6" x14ac:dyDescent="0.3">
      <c r="A417" s="164">
        <v>44896</v>
      </c>
      <c r="B417" t="s">
        <v>14</v>
      </c>
      <c r="C417">
        <v>6326</v>
      </c>
      <c r="D417" s="34">
        <v>536836.10728846374</v>
      </c>
      <c r="E417" s="174">
        <f>IFERROR(DT_data[[#This Row],[Объем предложения]]/C405-1,"")</f>
        <v>-2.9456888616139931E-2</v>
      </c>
      <c r="F417" s="174">
        <f>IFERROR(DT_data[[#This Row],[Средневзвешенная цена]]/D405-1,"")</f>
        <v>-1.4221669856793184E-3</v>
      </c>
    </row>
    <row r="418" spans="1:6" x14ac:dyDescent="0.3">
      <c r="A418" s="164">
        <v>44896</v>
      </c>
      <c r="B418" t="s">
        <v>15</v>
      </c>
      <c r="C418">
        <v>4901</v>
      </c>
      <c r="D418" s="34">
        <v>253290.11788260931</v>
      </c>
      <c r="E418" s="174">
        <f>IFERROR(DT_data[[#This Row],[Объем предложения]]/C406-1,"")</f>
        <v>-4.2960359304823226E-2</v>
      </c>
      <c r="F418" s="174">
        <f>IFERROR(DT_data[[#This Row],[Средневзвешенная цена]]/D406-1,"")</f>
        <v>-1.0583610784905551E-2</v>
      </c>
    </row>
    <row r="419" spans="1:6" x14ac:dyDescent="0.3">
      <c r="A419" s="164">
        <v>44896</v>
      </c>
      <c r="B419" t="s">
        <v>16</v>
      </c>
      <c r="C419">
        <v>5370</v>
      </c>
      <c r="D419" s="34">
        <v>296629.6945765338</v>
      </c>
      <c r="E419" s="174">
        <f>IFERROR(DT_data[[#This Row],[Объем предложения]]/C407-1,"")</f>
        <v>-5.3410893707033336E-2</v>
      </c>
      <c r="F419" s="174">
        <f>IFERROR(DT_data[[#This Row],[Средневзвешенная цена]]/D407-1,"")</f>
        <v>-8.0449405602543989E-3</v>
      </c>
    </row>
    <row r="420" spans="1:6" x14ac:dyDescent="0.3">
      <c r="A420" s="164">
        <v>44896</v>
      </c>
      <c r="B420" t="s">
        <v>17</v>
      </c>
      <c r="C420">
        <v>5019</v>
      </c>
      <c r="D420" s="34">
        <v>272147.78095598659</v>
      </c>
      <c r="E420" s="174">
        <f>IFERROR(DT_data[[#This Row],[Объем предложения]]/C408-1,"")</f>
        <v>-5.8525604952166521E-2</v>
      </c>
      <c r="F420" s="174">
        <f>IFERROR(DT_data[[#This Row],[Средневзвешенная цена]]/D408-1,"")</f>
        <v>-8.9867788244272218E-3</v>
      </c>
    </row>
    <row r="421" spans="1:6" x14ac:dyDescent="0.3">
      <c r="A421" s="164">
        <v>44896</v>
      </c>
      <c r="B421" t="s">
        <v>175</v>
      </c>
      <c r="C421">
        <v>691</v>
      </c>
      <c r="D421" s="34">
        <v>204795.37573730879</v>
      </c>
      <c r="E421" s="174">
        <f>IFERROR(DT_data[[#This Row],[Объем предложения]]/C409-1,"")</f>
        <v>-6.4952638700947252E-2</v>
      </c>
      <c r="F421" s="174">
        <f>IFERROR(DT_data[[#This Row],[Средневзвешенная цена]]/D409-1,"")</f>
        <v>-7.2204975152723172E-4</v>
      </c>
    </row>
    <row r="422" spans="1:6" x14ac:dyDescent="0.3">
      <c r="A422" s="168">
        <v>44927</v>
      </c>
      <c r="B422" s="170" t="s">
        <v>7</v>
      </c>
      <c r="C422" s="171">
        <v>4868</v>
      </c>
      <c r="D422" s="202">
        <v>259332.9226559925</v>
      </c>
      <c r="E422" s="174">
        <f>IFERROR(DT_data[[#This Row],[Объем предложения]]/C410-1,"")</f>
        <v>-5.950540958268935E-2</v>
      </c>
      <c r="F422" s="174">
        <f>IFERROR(DT_data[[#This Row],[Средневзвешенная цена]]/D410-1,"")</f>
        <v>4.0076061188401013E-3</v>
      </c>
    </row>
    <row r="423" spans="1:6" x14ac:dyDescent="0.3">
      <c r="A423" s="164">
        <v>44927</v>
      </c>
      <c r="B423" t="s">
        <v>8</v>
      </c>
      <c r="C423">
        <v>5442</v>
      </c>
      <c r="D423" s="34">
        <v>326279.82855966821</v>
      </c>
      <c r="E423" s="174">
        <f>IFERROR(DT_data[[#This Row],[Объем предложения]]/C411-1,"")</f>
        <v>-4.2575650950035238E-2</v>
      </c>
      <c r="F423" s="174">
        <f>IFERROR(DT_data[[#This Row],[Средневзвешенная цена]]/D411-1,"")</f>
        <v>4.6548837839681667E-3</v>
      </c>
    </row>
    <row r="424" spans="1:6" x14ac:dyDescent="0.3">
      <c r="A424" s="164">
        <v>44927</v>
      </c>
      <c r="B424" t="s">
        <v>9</v>
      </c>
      <c r="C424">
        <v>1426</v>
      </c>
      <c r="D424" s="34">
        <v>214267.87892695851</v>
      </c>
      <c r="E424" s="174">
        <f>IFERROR(DT_data[[#This Row],[Объем предложения]]/C412-1,"")</f>
        <v>-1.6551724137931045E-2</v>
      </c>
      <c r="F424" s="174">
        <f>IFERROR(DT_data[[#This Row],[Средневзвешенная цена]]/D412-1,"")</f>
        <v>4.2931178611982368E-3</v>
      </c>
    </row>
    <row r="425" spans="1:6" x14ac:dyDescent="0.3">
      <c r="A425" s="164">
        <v>44927</v>
      </c>
      <c r="B425" t="s">
        <v>10</v>
      </c>
      <c r="C425">
        <v>5001</v>
      </c>
      <c r="D425" s="34">
        <v>296895.23621274339</v>
      </c>
      <c r="E425" s="174">
        <f>IFERROR(DT_data[[#This Row],[Объем предложения]]/C413-1,"")</f>
        <v>-2.2478498827208759E-2</v>
      </c>
      <c r="F425" s="174">
        <f>IFERROR(DT_data[[#This Row],[Средневзвешенная цена]]/D413-1,"")</f>
        <v>1.6156706667898035E-3</v>
      </c>
    </row>
    <row r="426" spans="1:6" x14ac:dyDescent="0.3">
      <c r="A426" s="164">
        <v>44927</v>
      </c>
      <c r="B426" t="s">
        <v>11</v>
      </c>
      <c r="C426">
        <v>4540</v>
      </c>
      <c r="D426" s="34">
        <v>275615.10457874852</v>
      </c>
      <c r="E426" s="174">
        <f>IFERROR(DT_data[[#This Row],[Объем предложения]]/C414-1,"")</f>
        <v>-3.9763113367174308E-2</v>
      </c>
      <c r="F426" s="174">
        <f>IFERROR(DT_data[[#This Row],[Средневзвешенная цена]]/D414-1,"")</f>
        <v>-8.1612192405156048E-4</v>
      </c>
    </row>
    <row r="427" spans="1:6" x14ac:dyDescent="0.3">
      <c r="A427" s="164">
        <v>44927</v>
      </c>
      <c r="B427" t="s">
        <v>12</v>
      </c>
      <c r="C427">
        <v>3060</v>
      </c>
      <c r="D427" s="34">
        <v>290651.04610973608</v>
      </c>
      <c r="E427" s="174">
        <f>IFERROR(DT_data[[#This Row],[Объем предложения]]/C415-1,"")</f>
        <v>-6.1637534498620083E-2</v>
      </c>
      <c r="F427" s="174">
        <f>IFERROR(DT_data[[#This Row],[Средневзвешенная цена]]/D415-1,"")</f>
        <v>4.6507197970360181E-3</v>
      </c>
    </row>
    <row r="428" spans="1:6" x14ac:dyDescent="0.3">
      <c r="A428" s="164">
        <v>44927</v>
      </c>
      <c r="B428" t="s">
        <v>13</v>
      </c>
      <c r="C428">
        <v>590</v>
      </c>
      <c r="D428" s="34">
        <v>166417.40270443531</v>
      </c>
      <c r="E428" s="174">
        <f>IFERROR(DT_data[[#This Row],[Объем предложения]]/C416-1,"")</f>
        <v>-6.6455696202531667E-2</v>
      </c>
      <c r="F428" s="174">
        <f>IFERROR(DT_data[[#This Row],[Средневзвешенная цена]]/D416-1,"")</f>
        <v>-2.7962821623565004E-3</v>
      </c>
    </row>
    <row r="429" spans="1:6" x14ac:dyDescent="0.3">
      <c r="A429" s="164">
        <v>44927</v>
      </c>
      <c r="B429" t="s">
        <v>14</v>
      </c>
      <c r="C429">
        <v>6012</v>
      </c>
      <c r="D429" s="34">
        <v>538747.59144121234</v>
      </c>
      <c r="E429" s="174">
        <f>IFERROR(DT_data[[#This Row],[Объем предложения]]/C417-1,"")</f>
        <v>-4.9636421119190643E-2</v>
      </c>
      <c r="F429" s="174">
        <f>IFERROR(DT_data[[#This Row],[Средневзвешенная цена]]/D417-1,"")</f>
        <v>3.560647517551363E-3</v>
      </c>
    </row>
    <row r="430" spans="1:6" x14ac:dyDescent="0.3">
      <c r="A430" s="164">
        <v>44927</v>
      </c>
      <c r="B430" t="s">
        <v>15</v>
      </c>
      <c r="C430">
        <v>4681</v>
      </c>
      <c r="D430" s="34">
        <v>252980.29083724669</v>
      </c>
      <c r="E430" s="174">
        <f>IFERROR(DT_data[[#This Row],[Объем предложения]]/C418-1,"")</f>
        <v>-4.4888798204448022E-2</v>
      </c>
      <c r="F430" s="174">
        <f>IFERROR(DT_data[[#This Row],[Средневзвешенная цена]]/D418-1,"")</f>
        <v>-1.2232101589775279E-3</v>
      </c>
    </row>
    <row r="431" spans="1:6" x14ac:dyDescent="0.3">
      <c r="A431" s="164">
        <v>44927</v>
      </c>
      <c r="B431" t="s">
        <v>16</v>
      </c>
      <c r="C431">
        <v>5119</v>
      </c>
      <c r="D431" s="34">
        <v>295773.71667826647</v>
      </c>
      <c r="E431" s="174">
        <f>IFERROR(DT_data[[#This Row],[Объем предложения]]/C419-1,"")</f>
        <v>-4.6741154562383591E-2</v>
      </c>
      <c r="F431" s="174">
        <f>IFERROR(DT_data[[#This Row],[Средневзвешенная цена]]/D419-1,"")</f>
        <v>-2.8856783859394497E-3</v>
      </c>
    </row>
    <row r="432" spans="1:6" x14ac:dyDescent="0.3">
      <c r="A432" s="164">
        <v>44927</v>
      </c>
      <c r="B432" t="s">
        <v>17</v>
      </c>
      <c r="C432">
        <v>4865</v>
      </c>
      <c r="D432" s="34">
        <v>271771.28308731172</v>
      </c>
      <c r="E432" s="174">
        <f>IFERROR(DT_data[[#This Row],[Объем предложения]]/C420-1,"")</f>
        <v>-3.0683403068340276E-2</v>
      </c>
      <c r="F432" s="174">
        <f>IFERROR(DT_data[[#This Row],[Средневзвешенная цена]]/D420-1,"")</f>
        <v>-1.3834317052019429E-3</v>
      </c>
    </row>
    <row r="433" spans="1:6" x14ac:dyDescent="0.3">
      <c r="A433" s="164">
        <v>44927</v>
      </c>
      <c r="B433" t="s">
        <v>175</v>
      </c>
      <c r="C433">
        <v>686</v>
      </c>
      <c r="D433" s="34">
        <v>206752.47721249229</v>
      </c>
      <c r="E433" s="174">
        <f>IFERROR(DT_data[[#This Row],[Объем предложения]]/C421-1,"")</f>
        <v>-7.2358900144717797E-3</v>
      </c>
      <c r="F433" s="174">
        <f>IFERROR(DT_data[[#This Row],[Средневзвешенная цена]]/D421-1,"")</f>
        <v>9.5563753240888172E-3</v>
      </c>
    </row>
    <row r="434" spans="1:6" x14ac:dyDescent="0.3">
      <c r="A434" s="168">
        <v>44958</v>
      </c>
      <c r="B434" s="170" t="s">
        <v>7</v>
      </c>
      <c r="C434" s="171">
        <v>5206</v>
      </c>
      <c r="D434" s="202">
        <v>259473.58519021151</v>
      </c>
      <c r="E434" s="174">
        <f>IFERROR(DT_data[[#This Row],[Объем предложения]]/C422-1,"")</f>
        <v>6.9433032046014809E-2</v>
      </c>
      <c r="F434" s="174">
        <f>IFERROR(DT_data[[#This Row],[Средневзвешенная цена]]/D422-1,"")</f>
        <v>5.4240137649474995E-4</v>
      </c>
    </row>
    <row r="435" spans="1:6" x14ac:dyDescent="0.3">
      <c r="A435" s="164">
        <v>44958</v>
      </c>
      <c r="B435" t="s">
        <v>8</v>
      </c>
      <c r="C435">
        <v>5638</v>
      </c>
      <c r="D435" s="34">
        <v>322496.14762979379</v>
      </c>
      <c r="E435" s="174">
        <f>IFERROR(DT_data[[#This Row],[Объем предложения]]/C423-1,"")</f>
        <v>3.6016170525542179E-2</v>
      </c>
      <c r="F435" s="174">
        <f>IFERROR(DT_data[[#This Row],[Средневзвешенная цена]]/D423-1,"")</f>
        <v>-1.1596429195691038E-2</v>
      </c>
    </row>
    <row r="436" spans="1:6" x14ac:dyDescent="0.3">
      <c r="A436" s="164">
        <v>44958</v>
      </c>
      <c r="B436" t="s">
        <v>9</v>
      </c>
      <c r="C436">
        <v>1521</v>
      </c>
      <c r="D436" s="34">
        <v>215088.57304761501</v>
      </c>
      <c r="E436" s="174">
        <f>IFERROR(DT_data[[#This Row],[Объем предложения]]/C424-1,"")</f>
        <v>6.6619915848527445E-2</v>
      </c>
      <c r="F436" s="174">
        <f>IFERROR(DT_data[[#This Row],[Средневзвешенная цена]]/D424-1,"")</f>
        <v>3.8302246924106775E-3</v>
      </c>
    </row>
    <row r="437" spans="1:6" x14ac:dyDescent="0.3">
      <c r="A437" s="164">
        <v>44958</v>
      </c>
      <c r="B437" t="s">
        <v>10</v>
      </c>
      <c r="C437">
        <v>5188</v>
      </c>
      <c r="D437" s="34">
        <v>297406.94574075512</v>
      </c>
      <c r="E437" s="174">
        <f>IFERROR(DT_data[[#This Row],[Объем предложения]]/C425-1,"")</f>
        <v>3.7392521495700937E-2</v>
      </c>
      <c r="F437" s="174">
        <f>IFERROR(DT_data[[#This Row],[Средневзвешенная цена]]/D425-1,"")</f>
        <v>1.7235356637552712E-3</v>
      </c>
    </row>
    <row r="438" spans="1:6" x14ac:dyDescent="0.3">
      <c r="A438" s="164">
        <v>44958</v>
      </c>
      <c r="B438" t="s">
        <v>11</v>
      </c>
      <c r="C438">
        <v>4691</v>
      </c>
      <c r="D438" s="34">
        <v>276820.27551149769</v>
      </c>
      <c r="E438" s="174">
        <f>IFERROR(DT_data[[#This Row],[Объем предложения]]/C426-1,"")</f>
        <v>3.3259911894273131E-2</v>
      </c>
      <c r="F438" s="174">
        <f>IFERROR(DT_data[[#This Row],[Средневзвешенная цена]]/D426-1,"")</f>
        <v>4.3726592364781158E-3</v>
      </c>
    </row>
    <row r="439" spans="1:6" x14ac:dyDescent="0.3">
      <c r="A439" s="164">
        <v>44958</v>
      </c>
      <c r="B439" t="s">
        <v>12</v>
      </c>
      <c r="C439">
        <v>3207</v>
      </c>
      <c r="D439" s="34">
        <v>289313.35217759508</v>
      </c>
      <c r="E439" s="174">
        <f>IFERROR(DT_data[[#This Row],[Объем предложения]]/C427-1,"")</f>
        <v>4.8039215686274561E-2</v>
      </c>
      <c r="F439" s="174">
        <f>IFERROR(DT_data[[#This Row],[Средневзвешенная цена]]/D427-1,"")</f>
        <v>-4.6024053587474523E-3</v>
      </c>
    </row>
    <row r="440" spans="1:6" x14ac:dyDescent="0.3">
      <c r="A440" s="164">
        <v>44958</v>
      </c>
      <c r="B440" t="s">
        <v>13</v>
      </c>
      <c r="C440">
        <v>639</v>
      </c>
      <c r="D440" s="34">
        <v>167266.13257967349</v>
      </c>
      <c r="E440" s="174">
        <f>IFERROR(DT_data[[#This Row],[Объем предложения]]/C428-1,"")</f>
        <v>8.3050847457627031E-2</v>
      </c>
      <c r="F440" s="174">
        <f>IFERROR(DT_data[[#This Row],[Средневзвешенная цена]]/D428-1,"")</f>
        <v>5.1000067387516612E-3</v>
      </c>
    </row>
    <row r="441" spans="1:6" x14ac:dyDescent="0.3">
      <c r="A441" s="164">
        <v>44958</v>
      </c>
      <c r="B441" t="s">
        <v>14</v>
      </c>
      <c r="C441">
        <v>6277</v>
      </c>
      <c r="D441" s="34">
        <v>536305.76087202888</v>
      </c>
      <c r="E441" s="174">
        <f>IFERROR(DT_data[[#This Row],[Объем предложения]]/C429-1,"")</f>
        <v>4.4078509647371922E-2</v>
      </c>
      <c r="F441" s="174">
        <f>IFERROR(DT_data[[#This Row],[Средневзвешенная цена]]/D429-1,"")</f>
        <v>-4.5324203912471273E-3</v>
      </c>
    </row>
    <row r="442" spans="1:6" x14ac:dyDescent="0.3">
      <c r="A442" s="164">
        <v>44958</v>
      </c>
      <c r="B442" t="s">
        <v>15</v>
      </c>
      <c r="C442">
        <v>5084</v>
      </c>
      <c r="D442" s="34">
        <v>252497.7358589184</v>
      </c>
      <c r="E442" s="174">
        <f>IFERROR(DT_data[[#This Row],[Объем предложения]]/C430-1,"")</f>
        <v>8.6092715231788075E-2</v>
      </c>
      <c r="F442" s="174">
        <f>IFERROR(DT_data[[#This Row],[Средневзвешенная цена]]/D430-1,"")</f>
        <v>-1.9074805263732397E-3</v>
      </c>
    </row>
    <row r="443" spans="1:6" x14ac:dyDescent="0.3">
      <c r="A443" s="164">
        <v>44958</v>
      </c>
      <c r="B443" t="s">
        <v>16</v>
      </c>
      <c r="C443">
        <v>5405</v>
      </c>
      <c r="D443" s="34">
        <v>294978.52411132469</v>
      </c>
      <c r="E443" s="174">
        <f>IFERROR(DT_data[[#This Row],[Объем предложения]]/C431-1,"")</f>
        <v>5.587028716546194E-2</v>
      </c>
      <c r="F443" s="174">
        <f>IFERROR(DT_data[[#This Row],[Средневзвешенная цена]]/D431-1,"")</f>
        <v>-2.6885166669720073E-3</v>
      </c>
    </row>
    <row r="444" spans="1:6" x14ac:dyDescent="0.3">
      <c r="A444" s="164">
        <v>44958</v>
      </c>
      <c r="B444" t="s">
        <v>17</v>
      </c>
      <c r="C444">
        <v>5112</v>
      </c>
      <c r="D444" s="34">
        <v>271944.71502837329</v>
      </c>
      <c r="E444" s="174">
        <f>IFERROR(DT_data[[#This Row],[Объем предложения]]/C432-1,"")</f>
        <v>5.0770811921891035E-2</v>
      </c>
      <c r="F444" s="174">
        <f>IFERROR(DT_data[[#This Row],[Средневзвешенная цена]]/D432-1,"")</f>
        <v>6.3815403559708272E-4</v>
      </c>
    </row>
    <row r="445" spans="1:6" x14ac:dyDescent="0.3">
      <c r="A445" s="164">
        <v>44958</v>
      </c>
      <c r="B445" t="s">
        <v>175</v>
      </c>
      <c r="C445">
        <v>737</v>
      </c>
      <c r="D445" s="34">
        <v>207768.78421852109</v>
      </c>
      <c r="E445" s="174">
        <f>IFERROR(DT_data[[#This Row],[Объем предложения]]/C433-1,"")</f>
        <v>7.4344023323615227E-2</v>
      </c>
      <c r="F445" s="174">
        <f>IFERROR(DT_data[[#This Row],[Средневзвешенная цена]]/D433-1,"")</f>
        <v>4.9155735386148258E-3</v>
      </c>
    </row>
    <row r="446" spans="1:6" x14ac:dyDescent="0.3">
      <c r="A446" s="168">
        <v>44986</v>
      </c>
      <c r="B446" s="170" t="s">
        <v>7</v>
      </c>
      <c r="C446" s="171">
        <v>5434</v>
      </c>
      <c r="D446" s="202">
        <v>259217.51369044819</v>
      </c>
      <c r="E446" s="174">
        <f>IFERROR(DT_data[[#This Row],[Объем предложения]]/C434-1,"")</f>
        <v>4.3795620437956151E-2</v>
      </c>
      <c r="F446" s="174">
        <f>IFERROR(DT_data[[#This Row],[Средневзвешенная цена]]/D434-1,"")</f>
        <v>-9.8688850957839858E-4</v>
      </c>
    </row>
    <row r="447" spans="1:6" x14ac:dyDescent="0.3">
      <c r="A447" s="164">
        <v>44986</v>
      </c>
      <c r="B447" t="s">
        <v>8</v>
      </c>
      <c r="C447">
        <v>5901</v>
      </c>
      <c r="D447" s="34">
        <v>325831.62776930293</v>
      </c>
      <c r="E447" s="174">
        <f>IFERROR(DT_data[[#This Row],[Объем предложения]]/C435-1,"")</f>
        <v>4.6647747428165909E-2</v>
      </c>
      <c r="F447" s="174">
        <f>IFERROR(DT_data[[#This Row],[Средневзвешенная цена]]/D435-1,"")</f>
        <v>1.0342697622974573E-2</v>
      </c>
    </row>
    <row r="448" spans="1:6" x14ac:dyDescent="0.3">
      <c r="A448" s="164">
        <v>44986</v>
      </c>
      <c r="B448" t="s">
        <v>9</v>
      </c>
      <c r="C448">
        <v>1674</v>
      </c>
      <c r="D448" s="34">
        <v>216997.25024225019</v>
      </c>
      <c r="E448" s="174">
        <f>IFERROR(DT_data[[#This Row],[Объем предложения]]/C436-1,"")</f>
        <v>0.10059171597633143</v>
      </c>
      <c r="F448" s="174">
        <f>IFERROR(DT_data[[#This Row],[Средневзвешенная цена]]/D436-1,"")</f>
        <v>8.8739125821093445E-3</v>
      </c>
    </row>
    <row r="449" spans="1:6" x14ac:dyDescent="0.3">
      <c r="A449" s="164">
        <v>44986</v>
      </c>
      <c r="B449" t="s">
        <v>10</v>
      </c>
      <c r="C449">
        <v>5408</v>
      </c>
      <c r="D449" s="34">
        <v>298460.60393010598</v>
      </c>
      <c r="E449" s="174">
        <f>IFERROR(DT_data[[#This Row],[Объем предложения]]/C437-1,"")</f>
        <v>4.2405551272166608E-2</v>
      </c>
      <c r="F449" s="174">
        <f>IFERROR(DT_data[[#This Row],[Средневзвешенная цена]]/D437-1,"")</f>
        <v>3.5428163479049868E-3</v>
      </c>
    </row>
    <row r="450" spans="1:6" x14ac:dyDescent="0.3">
      <c r="A450" s="164">
        <v>44986</v>
      </c>
      <c r="B450" t="s">
        <v>11</v>
      </c>
      <c r="C450">
        <v>5008</v>
      </c>
      <c r="D450" s="34">
        <v>277437.93456249143</v>
      </c>
      <c r="E450" s="174">
        <f>IFERROR(DT_data[[#This Row],[Объем предложения]]/C438-1,"")</f>
        <v>6.7576209763376749E-2</v>
      </c>
      <c r="F450" s="174">
        <f>IFERROR(DT_data[[#This Row],[Средневзвешенная цена]]/D438-1,"")</f>
        <v>2.2312637679897662E-3</v>
      </c>
    </row>
    <row r="451" spans="1:6" x14ac:dyDescent="0.3">
      <c r="A451" s="164">
        <v>44986</v>
      </c>
      <c r="B451" t="s">
        <v>12</v>
      </c>
      <c r="C451">
        <v>3337</v>
      </c>
      <c r="D451" s="34">
        <v>291927.00474655448</v>
      </c>
      <c r="E451" s="174">
        <f>IFERROR(DT_data[[#This Row],[Объем предложения]]/C439-1,"")</f>
        <v>4.0536326785157506E-2</v>
      </c>
      <c r="F451" s="174">
        <f>IFERROR(DT_data[[#This Row],[Средневзвешенная цена]]/D439-1,"")</f>
        <v>9.0339852941008214E-3</v>
      </c>
    </row>
    <row r="452" spans="1:6" x14ac:dyDescent="0.3">
      <c r="A452" s="164">
        <v>44986</v>
      </c>
      <c r="B452" t="s">
        <v>13</v>
      </c>
      <c r="C452">
        <v>677</v>
      </c>
      <c r="D452" s="34">
        <v>167153.23560872281</v>
      </c>
      <c r="E452" s="174">
        <f>IFERROR(DT_data[[#This Row],[Объем предложения]]/C440-1,"")</f>
        <v>5.946791862284817E-2</v>
      </c>
      <c r="F452" s="174">
        <f>IFERROR(DT_data[[#This Row],[Средневзвешенная цена]]/D440-1,"")</f>
        <v>-6.7495415365625977E-4</v>
      </c>
    </row>
    <row r="453" spans="1:6" x14ac:dyDescent="0.3">
      <c r="A453" s="164">
        <v>44986</v>
      </c>
      <c r="B453" t="s">
        <v>14</v>
      </c>
      <c r="C453">
        <v>6617</v>
      </c>
      <c r="D453" s="34">
        <v>536010.63663105911</v>
      </c>
      <c r="E453" s="174">
        <f>IFERROR(DT_data[[#This Row],[Объем предложения]]/C441-1,"")</f>
        <v>5.4166002867611862E-2</v>
      </c>
      <c r="F453" s="174">
        <f>IFERROR(DT_data[[#This Row],[Средневзвешенная цена]]/D441-1,"")</f>
        <v>-5.5029101401016245E-4</v>
      </c>
    </row>
    <row r="454" spans="1:6" x14ac:dyDescent="0.3">
      <c r="A454" s="164">
        <v>44986</v>
      </c>
      <c r="B454" t="s">
        <v>15</v>
      </c>
      <c r="C454">
        <v>5343</v>
      </c>
      <c r="D454" s="34">
        <v>251723.6431670411</v>
      </c>
      <c r="E454" s="174">
        <f>IFERROR(DT_data[[#This Row],[Объем предложения]]/C442-1,"")</f>
        <v>5.0944138473642875E-2</v>
      </c>
      <c r="F454" s="174">
        <f>IFERROR(DT_data[[#This Row],[Средневзвешенная цена]]/D442-1,"")</f>
        <v>-3.0657411213771413E-3</v>
      </c>
    </row>
    <row r="455" spans="1:6" x14ac:dyDescent="0.3">
      <c r="A455" s="164">
        <v>44986</v>
      </c>
      <c r="B455" t="s">
        <v>16</v>
      </c>
      <c r="C455">
        <v>5717</v>
      </c>
      <c r="D455" s="34">
        <v>293915.58188242093</v>
      </c>
      <c r="E455" s="174">
        <f>IFERROR(DT_data[[#This Row],[Объем предложения]]/C443-1,"")</f>
        <v>5.7724329324699397E-2</v>
      </c>
      <c r="F455" s="174">
        <f>IFERROR(DT_data[[#This Row],[Средневзвешенная цена]]/D443-1,"")</f>
        <v>-3.6034563265446851E-3</v>
      </c>
    </row>
    <row r="456" spans="1:6" x14ac:dyDescent="0.3">
      <c r="A456" s="164">
        <v>44986</v>
      </c>
      <c r="B456" t="s">
        <v>17</v>
      </c>
      <c r="C456">
        <v>5483</v>
      </c>
      <c r="D456" s="34">
        <v>271339.62750437472</v>
      </c>
      <c r="E456" s="174">
        <f>IFERROR(DT_data[[#This Row],[Объем предложения]]/C444-1,"")</f>
        <v>7.2574334898278581E-2</v>
      </c>
      <c r="F456" s="174">
        <f>IFERROR(DT_data[[#This Row],[Средневзвешенная цена]]/D444-1,"")</f>
        <v>-2.2250387323594634E-3</v>
      </c>
    </row>
    <row r="457" spans="1:6" x14ac:dyDescent="0.3">
      <c r="A457" s="164">
        <v>44986</v>
      </c>
      <c r="B457" t="s">
        <v>175</v>
      </c>
      <c r="C457">
        <v>755</v>
      </c>
      <c r="D457" s="34">
        <v>207448.00638234589</v>
      </c>
      <c r="E457" s="174">
        <f>IFERROR(DT_data[[#This Row],[Объем предложения]]/C445-1,"")</f>
        <v>2.4423337856173788E-2</v>
      </c>
      <c r="F457" s="174">
        <f>IFERROR(DT_data[[#This Row],[Средневзвешенная цена]]/D445-1,"")</f>
        <v>-1.5439173761435665E-3</v>
      </c>
    </row>
    <row r="458" spans="1:6" x14ac:dyDescent="0.3">
      <c r="A458" s="168">
        <v>45017</v>
      </c>
      <c r="B458" s="170" t="s">
        <v>7</v>
      </c>
      <c r="C458" s="171">
        <v>5111</v>
      </c>
      <c r="D458" s="202">
        <v>260149.9673409111</v>
      </c>
      <c r="E458" s="174">
        <f>IFERROR(DT_data[[#This Row],[Объем предложения]]/C446-1,"")</f>
        <v>-5.9440559440559482E-2</v>
      </c>
      <c r="F458" s="174">
        <f>IFERROR(DT_data[[#This Row],[Средневзвешенная цена]]/D446-1,"")</f>
        <v>3.5971861514589865E-3</v>
      </c>
    </row>
    <row r="459" spans="1:6" x14ac:dyDescent="0.3">
      <c r="A459" s="164">
        <v>45017</v>
      </c>
      <c r="B459" t="s">
        <v>8</v>
      </c>
      <c r="C459">
        <v>5624</v>
      </c>
      <c r="D459" s="34">
        <v>326518.58120994607</v>
      </c>
      <c r="E459" s="174">
        <f>IFERROR(DT_data[[#This Row],[Объем предложения]]/C447-1,"")</f>
        <v>-4.6941196407388586E-2</v>
      </c>
      <c r="F459" s="174">
        <f>IFERROR(DT_data[[#This Row],[Средневзвешенная цена]]/D447-1,"")</f>
        <v>2.1083080404016297E-3</v>
      </c>
    </row>
    <row r="460" spans="1:6" x14ac:dyDescent="0.3">
      <c r="A460" s="164">
        <v>45017</v>
      </c>
      <c r="B460" t="s">
        <v>9</v>
      </c>
      <c r="C460">
        <v>1776</v>
      </c>
      <c r="D460" s="34">
        <v>216056.46931929531</v>
      </c>
      <c r="E460" s="174">
        <f>IFERROR(DT_data[[#This Row],[Объем предложения]]/C448-1,"")</f>
        <v>6.0931899641577081E-2</v>
      </c>
      <c r="F460" s="174">
        <f>IFERROR(DT_data[[#This Row],[Средневзвешенная цена]]/D448-1,"")</f>
        <v>-4.3354508958275417E-3</v>
      </c>
    </row>
    <row r="461" spans="1:6" x14ac:dyDescent="0.3">
      <c r="A461" s="164">
        <v>45017</v>
      </c>
      <c r="B461" t="s">
        <v>10</v>
      </c>
      <c r="C461">
        <v>5135</v>
      </c>
      <c r="D461" s="34">
        <v>299938.94214565807</v>
      </c>
      <c r="E461" s="174">
        <f>IFERROR(DT_data[[#This Row],[Объем предложения]]/C449-1,"")</f>
        <v>-5.0480769230769273E-2</v>
      </c>
      <c r="F461" s="174">
        <f>IFERROR(DT_data[[#This Row],[Средневзвешенная цена]]/D449-1,"")</f>
        <v>4.9532105614122912E-3</v>
      </c>
    </row>
    <row r="462" spans="1:6" x14ac:dyDescent="0.3">
      <c r="A462" s="164">
        <v>45017</v>
      </c>
      <c r="B462" t="s">
        <v>11</v>
      </c>
      <c r="C462">
        <v>4709</v>
      </c>
      <c r="D462" s="34">
        <v>277858.91699838708</v>
      </c>
      <c r="E462" s="174">
        <f>IFERROR(DT_data[[#This Row],[Объем предложения]]/C450-1,"")</f>
        <v>-5.9704472843450485E-2</v>
      </c>
      <c r="F462" s="174">
        <f>IFERROR(DT_data[[#This Row],[Средневзвешенная цена]]/D450-1,"")</f>
        <v>1.5173932020491332E-3</v>
      </c>
    </row>
    <row r="463" spans="1:6" x14ac:dyDescent="0.3">
      <c r="A463" s="164">
        <v>45017</v>
      </c>
      <c r="B463" t="s">
        <v>12</v>
      </c>
      <c r="C463">
        <v>3148</v>
      </c>
      <c r="D463" s="34">
        <v>294542.43336894322</v>
      </c>
      <c r="E463" s="174">
        <f>IFERROR(DT_data[[#This Row],[Объем предложения]]/C451-1,"")</f>
        <v>-5.6637698531615266E-2</v>
      </c>
      <c r="F463" s="174">
        <f>IFERROR(DT_data[[#This Row],[Средневзвешенная цена]]/D451-1,"")</f>
        <v>8.9591869880603081E-3</v>
      </c>
    </row>
    <row r="464" spans="1:6" x14ac:dyDescent="0.3">
      <c r="A464" s="164">
        <v>45017</v>
      </c>
      <c r="B464" t="s">
        <v>13</v>
      </c>
      <c r="C464">
        <v>632</v>
      </c>
      <c r="D464" s="34">
        <v>169292.30333286771</v>
      </c>
      <c r="E464" s="174">
        <f>IFERROR(DT_data[[#This Row],[Объем предложения]]/C452-1,"")</f>
        <v>-6.6469719350073841E-2</v>
      </c>
      <c r="F464" s="174">
        <f>IFERROR(DT_data[[#This Row],[Средневзвешенная цена]]/D452-1,"")</f>
        <v>1.2797046472687423E-2</v>
      </c>
    </row>
    <row r="465" spans="1:6" x14ac:dyDescent="0.3">
      <c r="A465" s="164">
        <v>45017</v>
      </c>
      <c r="B465" t="s">
        <v>14</v>
      </c>
      <c r="C465">
        <v>6266</v>
      </c>
      <c r="D465" s="34">
        <v>543077.44689871592</v>
      </c>
      <c r="E465" s="174">
        <f>IFERROR(DT_data[[#This Row],[Объем предложения]]/C453-1,"")</f>
        <v>-5.3045186640471531E-2</v>
      </c>
      <c r="F465" s="174">
        <f>IFERROR(DT_data[[#This Row],[Средневзвешенная цена]]/D453-1,"")</f>
        <v>1.3184085883207963E-2</v>
      </c>
    </row>
    <row r="466" spans="1:6" x14ac:dyDescent="0.3">
      <c r="A466" s="164">
        <v>45017</v>
      </c>
      <c r="B466" t="s">
        <v>15</v>
      </c>
      <c r="C466">
        <v>5061</v>
      </c>
      <c r="D466" s="34">
        <v>253205.29192346189</v>
      </c>
      <c r="E466" s="174">
        <f>IFERROR(DT_data[[#This Row],[Объем предложения]]/C454-1,"")</f>
        <v>-5.2779337450870267E-2</v>
      </c>
      <c r="F466" s="174">
        <f>IFERROR(DT_data[[#This Row],[Средневзвешенная цена]]/D454-1,"")</f>
        <v>5.8860134780329698E-3</v>
      </c>
    </row>
    <row r="467" spans="1:6" x14ac:dyDescent="0.3">
      <c r="A467" s="164">
        <v>45017</v>
      </c>
      <c r="B467" t="s">
        <v>16</v>
      </c>
      <c r="C467">
        <v>5388</v>
      </c>
      <c r="D467" s="34">
        <v>295572.76397545612</v>
      </c>
      <c r="E467" s="174">
        <f>IFERROR(DT_data[[#This Row],[Объем предложения]]/C455-1,"")</f>
        <v>-5.7547664859191938E-2</v>
      </c>
      <c r="F467" s="174">
        <f>IFERROR(DT_data[[#This Row],[Средневзвешенная цена]]/D455-1,"")</f>
        <v>5.6382927452214293E-3</v>
      </c>
    </row>
    <row r="468" spans="1:6" x14ac:dyDescent="0.3">
      <c r="A468" s="164">
        <v>45017</v>
      </c>
      <c r="B468" t="s">
        <v>17</v>
      </c>
      <c r="C468">
        <v>5270</v>
      </c>
      <c r="D468" s="34">
        <v>271537.54008447792</v>
      </c>
      <c r="E468" s="174">
        <f>IFERROR(DT_data[[#This Row],[Объем предложения]]/C456-1,"")</f>
        <v>-3.8847346343242717E-2</v>
      </c>
      <c r="F468" s="174">
        <f>IFERROR(DT_data[[#This Row],[Средневзвешенная цена]]/D456-1,"")</f>
        <v>7.2939062356458528E-4</v>
      </c>
    </row>
    <row r="469" spans="1:6" x14ac:dyDescent="0.3">
      <c r="A469" s="164">
        <v>45017</v>
      </c>
      <c r="B469" t="s">
        <v>175</v>
      </c>
      <c r="C469">
        <v>697</v>
      </c>
      <c r="D469" s="34">
        <v>207419.9378333916</v>
      </c>
      <c r="E469" s="174">
        <f>IFERROR(DT_data[[#This Row],[Объем предложения]]/C457-1,"")</f>
        <v>-7.6821192052980103E-2</v>
      </c>
      <c r="F469" s="174">
        <f>IFERROR(DT_data[[#This Row],[Средневзвешенная цена]]/D457-1,"")</f>
        <v>-1.3530401879380261E-4</v>
      </c>
    </row>
    <row r="470" spans="1:6" x14ac:dyDescent="0.3">
      <c r="A470" s="164">
        <v>45047</v>
      </c>
      <c r="B470" s="170" t="s">
        <v>7</v>
      </c>
      <c r="C470">
        <v>4977</v>
      </c>
      <c r="D470" s="34">
        <v>262704.28325107589</v>
      </c>
      <c r="E470" s="174">
        <f>IFERROR(DT_data[[#This Row],[Объем предложения]]/C458-1,"")</f>
        <v>-2.62179612600274E-2</v>
      </c>
      <c r="F470" s="174">
        <f>IFERROR(DT_data[[#This Row],[Средневзвешенная цена]]/D458-1,"")</f>
        <v>9.8186286020844893E-3</v>
      </c>
    </row>
    <row r="471" spans="1:6" x14ac:dyDescent="0.3">
      <c r="A471" s="164">
        <v>45047</v>
      </c>
      <c r="B471" t="s">
        <v>8</v>
      </c>
      <c r="C471">
        <v>5481</v>
      </c>
      <c r="D471" s="34">
        <v>327429.4116643655</v>
      </c>
      <c r="E471" s="174">
        <f>IFERROR(DT_data[[#This Row],[Объем предложения]]/C459-1,"")</f>
        <v>-2.5426742532005719E-2</v>
      </c>
      <c r="F471" s="174">
        <f>IFERROR(DT_data[[#This Row],[Средневзвешенная цена]]/D459-1,"")</f>
        <v>2.789521046686616E-3</v>
      </c>
    </row>
    <row r="472" spans="1:6" x14ac:dyDescent="0.3">
      <c r="A472" s="164">
        <v>45047</v>
      </c>
      <c r="B472" t="s">
        <v>9</v>
      </c>
      <c r="C472">
        <v>1781</v>
      </c>
      <c r="D472" s="34">
        <v>213370.62512897881</v>
      </c>
      <c r="E472" s="174">
        <f>IFERROR(DT_data[[#This Row],[Объем предложения]]/C460-1,"")</f>
        <v>2.8153153153154253E-3</v>
      </c>
      <c r="F472" s="174">
        <f>IFERROR(DT_data[[#This Row],[Средневзвешенная цена]]/D460-1,"")</f>
        <v>-1.2431213926518803E-2</v>
      </c>
    </row>
    <row r="473" spans="1:6" x14ac:dyDescent="0.3">
      <c r="A473" s="164">
        <v>45047</v>
      </c>
      <c r="B473" t="s">
        <v>10</v>
      </c>
      <c r="C473">
        <v>4966</v>
      </c>
      <c r="D473" s="34">
        <v>300379.37446483312</v>
      </c>
      <c r="E473" s="174">
        <f>IFERROR(DT_data[[#This Row],[Объем предложения]]/C461-1,"")</f>
        <v>-3.2911392405063244E-2</v>
      </c>
      <c r="F473" s="174">
        <f>IFERROR(DT_data[[#This Row],[Средневзвешенная цена]]/D461-1,"")</f>
        <v>1.4684065897689891E-3</v>
      </c>
    </row>
    <row r="474" spans="1:6" x14ac:dyDescent="0.3">
      <c r="A474" s="164">
        <v>45047</v>
      </c>
      <c r="B474" t="s">
        <v>11</v>
      </c>
      <c r="C474">
        <v>4642</v>
      </c>
      <c r="D474" s="34">
        <v>279150.40118053567</v>
      </c>
      <c r="E474" s="174">
        <f>IFERROR(DT_data[[#This Row],[Объем предложения]]/C462-1,"")</f>
        <v>-1.4228073901040528E-2</v>
      </c>
      <c r="F474" s="174">
        <f>IFERROR(DT_data[[#This Row],[Средневзвешенная цена]]/D462-1,"")</f>
        <v>4.6479853736567378E-3</v>
      </c>
    </row>
    <row r="475" spans="1:6" x14ac:dyDescent="0.3">
      <c r="A475" s="164">
        <v>45047</v>
      </c>
      <c r="B475" t="s">
        <v>12</v>
      </c>
      <c r="C475">
        <v>2995</v>
      </c>
      <c r="D475" s="34">
        <v>297107.98577907193</v>
      </c>
      <c r="E475" s="174">
        <f>IFERROR(DT_data[[#This Row],[Объем предложения]]/C463-1,"")</f>
        <v>-4.8602287166454872E-2</v>
      </c>
      <c r="F475" s="174">
        <f>IFERROR(DT_data[[#This Row],[Средневзвешенная цена]]/D463-1,"")</f>
        <v>8.7102981420510428E-3</v>
      </c>
    </row>
    <row r="476" spans="1:6" x14ac:dyDescent="0.3">
      <c r="A476" s="164">
        <v>45047</v>
      </c>
      <c r="B476" t="s">
        <v>13</v>
      </c>
      <c r="C476">
        <v>641</v>
      </c>
      <c r="D476" s="34">
        <v>169224.4777980012</v>
      </c>
      <c r="E476" s="174">
        <f>IFERROR(DT_data[[#This Row],[Объем предложения]]/C464-1,"")</f>
        <v>1.4240506329114E-2</v>
      </c>
      <c r="F476" s="174">
        <f>IFERROR(DT_data[[#This Row],[Средневзвешенная цена]]/D464-1,"")</f>
        <v>-4.0064157395947042E-4</v>
      </c>
    </row>
    <row r="477" spans="1:6" x14ac:dyDescent="0.3">
      <c r="A477" s="164">
        <v>45047</v>
      </c>
      <c r="B477" t="s">
        <v>14</v>
      </c>
      <c r="C477">
        <v>6052</v>
      </c>
      <c r="D477" s="34">
        <v>544627.00601036567</v>
      </c>
      <c r="E477" s="174">
        <f>IFERROR(DT_data[[#This Row],[Объем предложения]]/C465-1,"")</f>
        <v>-3.4152569422278956E-2</v>
      </c>
      <c r="F477" s="174">
        <f>IFERROR(DT_data[[#This Row],[Средневзвешенная цена]]/D465-1,"")</f>
        <v>2.8532930625246866E-3</v>
      </c>
    </row>
    <row r="478" spans="1:6" x14ac:dyDescent="0.3">
      <c r="A478" s="164">
        <v>45047</v>
      </c>
      <c r="B478" t="s">
        <v>15</v>
      </c>
      <c r="C478">
        <v>5004</v>
      </c>
      <c r="D478" s="34">
        <v>255249.24178488849</v>
      </c>
      <c r="E478" s="174">
        <f>IFERROR(DT_data[[#This Row],[Объем предложения]]/C466-1,"")</f>
        <v>-1.1262596324836949E-2</v>
      </c>
      <c r="F478" s="174">
        <f>IFERROR(DT_data[[#This Row],[Средневзвешенная цена]]/D466-1,"")</f>
        <v>8.0723030940619278E-3</v>
      </c>
    </row>
    <row r="479" spans="1:6" x14ac:dyDescent="0.3">
      <c r="A479" s="164">
        <v>45047</v>
      </c>
      <c r="B479" t="s">
        <v>16</v>
      </c>
      <c r="C479">
        <v>5285</v>
      </c>
      <c r="D479" s="34">
        <v>296021.71554492629</v>
      </c>
      <c r="E479" s="174">
        <f>IFERROR(DT_data[[#This Row],[Объем предложения]]/C467-1,"")</f>
        <v>-1.9116555308092087E-2</v>
      </c>
      <c r="F479" s="174">
        <f>IFERROR(DT_data[[#This Row],[Средневзвешенная цена]]/D467-1,"")</f>
        <v>1.5189206320358473E-3</v>
      </c>
    </row>
    <row r="480" spans="1:6" x14ac:dyDescent="0.3">
      <c r="A480" s="164">
        <v>45047</v>
      </c>
      <c r="B480" t="s">
        <v>17</v>
      </c>
      <c r="C480">
        <v>5150</v>
      </c>
      <c r="D480" s="34">
        <v>271854.90477099549</v>
      </c>
      <c r="E480" s="174">
        <f>IFERROR(DT_data[[#This Row],[Объем предложения]]/C468-1,"")</f>
        <v>-2.2770398481973486E-2</v>
      </c>
      <c r="F480" s="174">
        <f>IFERROR(DT_data[[#This Row],[Средневзвешенная цена]]/D468-1,"")</f>
        <v>1.1687691006512235E-3</v>
      </c>
    </row>
    <row r="481" spans="1:6" x14ac:dyDescent="0.3">
      <c r="A481" s="164">
        <v>45047</v>
      </c>
      <c r="B481" t="s">
        <v>175</v>
      </c>
      <c r="C481">
        <v>686</v>
      </c>
      <c r="D481" s="34">
        <v>208176.0339897844</v>
      </c>
      <c r="E481" s="174">
        <f>IFERROR(DT_data[[#This Row],[Объем предложения]]/C469-1,"")</f>
        <v>-1.5781922525107572E-2</v>
      </c>
      <c r="F481" s="174">
        <f>IFERROR(DT_data[[#This Row],[Средневзвешенная цена]]/D469-1,"")</f>
        <v>3.6452433854268218E-3</v>
      </c>
    </row>
    <row r="482" spans="1:6" x14ac:dyDescent="0.3">
      <c r="A482" s="164">
        <v>45078</v>
      </c>
      <c r="B482" s="170" t="s">
        <v>7</v>
      </c>
      <c r="C482">
        <v>4803</v>
      </c>
      <c r="D482" s="34">
        <v>265501.56664034212</v>
      </c>
      <c r="E482" s="174">
        <f>IFERROR(DT_data[[#This Row],[Объем предложения]]/C470-1,"")</f>
        <v>-3.4960819770946339E-2</v>
      </c>
      <c r="F482" s="174">
        <f>IFERROR(DT_data[[#This Row],[Средневзвешенная цена]]/D470-1,"")</f>
        <v>1.0648031142274084E-2</v>
      </c>
    </row>
    <row r="483" spans="1:6" x14ac:dyDescent="0.3">
      <c r="A483" s="164">
        <v>45078</v>
      </c>
      <c r="B483" t="s">
        <v>8</v>
      </c>
      <c r="C483">
        <v>5316</v>
      </c>
      <c r="D483" s="34">
        <v>328390.28514200193</v>
      </c>
      <c r="E483" s="174">
        <f>IFERROR(DT_data[[#This Row],[Объем предложения]]/C471-1,"")</f>
        <v>-3.0103995621237001E-2</v>
      </c>
      <c r="F483" s="174">
        <f>IFERROR(DT_data[[#This Row],[Средневзвешенная цена]]/D471-1,"")</f>
        <v>2.9345973312300266E-3</v>
      </c>
    </row>
    <row r="484" spans="1:6" x14ac:dyDescent="0.3">
      <c r="A484" s="164">
        <v>45078</v>
      </c>
      <c r="B484" t="s">
        <v>9</v>
      </c>
      <c r="C484">
        <v>1846</v>
      </c>
      <c r="D484" s="34">
        <v>214974.22752841661</v>
      </c>
      <c r="E484" s="174">
        <f>IFERROR(DT_data[[#This Row],[Объем предложения]]/C472-1,"")</f>
        <v>3.649635036496357E-2</v>
      </c>
      <c r="F484" s="174">
        <f>IFERROR(DT_data[[#This Row],[Средневзвешенная цена]]/D472-1,"")</f>
        <v>7.5155724855211492E-3</v>
      </c>
    </row>
    <row r="485" spans="1:6" x14ac:dyDescent="0.3">
      <c r="A485" s="164">
        <v>45078</v>
      </c>
      <c r="B485" t="s">
        <v>10</v>
      </c>
      <c r="C485">
        <v>4837</v>
      </c>
      <c r="D485" s="34">
        <v>303225.98987913458</v>
      </c>
      <c r="E485" s="174">
        <f>IFERROR(DT_data[[#This Row],[Объем предложения]]/C473-1,"")</f>
        <v>-2.5976641159887182E-2</v>
      </c>
      <c r="F485" s="174">
        <f>IFERROR(DT_data[[#This Row],[Средневзвешенная цена]]/D473-1,"")</f>
        <v>9.4767339447758836E-3</v>
      </c>
    </row>
    <row r="486" spans="1:6" x14ac:dyDescent="0.3">
      <c r="A486" s="164">
        <v>45078</v>
      </c>
      <c r="B486" t="s">
        <v>11</v>
      </c>
      <c r="C486">
        <v>4484</v>
      </c>
      <c r="D486" s="34">
        <v>279539.77466396021</v>
      </c>
      <c r="E486" s="174">
        <f>IFERROR(DT_data[[#This Row],[Объем предложения]]/C474-1,"")</f>
        <v>-3.4037052994398964E-2</v>
      </c>
      <c r="F486" s="174">
        <f>IFERROR(DT_data[[#This Row],[Средневзвешенная цена]]/D474-1,"")</f>
        <v>1.3948519571451712E-3</v>
      </c>
    </row>
    <row r="487" spans="1:6" x14ac:dyDescent="0.3">
      <c r="A487" s="164">
        <v>45078</v>
      </c>
      <c r="B487" t="s">
        <v>12</v>
      </c>
      <c r="C487">
        <v>2857</v>
      </c>
      <c r="D487" s="34">
        <v>301766.00375931652</v>
      </c>
      <c r="E487" s="174">
        <f>IFERROR(DT_data[[#This Row],[Объем предложения]]/C475-1,"")</f>
        <v>-4.6076794657762932E-2</v>
      </c>
      <c r="F487" s="174">
        <f>IFERROR(DT_data[[#This Row],[Средневзвешенная цена]]/D475-1,"")</f>
        <v>1.5677861933028892E-2</v>
      </c>
    </row>
    <row r="488" spans="1:6" x14ac:dyDescent="0.3">
      <c r="A488" s="164">
        <v>45078</v>
      </c>
      <c r="B488" t="s">
        <v>13</v>
      </c>
      <c r="C488">
        <v>616</v>
      </c>
      <c r="D488" s="34">
        <v>168786.20138819891</v>
      </c>
      <c r="E488" s="174">
        <f>IFERROR(DT_data[[#This Row],[Объем предложения]]/C476-1,"")</f>
        <v>-3.9001560062402518E-2</v>
      </c>
      <c r="F488" s="174">
        <f>IFERROR(DT_data[[#This Row],[Средневзвешенная цена]]/D476-1,"")</f>
        <v>-2.5899114330578676E-3</v>
      </c>
    </row>
    <row r="489" spans="1:6" x14ac:dyDescent="0.3">
      <c r="A489" s="164">
        <v>45078</v>
      </c>
      <c r="B489" t="s">
        <v>14</v>
      </c>
      <c r="C489">
        <v>5945</v>
      </c>
      <c r="D489" s="34">
        <v>557314.28719865577</v>
      </c>
      <c r="E489" s="174">
        <f>IFERROR(DT_data[[#This Row],[Объем предложения]]/C477-1,"")</f>
        <v>-1.7680105750165209E-2</v>
      </c>
      <c r="F489" s="174">
        <f>IFERROR(DT_data[[#This Row],[Средневзвешенная цена]]/D477-1,"")</f>
        <v>2.3295358196116833E-2</v>
      </c>
    </row>
    <row r="490" spans="1:6" x14ac:dyDescent="0.3">
      <c r="A490" s="164">
        <v>45078</v>
      </c>
      <c r="B490" t="s">
        <v>15</v>
      </c>
      <c r="C490">
        <v>4873</v>
      </c>
      <c r="D490" s="34">
        <v>256861.97509712071</v>
      </c>
      <c r="E490" s="174">
        <f>IFERROR(DT_data[[#This Row],[Объем предложения]]/C478-1,"")</f>
        <v>-2.6179056754596308E-2</v>
      </c>
      <c r="F490" s="174">
        <f>IFERROR(DT_data[[#This Row],[Средневзвешенная цена]]/D478-1,"")</f>
        <v>6.3182687672440618E-3</v>
      </c>
    </row>
    <row r="491" spans="1:6" x14ac:dyDescent="0.3">
      <c r="A491" s="164">
        <v>45078</v>
      </c>
      <c r="B491" t="s">
        <v>16</v>
      </c>
      <c r="C491">
        <v>5051</v>
      </c>
      <c r="D491" s="34">
        <v>301770.70533518039</v>
      </c>
      <c r="E491" s="174">
        <f>IFERROR(DT_data[[#This Row],[Объем предложения]]/C479-1,"")</f>
        <v>-4.4276253547776756E-2</v>
      </c>
      <c r="F491" s="174">
        <f>IFERROR(DT_data[[#This Row],[Средневзвешенная цена]]/D479-1,"")</f>
        <v>1.9420838027612852E-2</v>
      </c>
    </row>
    <row r="492" spans="1:6" x14ac:dyDescent="0.3">
      <c r="A492" s="164">
        <v>45078</v>
      </c>
      <c r="B492" t="s">
        <v>17</v>
      </c>
      <c r="C492">
        <v>4985</v>
      </c>
      <c r="D492" s="34">
        <v>273530.18825430929</v>
      </c>
      <c r="E492" s="174">
        <f>IFERROR(DT_data[[#This Row],[Объем предложения]]/C480-1,"")</f>
        <v>-3.2038834951456319E-2</v>
      </c>
      <c r="F492" s="174">
        <f>IFERROR(DT_data[[#This Row],[Средневзвешенная цена]]/D480-1,"")</f>
        <v>6.1624177232522115E-3</v>
      </c>
    </row>
    <row r="493" spans="1:6" x14ac:dyDescent="0.3">
      <c r="A493" s="164">
        <v>45078</v>
      </c>
      <c r="B493" t="s">
        <v>175</v>
      </c>
      <c r="C493">
        <v>639</v>
      </c>
      <c r="D493" s="34">
        <v>209095.04178709551</v>
      </c>
      <c r="E493" s="174">
        <f>IFERROR(DT_data[[#This Row],[Объем предложения]]/C481-1,"")</f>
        <v>-6.8513119533527678E-2</v>
      </c>
      <c r="F493" s="174">
        <f>IFERROR(DT_data[[#This Row],[Средневзвешенная цена]]/D481-1,"")</f>
        <v>4.4145705905618282E-3</v>
      </c>
    </row>
    <row r="494" spans="1:6" x14ac:dyDescent="0.3">
      <c r="A494" s="164">
        <v>45108</v>
      </c>
      <c r="B494" s="170" t="s">
        <v>7</v>
      </c>
      <c r="C494">
        <v>4490</v>
      </c>
      <c r="D494" s="34">
        <v>266289.44816882262</v>
      </c>
      <c r="E494" s="174">
        <f>IFERROR(DT_data[[#This Row],[Объем предложения]]/C482-1,"")</f>
        <v>-6.516760358109519E-2</v>
      </c>
      <c r="F494" s="174">
        <f>IFERROR(DT_data[[#This Row],[Средневзвешенная цена]]/D482-1,"")</f>
        <v>2.9675212031716747E-3</v>
      </c>
    </row>
    <row r="495" spans="1:6" x14ac:dyDescent="0.3">
      <c r="A495" s="164">
        <v>45108</v>
      </c>
      <c r="B495" t="s">
        <v>8</v>
      </c>
      <c r="C495">
        <v>4966</v>
      </c>
      <c r="D495" s="34">
        <v>333528.81317852531</v>
      </c>
      <c r="E495" s="174">
        <f>IFERROR(DT_data[[#This Row],[Объем предложения]]/C483-1,"")</f>
        <v>-6.5838976674191141E-2</v>
      </c>
      <c r="F495" s="174">
        <f>IFERROR(DT_data[[#This Row],[Средневзвешенная цена]]/D483-1,"")</f>
        <v>1.5647625002978893E-2</v>
      </c>
    </row>
    <row r="496" spans="1:6" x14ac:dyDescent="0.3">
      <c r="A496" s="164">
        <v>45108</v>
      </c>
      <c r="B496" t="s">
        <v>9</v>
      </c>
      <c r="C496">
        <v>1713</v>
      </c>
      <c r="D496" s="34">
        <v>218059.79304317909</v>
      </c>
      <c r="E496" s="174">
        <f>IFERROR(DT_data[[#This Row],[Объем предложения]]/C484-1,"")</f>
        <v>-7.2047670639219907E-2</v>
      </c>
      <c r="F496" s="174">
        <f>IFERROR(DT_data[[#This Row],[Средневзвешенная цена]]/D484-1,"")</f>
        <v>1.4353188055319821E-2</v>
      </c>
    </row>
    <row r="497" spans="1:6" x14ac:dyDescent="0.3">
      <c r="A497" s="164">
        <v>45108</v>
      </c>
      <c r="B497" t="s">
        <v>10</v>
      </c>
      <c r="C497">
        <v>4496</v>
      </c>
      <c r="D497" s="34">
        <v>307368.10369987052</v>
      </c>
      <c r="E497" s="174">
        <f>IFERROR(DT_data[[#This Row],[Объем предложения]]/C485-1,"")</f>
        <v>-7.0498242712425108E-2</v>
      </c>
      <c r="F497" s="174">
        <f>IFERROR(DT_data[[#This Row],[Средневзвешенная цена]]/D485-1,"")</f>
        <v>1.3660154336991415E-2</v>
      </c>
    </row>
    <row r="498" spans="1:6" x14ac:dyDescent="0.3">
      <c r="A498" s="164">
        <v>45108</v>
      </c>
      <c r="B498" t="s">
        <v>11</v>
      </c>
      <c r="C498">
        <v>4116</v>
      </c>
      <c r="D498" s="34">
        <v>284347.03525877051</v>
      </c>
      <c r="E498" s="174">
        <f>IFERROR(DT_data[[#This Row],[Объем предложения]]/C486-1,"")</f>
        <v>-8.2069580731489733E-2</v>
      </c>
      <c r="F498" s="174">
        <f>IFERROR(DT_data[[#This Row],[Средневзвешенная цена]]/D486-1,"")</f>
        <v>1.7197053981277577E-2</v>
      </c>
    </row>
    <row r="499" spans="1:6" x14ac:dyDescent="0.3">
      <c r="A499" s="164">
        <v>45108</v>
      </c>
      <c r="B499" t="s">
        <v>12</v>
      </c>
      <c r="C499">
        <v>2689</v>
      </c>
      <c r="D499" s="34">
        <v>307084.6799054633</v>
      </c>
      <c r="E499" s="174">
        <f>IFERROR(DT_data[[#This Row],[Объем предложения]]/C487-1,"")</f>
        <v>-5.8802940147007376E-2</v>
      </c>
      <c r="F499" s="174">
        <f>IFERROR(DT_data[[#This Row],[Средневзвешенная цена]]/D487-1,"")</f>
        <v>1.7625166784489332E-2</v>
      </c>
    </row>
    <row r="500" spans="1:6" x14ac:dyDescent="0.3">
      <c r="A500" s="164">
        <v>45108</v>
      </c>
      <c r="B500" t="s">
        <v>13</v>
      </c>
      <c r="C500">
        <v>600</v>
      </c>
      <c r="D500" s="34">
        <v>169405.6820692218</v>
      </c>
      <c r="E500" s="174">
        <f>IFERROR(DT_data[[#This Row],[Объем предложения]]/C488-1,"")</f>
        <v>-2.5974025974025983E-2</v>
      </c>
      <c r="F500" s="174">
        <f>IFERROR(DT_data[[#This Row],[Средневзвешенная цена]]/D488-1,"")</f>
        <v>3.6702092702360911E-3</v>
      </c>
    </row>
    <row r="501" spans="1:6" x14ac:dyDescent="0.3">
      <c r="A501" s="164">
        <v>45108</v>
      </c>
      <c r="B501" t="s">
        <v>14</v>
      </c>
      <c r="C501">
        <v>5708</v>
      </c>
      <c r="D501" s="34">
        <v>562979.3614458685</v>
      </c>
      <c r="E501" s="174">
        <f>IFERROR(DT_data[[#This Row],[Объем предложения]]/C489-1,"")</f>
        <v>-3.9865433137090012E-2</v>
      </c>
      <c r="F501" s="174">
        <f>IFERROR(DT_data[[#This Row],[Средневзвешенная цена]]/D489-1,"")</f>
        <v>1.0164954276855598E-2</v>
      </c>
    </row>
    <row r="502" spans="1:6" x14ac:dyDescent="0.3">
      <c r="A502" s="164">
        <v>45108</v>
      </c>
      <c r="B502" t="s">
        <v>15</v>
      </c>
      <c r="C502">
        <v>4668</v>
      </c>
      <c r="D502" s="34">
        <v>259040.205839884</v>
      </c>
      <c r="E502" s="174">
        <f>IFERROR(DT_data[[#This Row],[Объем предложения]]/C490-1,"")</f>
        <v>-4.2068540939872778E-2</v>
      </c>
      <c r="F502" s="174">
        <f>IFERROR(DT_data[[#This Row],[Средневзвешенная цена]]/D490-1,"")</f>
        <v>8.4801603738338116E-3</v>
      </c>
    </row>
    <row r="503" spans="1:6" x14ac:dyDescent="0.3">
      <c r="A503" s="164">
        <v>45108</v>
      </c>
      <c r="B503" t="s">
        <v>16</v>
      </c>
      <c r="C503">
        <v>4622</v>
      </c>
      <c r="D503" s="34">
        <v>300685.82013446209</v>
      </c>
      <c r="E503" s="174">
        <f>IFERROR(DT_data[[#This Row],[Объем предложения]]/C491-1,"")</f>
        <v>-8.493367649970307E-2</v>
      </c>
      <c r="F503" s="174">
        <f>IFERROR(DT_data[[#This Row],[Средневзвешенная цена]]/D491-1,"")</f>
        <v>-3.5950646684319576E-3</v>
      </c>
    </row>
    <row r="504" spans="1:6" x14ac:dyDescent="0.3">
      <c r="A504" s="164">
        <v>45108</v>
      </c>
      <c r="B504" t="s">
        <v>17</v>
      </c>
      <c r="C504">
        <v>4632</v>
      </c>
      <c r="D504" s="34">
        <v>279327.91056812921</v>
      </c>
      <c r="E504" s="174">
        <f>IFERROR(DT_data[[#This Row],[Объем предложения]]/C492-1,"")</f>
        <v>-7.0812437311935761E-2</v>
      </c>
      <c r="F504" s="174">
        <f>IFERROR(DT_data[[#This Row],[Средневзвешенная цена]]/D492-1,"")</f>
        <v>2.1195913880005079E-2</v>
      </c>
    </row>
    <row r="505" spans="1:6" x14ac:dyDescent="0.3">
      <c r="A505" s="164">
        <v>45108</v>
      </c>
      <c r="B505" t="s">
        <v>175</v>
      </c>
      <c r="C505">
        <v>580</v>
      </c>
      <c r="D505" s="34">
        <v>212092.43740156849</v>
      </c>
      <c r="E505" s="174">
        <f>IFERROR(DT_data[[#This Row],[Объем предложения]]/C493-1,"")</f>
        <v>-9.2331768388106417E-2</v>
      </c>
      <c r="F505" s="174">
        <f>IFERROR(DT_data[[#This Row],[Средневзвешенная цена]]/D493-1,"")</f>
        <v>1.4335086996108526E-2</v>
      </c>
    </row>
    <row r="506" spans="1:6" x14ac:dyDescent="0.3">
      <c r="A506" s="164">
        <v>45139</v>
      </c>
      <c r="B506" s="170" t="s">
        <v>7</v>
      </c>
      <c r="C506">
        <v>4217</v>
      </c>
      <c r="D506" s="34">
        <v>271753.43139286892</v>
      </c>
      <c r="E506" s="174">
        <f>IFERROR(DT_data[[#This Row],[Объем предложения]]/C494-1,"")</f>
        <v>-6.080178173719375E-2</v>
      </c>
      <c r="F506" s="174">
        <f>IFERROR(DT_data[[#This Row],[Средневзвешенная цена]]/D494-1,"")</f>
        <v>2.0518962586088874E-2</v>
      </c>
    </row>
    <row r="507" spans="1:6" x14ac:dyDescent="0.3">
      <c r="A507" s="164">
        <v>45139</v>
      </c>
      <c r="B507" t="s">
        <v>8</v>
      </c>
      <c r="C507">
        <v>4721</v>
      </c>
      <c r="D507" s="34">
        <v>340731.0975671148</v>
      </c>
      <c r="E507" s="174">
        <f>IFERROR(DT_data[[#This Row],[Объем предложения]]/C495-1,"")</f>
        <v>-4.933548127265408E-2</v>
      </c>
      <c r="F507" s="174">
        <f>IFERROR(DT_data[[#This Row],[Средневзвешенная цена]]/D495-1,"")</f>
        <v>2.1594189479319015E-2</v>
      </c>
    </row>
    <row r="508" spans="1:6" x14ac:dyDescent="0.3">
      <c r="A508" s="164">
        <v>45139</v>
      </c>
      <c r="B508" t="s">
        <v>9</v>
      </c>
      <c r="C508">
        <v>1650</v>
      </c>
      <c r="D508" s="34">
        <v>220945.6460367316</v>
      </c>
      <c r="E508" s="174">
        <f>IFERROR(DT_data[[#This Row],[Объем предложения]]/C496-1,"")</f>
        <v>-3.677758318739055E-2</v>
      </c>
      <c r="F508" s="174">
        <f>IFERROR(DT_data[[#This Row],[Средневзвешенная цена]]/D496-1,"")</f>
        <v>1.3234227884372451E-2</v>
      </c>
    </row>
    <row r="509" spans="1:6" x14ac:dyDescent="0.3">
      <c r="A509" s="164">
        <v>45139</v>
      </c>
      <c r="B509" t="s">
        <v>10</v>
      </c>
      <c r="C509">
        <v>4167</v>
      </c>
      <c r="D509" s="34">
        <v>314128.71891417587</v>
      </c>
      <c r="E509" s="174">
        <f>IFERROR(DT_data[[#This Row],[Объем предложения]]/C497-1,"")</f>
        <v>-7.3176156583629859E-2</v>
      </c>
      <c r="F509" s="174">
        <f>IFERROR(DT_data[[#This Row],[Средневзвешенная цена]]/D497-1,"")</f>
        <v>2.1995174947972984E-2</v>
      </c>
    </row>
    <row r="510" spans="1:6" x14ac:dyDescent="0.3">
      <c r="A510" s="164">
        <v>45139</v>
      </c>
      <c r="B510" t="s">
        <v>11</v>
      </c>
      <c r="C510">
        <v>3883</v>
      </c>
      <c r="D510" s="34">
        <v>291580.60943401378</v>
      </c>
      <c r="E510" s="174">
        <f>IFERROR(DT_data[[#This Row],[Объем предложения]]/C498-1,"")</f>
        <v>-5.6608357628765815E-2</v>
      </c>
      <c r="F510" s="174">
        <f>IFERROR(DT_data[[#This Row],[Средневзвешенная цена]]/D498-1,"")</f>
        <v>2.5439245985668046E-2</v>
      </c>
    </row>
    <row r="511" spans="1:6" x14ac:dyDescent="0.3">
      <c r="A511" s="164">
        <v>45139</v>
      </c>
      <c r="B511" t="s">
        <v>12</v>
      </c>
      <c r="C511">
        <v>2507</v>
      </c>
      <c r="D511" s="34">
        <v>315410.97976804298</v>
      </c>
      <c r="E511" s="174">
        <f>IFERROR(DT_data[[#This Row],[Объем предложения]]/C499-1,"")</f>
        <v>-6.76831535886947E-2</v>
      </c>
      <c r="F511" s="174">
        <f>IFERROR(DT_data[[#This Row],[Средневзвешенная цена]]/D499-1,"")</f>
        <v>2.7114019055404892E-2</v>
      </c>
    </row>
    <row r="512" spans="1:6" x14ac:dyDescent="0.3">
      <c r="A512" s="164">
        <v>45139</v>
      </c>
      <c r="B512" t="s">
        <v>13</v>
      </c>
      <c r="C512">
        <v>611</v>
      </c>
      <c r="D512" s="34">
        <v>170438.21435076979</v>
      </c>
      <c r="E512" s="174">
        <f>IFERROR(DT_data[[#This Row],[Объем предложения]]/C500-1,"")</f>
        <v>1.8333333333333313E-2</v>
      </c>
      <c r="F512" s="174">
        <f>IFERROR(DT_data[[#This Row],[Средневзвешенная цена]]/D500-1,"")</f>
        <v>6.0950274449831365E-3</v>
      </c>
    </row>
    <row r="513" spans="1:6" x14ac:dyDescent="0.3">
      <c r="A513" s="164">
        <v>45139</v>
      </c>
      <c r="B513" t="s">
        <v>14</v>
      </c>
      <c r="C513">
        <v>5480</v>
      </c>
      <c r="D513" s="34">
        <v>574623.85455811245</v>
      </c>
      <c r="E513" s="174">
        <f>IFERROR(DT_data[[#This Row],[Объем предложения]]/C501-1,"")</f>
        <v>-3.9943938332165363E-2</v>
      </c>
      <c r="F513" s="174">
        <f>IFERROR(DT_data[[#This Row],[Средневзвешенная цена]]/D501-1,"")</f>
        <v>2.0683694482756865E-2</v>
      </c>
    </row>
    <row r="514" spans="1:6" x14ac:dyDescent="0.3">
      <c r="A514" s="164">
        <v>45139</v>
      </c>
      <c r="B514" t="s">
        <v>15</v>
      </c>
      <c r="C514">
        <v>4454</v>
      </c>
      <c r="D514" s="34">
        <v>265768.53769819078</v>
      </c>
      <c r="E514" s="174">
        <f>IFERROR(DT_data[[#This Row],[Объем предложения]]/C502-1,"")</f>
        <v>-4.5844044558697505E-2</v>
      </c>
      <c r="F514" s="174">
        <f>IFERROR(DT_data[[#This Row],[Средневзвешенная цена]]/D502-1,"")</f>
        <v>2.5974083198751163E-2</v>
      </c>
    </row>
    <row r="515" spans="1:6" x14ac:dyDescent="0.3">
      <c r="A515" s="164">
        <v>45139</v>
      </c>
      <c r="B515" t="s">
        <v>16</v>
      </c>
      <c r="C515">
        <v>4380</v>
      </c>
      <c r="D515" s="34">
        <v>307525.38589723379</v>
      </c>
      <c r="E515" s="174">
        <f>IFERROR(DT_data[[#This Row],[Объем предложения]]/C503-1,"")</f>
        <v>-5.235828645607965E-2</v>
      </c>
      <c r="F515" s="174">
        <f>IFERROR(DT_data[[#This Row],[Средневзвешенная цена]]/D503-1,"")</f>
        <v>2.2746552397160391E-2</v>
      </c>
    </row>
    <row r="516" spans="1:6" x14ac:dyDescent="0.3">
      <c r="A516" s="164">
        <v>45139</v>
      </c>
      <c r="B516" t="s">
        <v>17</v>
      </c>
      <c r="C516">
        <v>4444</v>
      </c>
      <c r="D516" s="34">
        <v>286060.81074433221</v>
      </c>
      <c r="E516" s="174">
        <f>IFERROR(DT_data[[#This Row],[Объем предложения]]/C504-1,"")</f>
        <v>-4.0587219343696024E-2</v>
      </c>
      <c r="F516" s="174">
        <f>IFERROR(DT_data[[#This Row],[Средневзвешенная цена]]/D504-1,"")</f>
        <v>2.4103929186699791E-2</v>
      </c>
    </row>
    <row r="517" spans="1:6" x14ac:dyDescent="0.3">
      <c r="A517" s="164">
        <v>45139</v>
      </c>
      <c r="B517" t="s">
        <v>175</v>
      </c>
      <c r="C517">
        <v>536</v>
      </c>
      <c r="D517" s="34">
        <v>214908.09874068011</v>
      </c>
      <c r="E517" s="174">
        <f>IFERROR(DT_data[[#This Row],[Объем предложения]]/C505-1,"")</f>
        <v>-7.5862068965517282E-2</v>
      </c>
      <c r="F517" s="174">
        <f>IFERROR(DT_data[[#This Row],[Средневзвешенная цена]]/D505-1,"")</f>
        <v>1.3275632896709855E-2</v>
      </c>
    </row>
    <row r="518" spans="1:6" x14ac:dyDescent="0.3">
      <c r="A518" s="164">
        <v>45170</v>
      </c>
      <c r="B518" s="170" t="s">
        <v>7</v>
      </c>
      <c r="C518">
        <v>4035</v>
      </c>
      <c r="D518" s="34">
        <v>277235.93367614498</v>
      </c>
      <c r="E518" s="174">
        <f>IFERROR(DT_data[[#This Row],[Объем предложения]]/C506-1,"")</f>
        <v>-4.3158643585487266E-2</v>
      </c>
      <c r="F518" s="174">
        <f>IFERROR(DT_data[[#This Row],[Средневзвешенная цена]]/D506-1,"")</f>
        <v>2.0174546665981508E-2</v>
      </c>
    </row>
    <row r="519" spans="1:6" x14ac:dyDescent="0.3">
      <c r="A519" s="164">
        <v>45170</v>
      </c>
      <c r="B519" t="s">
        <v>8</v>
      </c>
      <c r="C519">
        <v>4516</v>
      </c>
      <c r="D519" s="34">
        <v>349255.28392081911</v>
      </c>
      <c r="E519" s="174">
        <f>IFERROR(DT_data[[#This Row],[Объем предложения]]/C507-1,"")</f>
        <v>-4.3423003600931986E-2</v>
      </c>
      <c r="F519" s="174">
        <f>IFERROR(DT_data[[#This Row],[Средневзвешенная цена]]/D507-1,"")</f>
        <v>2.5017341870374077E-2</v>
      </c>
    </row>
    <row r="520" spans="1:6" x14ac:dyDescent="0.3">
      <c r="A520" s="164">
        <v>45170</v>
      </c>
      <c r="B520" t="s">
        <v>9</v>
      </c>
      <c r="C520">
        <v>1548</v>
      </c>
      <c r="D520" s="34">
        <v>224057.94029980301</v>
      </c>
      <c r="E520" s="174">
        <f>IFERROR(DT_data[[#This Row],[Объем предложения]]/C508-1,"")</f>
        <v>-6.1818181818181772E-2</v>
      </c>
      <c r="F520" s="174">
        <f>IFERROR(DT_data[[#This Row],[Средневзвешенная цена]]/D508-1,"")</f>
        <v>1.4086243919710473E-2</v>
      </c>
    </row>
    <row r="521" spans="1:6" x14ac:dyDescent="0.3">
      <c r="A521" s="164">
        <v>45170</v>
      </c>
      <c r="B521" t="s">
        <v>10</v>
      </c>
      <c r="C521">
        <v>3942</v>
      </c>
      <c r="D521" s="34">
        <v>321168.53584189608</v>
      </c>
      <c r="E521" s="174">
        <f>IFERROR(DT_data[[#This Row],[Объем предложения]]/C509-1,"")</f>
        <v>-5.3995680345572339E-2</v>
      </c>
      <c r="F521" s="174">
        <f>IFERROR(DT_data[[#This Row],[Средневзвешенная цена]]/D509-1,"")</f>
        <v>2.2410612286753562E-2</v>
      </c>
    </row>
    <row r="522" spans="1:6" x14ac:dyDescent="0.3">
      <c r="A522" s="164">
        <v>45170</v>
      </c>
      <c r="B522" t="s">
        <v>11</v>
      </c>
      <c r="C522">
        <v>3659</v>
      </c>
      <c r="D522" s="34">
        <v>294447.35008345579</v>
      </c>
      <c r="E522" s="174">
        <f>IFERROR(DT_data[[#This Row],[Объем предложения]]/C510-1,"")</f>
        <v>-5.7687355137780116E-2</v>
      </c>
      <c r="F522" s="174">
        <f>IFERROR(DT_data[[#This Row],[Средневзвешенная цена]]/D510-1,"")</f>
        <v>9.8317259676719004E-3</v>
      </c>
    </row>
    <row r="523" spans="1:6" x14ac:dyDescent="0.3">
      <c r="A523" s="164">
        <v>45170</v>
      </c>
      <c r="B523" t="s">
        <v>12</v>
      </c>
      <c r="C523">
        <v>2374</v>
      </c>
      <c r="D523" s="34">
        <v>319495.38175727188</v>
      </c>
      <c r="E523" s="174">
        <f>IFERROR(DT_data[[#This Row],[Объем предложения]]/C511-1,"")</f>
        <v>-5.3051455923414426E-2</v>
      </c>
      <c r="F523" s="174">
        <f>IFERROR(DT_data[[#This Row],[Средневзвешенная цена]]/D511-1,"")</f>
        <v>1.2949460390480505E-2</v>
      </c>
    </row>
    <row r="524" spans="1:6" x14ac:dyDescent="0.3">
      <c r="A524" s="164">
        <v>45170</v>
      </c>
      <c r="B524" t="s">
        <v>13</v>
      </c>
      <c r="C524">
        <v>579</v>
      </c>
      <c r="D524" s="34">
        <v>169604.45126178401</v>
      </c>
      <c r="E524" s="174">
        <f>IFERROR(DT_data[[#This Row],[Объем предложения]]/C512-1,"")</f>
        <v>-5.2373158756137461E-2</v>
      </c>
      <c r="F524" s="174">
        <f>IFERROR(DT_data[[#This Row],[Средневзвешенная цена]]/D512-1,"")</f>
        <v>-4.8918788087620735E-3</v>
      </c>
    </row>
    <row r="525" spans="1:6" x14ac:dyDescent="0.3">
      <c r="A525" s="164">
        <v>45170</v>
      </c>
      <c r="B525" t="s">
        <v>14</v>
      </c>
      <c r="C525">
        <v>5223</v>
      </c>
      <c r="D525" s="34">
        <v>595010.14708373242</v>
      </c>
      <c r="E525" s="174">
        <f>IFERROR(DT_data[[#This Row],[Объем предложения]]/C513-1,"")</f>
        <v>-4.6897810218978098E-2</v>
      </c>
      <c r="F525" s="174">
        <f>IFERROR(DT_data[[#This Row],[Средневзвешенная цена]]/D513-1,"")</f>
        <v>3.5477630042520802E-2</v>
      </c>
    </row>
    <row r="526" spans="1:6" x14ac:dyDescent="0.3">
      <c r="A526" s="164">
        <v>45170</v>
      </c>
      <c r="B526" t="s">
        <v>15</v>
      </c>
      <c r="C526">
        <v>4111</v>
      </c>
      <c r="D526" s="34">
        <v>271223.36272102938</v>
      </c>
      <c r="E526" s="174">
        <f>IFERROR(DT_data[[#This Row],[Объем предложения]]/C514-1,"")</f>
        <v>-7.7009429726088929E-2</v>
      </c>
      <c r="F526" s="174">
        <f>IFERROR(DT_data[[#This Row],[Средневзвешенная цена]]/D514-1,"")</f>
        <v>2.0524720759208748E-2</v>
      </c>
    </row>
    <row r="527" spans="1:6" x14ac:dyDescent="0.3">
      <c r="A527" s="164">
        <v>45170</v>
      </c>
      <c r="B527" t="s">
        <v>16</v>
      </c>
      <c r="C527">
        <v>4094</v>
      </c>
      <c r="D527" s="34">
        <v>311274.0379918635</v>
      </c>
      <c r="E527" s="174">
        <f>IFERROR(DT_data[[#This Row],[Объем предложения]]/C515-1,"")</f>
        <v>-6.5296803652968083E-2</v>
      </c>
      <c r="F527" s="174">
        <f>IFERROR(DT_data[[#This Row],[Средневзвешенная цена]]/D515-1,"")</f>
        <v>1.2189732186475233E-2</v>
      </c>
    </row>
    <row r="528" spans="1:6" x14ac:dyDescent="0.3">
      <c r="A528" s="164">
        <v>45170</v>
      </c>
      <c r="B528" t="s">
        <v>17</v>
      </c>
      <c r="C528">
        <v>4067</v>
      </c>
      <c r="D528" s="34">
        <v>290822.91353305808</v>
      </c>
      <c r="E528" s="174">
        <f>IFERROR(DT_data[[#This Row],[Объем предложения]]/C516-1,"")</f>
        <v>-8.4833483348334848E-2</v>
      </c>
      <c r="F528" s="174">
        <f>IFERROR(DT_data[[#This Row],[Средневзвешенная цена]]/D516-1,"")</f>
        <v>1.6647169447415289E-2</v>
      </c>
    </row>
    <row r="529" spans="1:11" x14ac:dyDescent="0.3">
      <c r="A529" s="164">
        <v>45170</v>
      </c>
      <c r="B529" t="s">
        <v>175</v>
      </c>
      <c r="C529">
        <v>484</v>
      </c>
      <c r="D529" s="34">
        <v>219956.47351063031</v>
      </c>
      <c r="E529" s="174">
        <f>IFERROR(DT_data[[#This Row],[Объем предложения]]/C517-1,"")</f>
        <v>-9.7014925373134275E-2</v>
      </c>
      <c r="F529" s="174">
        <f>IFERROR(DT_data[[#This Row],[Средневзвешенная цена]]/D517-1,"")</f>
        <v>2.3490853995417948E-2</v>
      </c>
    </row>
    <row r="530" spans="1:11" x14ac:dyDescent="0.3">
      <c r="A530" s="164">
        <v>45200</v>
      </c>
      <c r="B530" s="170" t="s">
        <v>7</v>
      </c>
      <c r="C530">
        <v>3969</v>
      </c>
      <c r="D530" s="34">
        <v>282293.97338899889</v>
      </c>
      <c r="E530" s="174">
        <f>IFERROR(DT_data[[#This Row],[Объем предложения]]/C518-1,"")</f>
        <v>-1.635687732342006E-2</v>
      </c>
      <c r="F530" s="174">
        <f>IFERROR(DT_data[[#This Row],[Средневзвешенная цена]]/D518-1,"")</f>
        <v>1.8244531456598656E-2</v>
      </c>
    </row>
    <row r="531" spans="1:11" x14ac:dyDescent="0.3">
      <c r="A531" s="164">
        <v>45200</v>
      </c>
      <c r="B531" t="s">
        <v>8</v>
      </c>
      <c r="C531">
        <v>4334</v>
      </c>
      <c r="D531" s="34">
        <v>352808.01997684769</v>
      </c>
      <c r="E531" s="174">
        <f>IFERROR(DT_data[[#This Row],[Объем предложения]]/C519-1,"")</f>
        <v>-4.0301151461470286E-2</v>
      </c>
      <c r="F531" s="174">
        <f>IFERROR(DT_data[[#This Row],[Средневзвешенная цена]]/D519-1,"")</f>
        <v>1.0172318700936378E-2</v>
      </c>
    </row>
    <row r="532" spans="1:11" x14ac:dyDescent="0.3">
      <c r="A532" s="164">
        <v>45200</v>
      </c>
      <c r="B532" t="s">
        <v>9</v>
      </c>
      <c r="C532">
        <v>1537</v>
      </c>
      <c r="D532" s="34">
        <v>224930.65665679009</v>
      </c>
      <c r="E532" s="174">
        <f>IFERROR(DT_data[[#This Row],[Объем предложения]]/C520-1,"")</f>
        <v>-7.10594315245483E-3</v>
      </c>
      <c r="F532" s="174">
        <f>IFERROR(DT_data[[#This Row],[Средневзвешенная цена]]/D520-1,"")</f>
        <v>3.8950476640966514E-3</v>
      </c>
    </row>
    <row r="533" spans="1:11" x14ac:dyDescent="0.3">
      <c r="A533" s="164">
        <v>45200</v>
      </c>
      <c r="B533" t="s">
        <v>10</v>
      </c>
      <c r="C533">
        <v>3857</v>
      </c>
      <c r="D533" s="34">
        <v>323237.1142766329</v>
      </c>
      <c r="E533" s="174">
        <f>IFERROR(DT_data[[#This Row],[Объем предложения]]/C521-1,"")</f>
        <v>-2.156265854895989E-2</v>
      </c>
      <c r="F533" s="174">
        <f>IFERROR(DT_data[[#This Row],[Средневзвешенная цена]]/D521-1,"")</f>
        <v>6.4407879474068785E-3</v>
      </c>
    </row>
    <row r="534" spans="1:11" x14ac:dyDescent="0.3">
      <c r="A534" s="164">
        <v>45200</v>
      </c>
      <c r="B534" t="s">
        <v>11</v>
      </c>
      <c r="C534">
        <v>3624</v>
      </c>
      <c r="D534" s="34">
        <v>297704.71835918742</v>
      </c>
      <c r="E534" s="174">
        <f>IFERROR(DT_data[[#This Row],[Объем предложения]]/C522-1,"")</f>
        <v>-9.5654550423612816E-3</v>
      </c>
      <c r="F534" s="174">
        <f>IFERROR(DT_data[[#This Row],[Средневзвешенная цена]]/D522-1,"")</f>
        <v>1.1062651013189262E-2</v>
      </c>
    </row>
    <row r="535" spans="1:11" x14ac:dyDescent="0.3">
      <c r="A535" s="164">
        <v>45200</v>
      </c>
      <c r="B535" t="s">
        <v>12</v>
      </c>
      <c r="C535">
        <v>2255</v>
      </c>
      <c r="D535" s="34">
        <v>322172.24541405181</v>
      </c>
      <c r="E535" s="174">
        <f>IFERROR(DT_data[[#This Row],[Объем предложения]]/C523-1,"")</f>
        <v>-5.0126368997472581E-2</v>
      </c>
      <c r="F535" s="174">
        <f>IFERROR(DT_data[[#This Row],[Средневзвешенная цена]]/D523-1,"")</f>
        <v>8.3784111121005811E-3</v>
      </c>
    </row>
    <row r="536" spans="1:11" x14ac:dyDescent="0.3">
      <c r="A536" s="164">
        <v>45200</v>
      </c>
      <c r="B536" t="s">
        <v>13</v>
      </c>
      <c r="C536">
        <v>560</v>
      </c>
      <c r="D536" s="34">
        <v>171082.35500495299</v>
      </c>
      <c r="E536" s="174">
        <f>IFERROR(DT_data[[#This Row],[Объем предложения]]/C524-1,"")</f>
        <v>-3.2815198618307395E-2</v>
      </c>
      <c r="F536" s="174">
        <f>IFERROR(DT_data[[#This Row],[Средневзвешенная цена]]/D524-1,"")</f>
        <v>8.7138263894255275E-3</v>
      </c>
    </row>
    <row r="537" spans="1:11" x14ac:dyDescent="0.3">
      <c r="A537" s="164">
        <v>45200</v>
      </c>
      <c r="B537" t="s">
        <v>14</v>
      </c>
      <c r="C537">
        <v>5134</v>
      </c>
      <c r="D537" s="34">
        <v>605411.52182038175</v>
      </c>
      <c r="E537" s="174">
        <f>IFERROR(DT_data[[#This Row],[Объем предложения]]/C525-1,"")</f>
        <v>-1.7040015316867718E-2</v>
      </c>
      <c r="F537" s="174">
        <f>IFERROR(DT_data[[#This Row],[Средневзвешенная цена]]/D525-1,"")</f>
        <v>1.7481003958720098E-2</v>
      </c>
    </row>
    <row r="538" spans="1:11" x14ac:dyDescent="0.3">
      <c r="A538" s="164">
        <v>45200</v>
      </c>
      <c r="B538" t="s">
        <v>15</v>
      </c>
      <c r="C538">
        <v>3868</v>
      </c>
      <c r="D538" s="34">
        <v>274114.74802020751</v>
      </c>
      <c r="E538" s="174">
        <f>IFERROR(DT_data[[#This Row],[Объем предложения]]/C526-1,"")</f>
        <v>-5.910970566772078E-2</v>
      </c>
      <c r="F538" s="174">
        <f>IFERROR(DT_data[[#This Row],[Средневзвешенная цена]]/D526-1,"")</f>
        <v>1.0660531858946554E-2</v>
      </c>
    </row>
    <row r="539" spans="1:11" x14ac:dyDescent="0.3">
      <c r="A539" s="164">
        <v>45200</v>
      </c>
      <c r="B539" t="s">
        <v>16</v>
      </c>
      <c r="C539">
        <v>3999</v>
      </c>
      <c r="D539" s="34">
        <v>316408.24935934541</v>
      </c>
      <c r="E539" s="174">
        <f>IFERROR(DT_data[[#This Row],[Объем предложения]]/C527-1,"")</f>
        <v>-2.3204689789936506E-2</v>
      </c>
      <c r="F539" s="174">
        <f>IFERROR(DT_data[[#This Row],[Средневзвешенная цена]]/D527-1,"")</f>
        <v>1.6494184354739261E-2</v>
      </c>
    </row>
    <row r="540" spans="1:11" x14ac:dyDescent="0.3">
      <c r="A540" s="164">
        <v>45200</v>
      </c>
      <c r="B540" t="s">
        <v>17</v>
      </c>
      <c r="C540">
        <v>3960</v>
      </c>
      <c r="D540" s="34">
        <v>298066.19404510548</v>
      </c>
      <c r="E540" s="174">
        <f>IFERROR(DT_data[[#This Row],[Объем предложения]]/C528-1,"")</f>
        <v>-2.630931890828625E-2</v>
      </c>
      <c r="F540" s="174">
        <f>IFERROR(DT_data[[#This Row],[Средневзвешенная цена]]/D528-1,"")</f>
        <v>2.4906154828216565E-2</v>
      </c>
    </row>
    <row r="541" spans="1:11" x14ac:dyDescent="0.3">
      <c r="A541" s="164">
        <v>45200</v>
      </c>
      <c r="B541" t="s">
        <v>175</v>
      </c>
      <c r="C541">
        <v>455</v>
      </c>
      <c r="D541" s="34">
        <v>223456.54631500141</v>
      </c>
      <c r="E541" s="174">
        <f>IFERROR(DT_data[[#This Row],[Объем предложения]]/C529-1,"")</f>
        <v>-5.9917355371900793E-2</v>
      </c>
      <c r="F541" s="174">
        <f>IFERROR(DT_data[[#This Row],[Средневзвешенная цена]]/D529-1,"")</f>
        <v>1.5912570103111534E-2</v>
      </c>
    </row>
    <row r="542" spans="1:11" x14ac:dyDescent="0.3">
      <c r="A542" s="164">
        <v>45231</v>
      </c>
      <c r="B542" s="170" t="s">
        <v>7</v>
      </c>
      <c r="C542">
        <v>3959</v>
      </c>
      <c r="D542" s="34">
        <v>283897.2503487455</v>
      </c>
      <c r="E542" s="174">
        <f>IFERROR(DT_data[[#This Row],[Объем предложения]]/C530-1,"")</f>
        <v>-2.5195263290501702E-3</v>
      </c>
      <c r="F542" s="174">
        <f>IFERROR(DT_data[[#This Row],[Средневзвешенная цена]]/D530-1,"")</f>
        <v>5.6794586880439812E-3</v>
      </c>
      <c r="J542" s="13"/>
      <c r="K542" s="13"/>
    </row>
    <row r="543" spans="1:11" x14ac:dyDescent="0.3">
      <c r="A543" s="164">
        <v>45231</v>
      </c>
      <c r="B543" t="s">
        <v>8</v>
      </c>
      <c r="C543">
        <v>4372</v>
      </c>
      <c r="D543" s="34">
        <v>358307.04182195792</v>
      </c>
      <c r="E543" s="174">
        <f>IFERROR(DT_data[[#This Row],[Объем предложения]]/C531-1,"")</f>
        <v>8.7678818643286416E-3</v>
      </c>
      <c r="F543" s="174">
        <f>IFERROR(DT_data[[#This Row],[Средневзвешенная цена]]/D531-1,"")</f>
        <v>1.5586442296496195E-2</v>
      </c>
      <c r="J543" s="13"/>
      <c r="K543" s="13"/>
    </row>
    <row r="544" spans="1:11" x14ac:dyDescent="0.3">
      <c r="A544" s="164">
        <v>45231</v>
      </c>
      <c r="B544" t="s">
        <v>9</v>
      </c>
      <c r="C544">
        <v>1498</v>
      </c>
      <c r="D544" s="34">
        <v>225511.9671450966</v>
      </c>
      <c r="E544" s="174">
        <f>IFERROR(DT_data[[#This Row],[Объем предложения]]/C532-1,"")</f>
        <v>-2.5374105400130076E-2</v>
      </c>
      <c r="F544" s="174">
        <f>IFERROR(DT_data[[#This Row],[Средневзвешенная цена]]/D532-1,"")</f>
        <v>2.5843986628888427E-3</v>
      </c>
      <c r="J544" s="13"/>
      <c r="K544" s="13"/>
    </row>
    <row r="545" spans="1:11" x14ac:dyDescent="0.3">
      <c r="A545" s="164">
        <v>45231</v>
      </c>
      <c r="B545" t="s">
        <v>10</v>
      </c>
      <c r="C545">
        <v>3813</v>
      </c>
      <c r="D545" s="34">
        <v>326254.4047485473</v>
      </c>
      <c r="E545" s="174">
        <f>IFERROR(DT_data[[#This Row],[Объем предложения]]/C533-1,"")</f>
        <v>-1.1407829919626633E-2</v>
      </c>
      <c r="F545" s="174">
        <f>IFERROR(DT_data[[#This Row],[Средневзвешенная цена]]/D533-1,"")</f>
        <v>9.3346040372459527E-3</v>
      </c>
      <c r="J545" s="13"/>
      <c r="K545" s="13"/>
    </row>
    <row r="546" spans="1:11" x14ac:dyDescent="0.3">
      <c r="A546" s="164">
        <v>45231</v>
      </c>
      <c r="B546" t="s">
        <v>11</v>
      </c>
      <c r="C546">
        <v>3725</v>
      </c>
      <c r="D546" s="34">
        <v>299211.42835346819</v>
      </c>
      <c r="E546" s="174">
        <f>IFERROR(DT_data[[#This Row],[Объем предложения]]/C534-1,"")</f>
        <v>2.7869757174392884E-2</v>
      </c>
      <c r="F546" s="174">
        <f>IFERROR(DT_data[[#This Row],[Средневзвешенная цена]]/D534-1,"")</f>
        <v>5.061088727733587E-3</v>
      </c>
      <c r="J546" s="13"/>
      <c r="K546" s="13"/>
    </row>
    <row r="547" spans="1:11" x14ac:dyDescent="0.3">
      <c r="A547" s="164">
        <v>45231</v>
      </c>
      <c r="B547" t="s">
        <v>12</v>
      </c>
      <c r="C547">
        <v>2403</v>
      </c>
      <c r="D547" s="34">
        <v>330385.81442517339</v>
      </c>
      <c r="E547" s="174">
        <f>IFERROR(DT_data[[#This Row],[Объем предложения]]/C535-1,"")</f>
        <v>6.5631929046563231E-2</v>
      </c>
      <c r="F547" s="174">
        <f>IFERROR(DT_data[[#This Row],[Средневзвешенная цена]]/D535-1,"")</f>
        <v>2.5494340769688595E-2</v>
      </c>
      <c r="J547" s="13"/>
      <c r="K547" s="13"/>
    </row>
    <row r="548" spans="1:11" x14ac:dyDescent="0.3">
      <c r="A548" s="164">
        <v>45231</v>
      </c>
      <c r="B548" t="s">
        <v>13</v>
      </c>
      <c r="C548">
        <v>574</v>
      </c>
      <c r="D548" s="34">
        <v>175058.3183724765</v>
      </c>
      <c r="E548" s="174">
        <f>IFERROR(DT_data[[#This Row],[Объем предложения]]/C536-1,"")</f>
        <v>2.4999999999999911E-2</v>
      </c>
      <c r="F548" s="174">
        <f>IFERROR(DT_data[[#This Row],[Средневзвешенная цена]]/D536-1,"")</f>
        <v>2.3240055161786843E-2</v>
      </c>
      <c r="J548" s="13"/>
      <c r="K548" s="13"/>
    </row>
    <row r="549" spans="1:11" x14ac:dyDescent="0.3">
      <c r="A549" s="164">
        <v>45231</v>
      </c>
      <c r="B549" t="s">
        <v>14</v>
      </c>
      <c r="C549">
        <v>5021</v>
      </c>
      <c r="D549" s="34">
        <v>606601.23705547978</v>
      </c>
      <c r="E549" s="174">
        <f>IFERROR(DT_data[[#This Row],[Объем предложения]]/C537-1,"")</f>
        <v>-2.2010128554733166E-2</v>
      </c>
      <c r="F549" s="174">
        <f>IFERROR(DT_data[[#This Row],[Средневзвешенная цена]]/D537-1,"")</f>
        <v>1.9651347756328708E-3</v>
      </c>
      <c r="J549" s="13"/>
      <c r="K549" s="13"/>
    </row>
    <row r="550" spans="1:11" x14ac:dyDescent="0.3">
      <c r="A550" s="164">
        <v>45231</v>
      </c>
      <c r="B550" t="s">
        <v>15</v>
      </c>
      <c r="C550">
        <v>3932</v>
      </c>
      <c r="D550" s="34">
        <v>277276.17125937139</v>
      </c>
      <c r="E550" s="174">
        <f>IFERROR(DT_data[[#This Row],[Объем предложения]]/C538-1,"")</f>
        <v>1.6546018614270963E-2</v>
      </c>
      <c r="F550" s="174">
        <f>IFERROR(DT_data[[#This Row],[Средневзвешенная цена]]/D538-1,"")</f>
        <v>1.1533211043905034E-2</v>
      </c>
      <c r="J550" s="13"/>
      <c r="K550" s="13"/>
    </row>
    <row r="551" spans="1:11" x14ac:dyDescent="0.3">
      <c r="A551" s="164">
        <v>45231</v>
      </c>
      <c r="B551" t="s">
        <v>16</v>
      </c>
      <c r="C551">
        <v>4053</v>
      </c>
      <c r="D551" s="34">
        <v>320151.12423298409</v>
      </c>
      <c r="E551" s="174">
        <f>IFERROR(DT_data[[#This Row],[Объем предложения]]/C539-1,"")</f>
        <v>1.3503375843960885E-2</v>
      </c>
      <c r="F551" s="174">
        <f>IFERROR(DT_data[[#This Row],[Средневзвешенная цена]]/D539-1,"")</f>
        <v>1.1829258185325875E-2</v>
      </c>
      <c r="J551" s="13"/>
      <c r="K551" s="13"/>
    </row>
    <row r="552" spans="1:11" x14ac:dyDescent="0.3">
      <c r="A552" s="164">
        <v>45231</v>
      </c>
      <c r="B552" t="s">
        <v>17</v>
      </c>
      <c r="C552">
        <v>4057</v>
      </c>
      <c r="D552" s="34">
        <v>303855.39928112749</v>
      </c>
      <c r="E552" s="174">
        <f>IFERROR(DT_data[[#This Row],[Объем предложения]]/C540-1,"")</f>
        <v>2.4494949494949569E-2</v>
      </c>
      <c r="F552" s="174">
        <f>IFERROR(DT_data[[#This Row],[Средневзвешенная цена]]/D540-1,"")</f>
        <v>1.9422548922626071E-2</v>
      </c>
      <c r="J552" s="13"/>
      <c r="K552" s="13"/>
    </row>
    <row r="553" spans="1:11" x14ac:dyDescent="0.3">
      <c r="A553" s="164">
        <v>45231</v>
      </c>
      <c r="B553" t="s">
        <v>175</v>
      </c>
      <c r="C553">
        <v>458</v>
      </c>
      <c r="D553" s="34">
        <v>225234.24934580029</v>
      </c>
      <c r="E553" s="174">
        <f>IFERROR(DT_data[[#This Row],[Объем предложения]]/C541-1,"")</f>
        <v>6.59340659340657E-3</v>
      </c>
      <c r="F553" s="174">
        <f>IFERROR(DT_data[[#This Row],[Средневзвешенная цена]]/D541-1,"")</f>
        <v>7.955475281949953E-3</v>
      </c>
      <c r="J553" s="13"/>
      <c r="K553" s="13"/>
    </row>
    <row r="554" spans="1:11" x14ac:dyDescent="0.3">
      <c r="A554" s="164">
        <v>45261</v>
      </c>
      <c r="B554" s="3" t="s">
        <v>7</v>
      </c>
      <c r="C554">
        <v>3579</v>
      </c>
      <c r="D554" s="34">
        <v>284566.58050260629</v>
      </c>
      <c r="E554" s="174">
        <f>IFERROR(DT_data[[#This Row],[Объем предложения]]/C542-1,"")</f>
        <v>-9.5983834301591298E-2</v>
      </c>
      <c r="F554" s="174">
        <f>IFERROR(DT_data[[#This Row],[Средневзвешенная цена]]/D542-1,"")</f>
        <v>2.3576493010712962E-3</v>
      </c>
    </row>
    <row r="555" spans="1:11" x14ac:dyDescent="0.3">
      <c r="A555" s="164">
        <v>45261</v>
      </c>
      <c r="B555" t="s">
        <v>8</v>
      </c>
      <c r="C555">
        <v>4021</v>
      </c>
      <c r="D555" s="34">
        <v>361334.5781139374</v>
      </c>
      <c r="E555" s="174">
        <f>IFERROR(DT_data[[#This Row],[Объем предложения]]/C543-1,"")</f>
        <v>-8.0283623055809716E-2</v>
      </c>
      <c r="F555" s="174">
        <f>IFERROR(DT_data[[#This Row],[Средневзвешенная цена]]/D543-1,"")</f>
        <v>8.4495584473716079E-3</v>
      </c>
    </row>
    <row r="556" spans="1:11" x14ac:dyDescent="0.3">
      <c r="A556" s="164">
        <v>45261</v>
      </c>
      <c r="B556" t="s">
        <v>9</v>
      </c>
      <c r="C556">
        <v>1372</v>
      </c>
      <c r="D556" s="34">
        <v>225208.20038814619</v>
      </c>
      <c r="E556" s="174">
        <f>IFERROR(DT_data[[#This Row],[Объем предложения]]/C544-1,"")</f>
        <v>-8.411214953271029E-2</v>
      </c>
      <c r="F556" s="174">
        <f>IFERROR(DT_data[[#This Row],[Средневзвешенная цена]]/D544-1,"")</f>
        <v>-1.3470094771288466E-3</v>
      </c>
    </row>
    <row r="557" spans="1:11" x14ac:dyDescent="0.3">
      <c r="A557" s="164">
        <v>45261</v>
      </c>
      <c r="B557" t="s">
        <v>10</v>
      </c>
      <c r="C557">
        <v>3514</v>
      </c>
      <c r="D557" s="34">
        <v>328426.97070733021</v>
      </c>
      <c r="E557" s="174">
        <f>IFERROR(DT_data[[#This Row],[Объем предложения]]/C545-1,"")</f>
        <v>-7.8415945449777036E-2</v>
      </c>
      <c r="F557" s="174">
        <f>IFERROR(DT_data[[#This Row],[Средневзвешенная цена]]/D545-1,"")</f>
        <v>6.6591160982405473E-3</v>
      </c>
    </row>
    <row r="558" spans="1:11" x14ac:dyDescent="0.3">
      <c r="A558" s="164">
        <v>45261</v>
      </c>
      <c r="B558" t="s">
        <v>11</v>
      </c>
      <c r="C558">
        <v>3379</v>
      </c>
      <c r="D558" s="34">
        <v>301104.78862383508</v>
      </c>
      <c r="E558" s="174">
        <f>IFERROR(DT_data[[#This Row],[Объем предложения]]/C546-1,"")</f>
        <v>-9.2885906040268473E-2</v>
      </c>
      <c r="F558" s="174">
        <f>IFERROR(DT_data[[#This Row],[Средневзвешенная цена]]/D546-1,"")</f>
        <v>6.3278340696606428E-3</v>
      </c>
    </row>
    <row r="559" spans="1:11" x14ac:dyDescent="0.3">
      <c r="A559" s="164">
        <v>45261</v>
      </c>
      <c r="B559" t="s">
        <v>12</v>
      </c>
      <c r="C559">
        <v>2227</v>
      </c>
      <c r="D559" s="34">
        <v>331229.33674344502</v>
      </c>
      <c r="E559" s="174">
        <f>IFERROR(DT_data[[#This Row],[Объем предложения]]/C547-1,"")</f>
        <v>-7.3241781106949677E-2</v>
      </c>
      <c r="F559" s="174">
        <f>IFERROR(DT_data[[#This Row],[Средневзвешенная цена]]/D547-1,"")</f>
        <v>2.5531432689966937E-3</v>
      </c>
    </row>
    <row r="560" spans="1:11" x14ac:dyDescent="0.3">
      <c r="A560" s="164">
        <v>45261</v>
      </c>
      <c r="B560" t="s">
        <v>13</v>
      </c>
      <c r="C560">
        <v>531</v>
      </c>
      <c r="D560" s="34">
        <v>173276.8953003163</v>
      </c>
      <c r="E560" s="174">
        <f>IFERROR(DT_data[[#This Row],[Объем предложения]]/C548-1,"")</f>
        <v>-7.4912891986062768E-2</v>
      </c>
      <c r="F560" s="174">
        <f>IFERROR(DT_data[[#This Row],[Средневзвешенная цена]]/D548-1,"")</f>
        <v>-1.0176169225902254E-2</v>
      </c>
    </row>
    <row r="561" spans="1:6" x14ac:dyDescent="0.3">
      <c r="A561" s="164">
        <v>45261</v>
      </c>
      <c r="B561" t="s">
        <v>14</v>
      </c>
      <c r="C561">
        <v>4644</v>
      </c>
      <c r="D561" s="34">
        <v>608292.30991363106</v>
      </c>
      <c r="E561" s="174">
        <f>IFERROR(DT_data[[#This Row],[Объем предложения]]/C549-1,"")</f>
        <v>-7.5084644493128905E-2</v>
      </c>
      <c r="F561" s="174">
        <f>IFERROR(DT_data[[#This Row],[Средневзвешенная цена]]/D549-1,"")</f>
        <v>2.7877833984644163E-3</v>
      </c>
    </row>
    <row r="562" spans="1:6" x14ac:dyDescent="0.3">
      <c r="A562" s="164">
        <v>45261</v>
      </c>
      <c r="B562" t="s">
        <v>15</v>
      </c>
      <c r="C562">
        <v>3549</v>
      </c>
      <c r="D562" s="34">
        <v>279706.17179711262</v>
      </c>
      <c r="E562" s="174">
        <f>IFERROR(DT_data[[#This Row],[Объем предложения]]/C550-1,"")</f>
        <v>-9.7405900305188253E-2</v>
      </c>
      <c r="F562" s="174">
        <f>IFERROR(DT_data[[#This Row],[Средневзвешенная цена]]/D550-1,"")</f>
        <v>8.7638275106884933E-3</v>
      </c>
    </row>
    <row r="563" spans="1:6" x14ac:dyDescent="0.3">
      <c r="A563" s="164">
        <v>45261</v>
      </c>
      <c r="B563" t="s">
        <v>16</v>
      </c>
      <c r="C563">
        <v>3755</v>
      </c>
      <c r="D563" s="34">
        <v>322882.27017838153</v>
      </c>
      <c r="E563" s="174">
        <f>IFERROR(DT_data[[#This Row],[Объем предложения]]/C551-1,"")</f>
        <v>-7.352578337034299E-2</v>
      </c>
      <c r="F563" s="174">
        <f>IFERROR(DT_data[[#This Row],[Средневзвешенная цена]]/D551-1,"")</f>
        <v>8.5308022951369189E-3</v>
      </c>
    </row>
    <row r="564" spans="1:6" x14ac:dyDescent="0.3">
      <c r="A564" s="164">
        <v>45261</v>
      </c>
      <c r="B564" t="s">
        <v>17</v>
      </c>
      <c r="C564">
        <v>3797</v>
      </c>
      <c r="D564" s="34">
        <v>303967.25541657058</v>
      </c>
      <c r="E564" s="174">
        <f>IFERROR(DT_data[[#This Row],[Объем предложения]]/C552-1,"")</f>
        <v>-6.4086763618437237E-2</v>
      </c>
      <c r="F564" s="174">
        <f>IFERROR(DT_data[[#This Row],[Средневзвешенная цена]]/D552-1,"")</f>
        <v>3.6812291539889408E-4</v>
      </c>
    </row>
    <row r="565" spans="1:6" x14ac:dyDescent="0.3">
      <c r="A565" s="164">
        <v>45261</v>
      </c>
      <c r="B565" t="s">
        <v>175</v>
      </c>
      <c r="C565">
        <v>431</v>
      </c>
      <c r="D565" s="34">
        <v>226777.4156291993</v>
      </c>
      <c r="E565" s="174">
        <f>IFERROR(DT_data[[#This Row],[Объем предложения]]/C553-1,"")</f>
        <v>-5.8951965065502154E-2</v>
      </c>
      <c r="F565" s="174">
        <f>IFERROR(DT_data[[#This Row],[Средневзвешенная цена]]/D553-1,"")</f>
        <v>6.8513837832442359E-3</v>
      </c>
    </row>
    <row r="566" spans="1:6" x14ac:dyDescent="0.3">
      <c r="A566" s="164">
        <v>45292</v>
      </c>
      <c r="B566" s="3" t="s">
        <v>7</v>
      </c>
      <c r="C566">
        <v>3611</v>
      </c>
      <c r="D566" s="34">
        <v>289262.51425630139</v>
      </c>
      <c r="E566" s="174">
        <f>IFERROR(DT_data[[#This Row],[Объем предложения]]/C554-1,"")</f>
        <v>8.9410449846325513E-3</v>
      </c>
      <c r="F566" s="174">
        <f>IFERROR(DT_data[[#This Row],[Средневзвешенная цена]]/D554-1,"")</f>
        <v>1.6502056374297691E-2</v>
      </c>
    </row>
    <row r="567" spans="1:6" x14ac:dyDescent="0.3">
      <c r="A567" s="164">
        <v>45292</v>
      </c>
      <c r="B567" t="s">
        <v>8</v>
      </c>
      <c r="C567">
        <v>4015</v>
      </c>
      <c r="D567" s="34">
        <v>363757.26054850942</v>
      </c>
      <c r="E567" s="174">
        <f>IFERROR(DT_data[[#This Row],[Объем предложения]]/C555-1,"")</f>
        <v>-1.4921661278288756E-3</v>
      </c>
      <c r="F567" s="174">
        <f>IFERROR(DT_data[[#This Row],[Средневзвешенная цена]]/D555-1,"")</f>
        <v>6.7048175882244987E-3</v>
      </c>
    </row>
    <row r="568" spans="1:6" x14ac:dyDescent="0.3">
      <c r="A568" s="164">
        <v>45292</v>
      </c>
      <c r="B568" t="s">
        <v>9</v>
      </c>
      <c r="C568">
        <v>1330</v>
      </c>
      <c r="D568" s="34">
        <v>227814.4215212173</v>
      </c>
      <c r="E568" s="174">
        <f>IFERROR(DT_data[[#This Row],[Объем предложения]]/C556-1,"")</f>
        <v>-3.0612244897959218E-2</v>
      </c>
      <c r="F568" s="174">
        <f>IFERROR(DT_data[[#This Row],[Средневзвешенная цена]]/D556-1,"")</f>
        <v>1.1572496599054904E-2</v>
      </c>
    </row>
    <row r="569" spans="1:6" x14ac:dyDescent="0.3">
      <c r="A569" s="164">
        <v>45292</v>
      </c>
      <c r="B569" t="s">
        <v>10</v>
      </c>
      <c r="C569">
        <v>3513</v>
      </c>
      <c r="D569" s="34">
        <v>328810.32795796858</v>
      </c>
      <c r="E569" s="174">
        <f>IFERROR(DT_data[[#This Row],[Объем предложения]]/C557-1,"")</f>
        <v>-2.8457598178710519E-4</v>
      </c>
      <c r="F569" s="174">
        <f>IFERROR(DT_data[[#This Row],[Средневзвешенная цена]]/D557-1,"")</f>
        <v>1.1672526461901089E-3</v>
      </c>
    </row>
    <row r="570" spans="1:6" x14ac:dyDescent="0.3">
      <c r="A570" s="164">
        <v>45292</v>
      </c>
      <c r="B570" t="s">
        <v>11</v>
      </c>
      <c r="C570">
        <v>3468</v>
      </c>
      <c r="D570" s="34">
        <v>303900.31270526722</v>
      </c>
      <c r="E570" s="174">
        <f>IFERROR(DT_data[[#This Row],[Объем предложения]]/C558-1,"")</f>
        <v>2.6339153595738463E-2</v>
      </c>
      <c r="F570" s="174">
        <f>IFERROR(DT_data[[#This Row],[Средневзвешенная цена]]/D558-1,"")</f>
        <v>9.2842232573211447E-3</v>
      </c>
    </row>
    <row r="571" spans="1:6" x14ac:dyDescent="0.3">
      <c r="A571" s="164">
        <v>45292</v>
      </c>
      <c r="B571" t="s">
        <v>12</v>
      </c>
      <c r="C571">
        <v>2268</v>
      </c>
      <c r="D571" s="34">
        <v>331327.5585186574</v>
      </c>
      <c r="E571" s="174">
        <f>IFERROR(DT_data[[#This Row],[Объем предложения]]/C559-1,"")</f>
        <v>1.8410417602155338E-2</v>
      </c>
      <c r="F571" s="174">
        <f>IFERROR(DT_data[[#This Row],[Средневзвешенная цена]]/D559-1,"")</f>
        <v>2.9653706455490259E-4</v>
      </c>
    </row>
    <row r="572" spans="1:6" x14ac:dyDescent="0.3">
      <c r="A572" s="164">
        <v>45292</v>
      </c>
      <c r="B572" t="s">
        <v>13</v>
      </c>
      <c r="C572">
        <v>543</v>
      </c>
      <c r="D572" s="34">
        <v>173619.68782866441</v>
      </c>
      <c r="E572" s="174">
        <f>IFERROR(DT_data[[#This Row],[Объем предложения]]/C560-1,"")</f>
        <v>2.2598870056497189E-2</v>
      </c>
      <c r="F572" s="174">
        <f>IFERROR(DT_data[[#This Row],[Средневзвешенная цена]]/D560-1,"")</f>
        <v>1.9782933423062588E-3</v>
      </c>
    </row>
    <row r="573" spans="1:6" x14ac:dyDescent="0.3">
      <c r="A573" s="164">
        <v>45292</v>
      </c>
      <c r="B573" t="s">
        <v>14</v>
      </c>
      <c r="C573">
        <v>4523</v>
      </c>
      <c r="D573" s="34">
        <v>615847.26275145845</v>
      </c>
      <c r="E573" s="174">
        <f>IFERROR(DT_data[[#This Row],[Объем предложения]]/C561-1,"")</f>
        <v>-2.6055124892334192E-2</v>
      </c>
      <c r="F573" s="174">
        <f>IFERROR(DT_data[[#This Row],[Средневзвешенная цена]]/D561-1,"")</f>
        <v>1.2419938103278128E-2</v>
      </c>
    </row>
    <row r="574" spans="1:6" x14ac:dyDescent="0.3">
      <c r="A574" s="164">
        <v>45292</v>
      </c>
      <c r="B574" t="s">
        <v>15</v>
      </c>
      <c r="C574">
        <v>3507</v>
      </c>
      <c r="D574" s="34">
        <v>281744.10480363289</v>
      </c>
      <c r="E574" s="174">
        <f>IFERROR(DT_data[[#This Row],[Объем предложения]]/C562-1,"")</f>
        <v>-1.1834319526627168E-2</v>
      </c>
      <c r="F574" s="174">
        <f>IFERROR(DT_data[[#This Row],[Средневзвешенная цена]]/D562-1,"")</f>
        <v>7.285977972622204E-3</v>
      </c>
    </row>
    <row r="575" spans="1:6" x14ac:dyDescent="0.3">
      <c r="A575" s="164">
        <v>45292</v>
      </c>
      <c r="B575" t="s">
        <v>16</v>
      </c>
      <c r="C575">
        <v>3732</v>
      </c>
      <c r="D575" s="34">
        <v>325473.74666206271</v>
      </c>
      <c r="E575" s="174">
        <f>IFERROR(DT_data[[#This Row],[Объем предложения]]/C563-1,"")</f>
        <v>-6.1251664447403709E-3</v>
      </c>
      <c r="F575" s="174">
        <f>IFERROR(DT_data[[#This Row],[Средневзвешенная цена]]/D563-1,"")</f>
        <v>8.0260724202956268E-3</v>
      </c>
    </row>
    <row r="576" spans="1:6" x14ac:dyDescent="0.3">
      <c r="A576" s="164">
        <v>45292</v>
      </c>
      <c r="B576" t="s">
        <v>17</v>
      </c>
      <c r="C576">
        <v>3757</v>
      </c>
      <c r="D576" s="34">
        <v>303769.06009649101</v>
      </c>
      <c r="E576" s="174">
        <f>IFERROR(DT_data[[#This Row],[Объем предложения]]/C564-1,"")</f>
        <v>-1.0534632604687899E-2</v>
      </c>
      <c r="F576" s="174">
        <f>IFERROR(DT_data[[#This Row],[Средневзвешенная цена]]/D564-1,"")</f>
        <v>-6.5202852132195677E-4</v>
      </c>
    </row>
    <row r="577" spans="1:6" x14ac:dyDescent="0.3">
      <c r="A577" s="164">
        <v>45292</v>
      </c>
      <c r="B577" t="s">
        <v>175</v>
      </c>
      <c r="C577">
        <v>455</v>
      </c>
      <c r="D577" s="34">
        <v>230182.9635345304</v>
      </c>
      <c r="E577" s="174">
        <f>IFERROR(DT_data[[#This Row],[Объем предложения]]/C565-1,"")</f>
        <v>5.5684454756380619E-2</v>
      </c>
      <c r="F577" s="174">
        <f>IFERROR(DT_data[[#This Row],[Средневзвешенная цена]]/D565-1,"")</f>
        <v>1.5017138703527166E-2</v>
      </c>
    </row>
    <row r="578" spans="1:6" x14ac:dyDescent="0.3">
      <c r="A578" s="164">
        <v>45323</v>
      </c>
      <c r="B578" s="3" t="s">
        <v>7</v>
      </c>
      <c r="C578">
        <v>4098</v>
      </c>
      <c r="D578" s="34">
        <v>289294.03604298149</v>
      </c>
      <c r="E578" s="174">
        <f>IFERROR(DT_data[[#This Row],[Объем предложения]]/C566-1,"")</f>
        <v>0.13486568817502076</v>
      </c>
      <c r="F578" s="174">
        <f>IFERROR(DT_data[[#This Row],[Средневзвешенная цена]]/D566-1,"")</f>
        <v>1.089729402412587E-4</v>
      </c>
    </row>
    <row r="579" spans="1:6" x14ac:dyDescent="0.3">
      <c r="A579" s="164">
        <v>45323</v>
      </c>
      <c r="B579" t="s">
        <v>8</v>
      </c>
      <c r="C579">
        <v>4441</v>
      </c>
      <c r="D579" s="34">
        <v>365488.45612006949</v>
      </c>
      <c r="E579" s="174">
        <f>IFERROR(DT_data[[#This Row],[Объем предложения]]/C567-1,"")</f>
        <v>0.10610211706102124</v>
      </c>
      <c r="F579" s="174">
        <f>IFERROR(DT_data[[#This Row],[Средневзвешенная цена]]/D567-1,"")</f>
        <v>4.7592055453398174E-3</v>
      </c>
    </row>
    <row r="580" spans="1:6" x14ac:dyDescent="0.3">
      <c r="A580" s="164">
        <v>45323</v>
      </c>
      <c r="B580" t="s">
        <v>9</v>
      </c>
      <c r="C580">
        <v>1528</v>
      </c>
      <c r="D580" s="34">
        <v>229921.2919516268</v>
      </c>
      <c r="E580" s="174">
        <f>IFERROR(DT_data[[#This Row],[Объем предложения]]/C568-1,"")</f>
        <v>0.14887218045112771</v>
      </c>
      <c r="F580" s="174">
        <f>IFERROR(DT_data[[#This Row],[Средневзвешенная цена]]/D568-1,"")</f>
        <v>9.2481872584755376E-3</v>
      </c>
    </row>
    <row r="581" spans="1:6" x14ac:dyDescent="0.3">
      <c r="A581" s="164">
        <v>45323</v>
      </c>
      <c r="B581" t="s">
        <v>10</v>
      </c>
      <c r="C581">
        <v>4039</v>
      </c>
      <c r="D581" s="34">
        <v>330143.52980276878</v>
      </c>
      <c r="E581" s="174">
        <f>IFERROR(DT_data[[#This Row],[Объем предложения]]/C569-1,"")</f>
        <v>0.14972957586108748</v>
      </c>
      <c r="F581" s="174">
        <f>IFERROR(DT_data[[#This Row],[Средневзвешенная цена]]/D569-1,"")</f>
        <v>4.0546227762365827E-3</v>
      </c>
    </row>
    <row r="582" spans="1:6" x14ac:dyDescent="0.3">
      <c r="A582" s="164">
        <v>45323</v>
      </c>
      <c r="B582" t="s">
        <v>11</v>
      </c>
      <c r="C582">
        <v>3779</v>
      </c>
      <c r="D582" s="34">
        <v>304797.91739474999</v>
      </c>
      <c r="E582" s="174">
        <f>IFERROR(DT_data[[#This Row],[Объем предложения]]/C570-1,"")</f>
        <v>8.9677047289504097E-2</v>
      </c>
      <c r="F582" s="174">
        <f>IFERROR(DT_data[[#This Row],[Средневзвешенная цена]]/D570-1,"")</f>
        <v>2.9536155507456918E-3</v>
      </c>
    </row>
    <row r="583" spans="1:6" x14ac:dyDescent="0.3">
      <c r="A583" s="164">
        <v>45323</v>
      </c>
      <c r="B583" t="s">
        <v>12</v>
      </c>
      <c r="C583">
        <v>2574</v>
      </c>
      <c r="D583" s="34">
        <v>332830.33556204388</v>
      </c>
      <c r="E583" s="174">
        <f>IFERROR(DT_data[[#This Row],[Объем предложения]]/C571-1,"")</f>
        <v>0.13492063492063489</v>
      </c>
      <c r="F583" s="174">
        <f>IFERROR(DT_data[[#This Row],[Средневзвешенная цена]]/D571-1,"")</f>
        <v>4.5356234480020685E-3</v>
      </c>
    </row>
    <row r="584" spans="1:6" x14ac:dyDescent="0.3">
      <c r="A584" s="164">
        <v>45323</v>
      </c>
      <c r="B584" t="s">
        <v>13</v>
      </c>
      <c r="C584">
        <v>597</v>
      </c>
      <c r="D584" s="34">
        <v>175328.29291796251</v>
      </c>
      <c r="E584" s="174">
        <f>IFERROR(DT_data[[#This Row],[Объем предложения]]/C572-1,"")</f>
        <v>9.9447513812154664E-2</v>
      </c>
      <c r="F584" s="174">
        <f>IFERROR(DT_data[[#This Row],[Средневзвешенная цена]]/D572-1,"")</f>
        <v>9.8410791464169645E-3</v>
      </c>
    </row>
    <row r="585" spans="1:6" x14ac:dyDescent="0.3">
      <c r="A585" s="164">
        <v>45323</v>
      </c>
      <c r="B585" t="s">
        <v>14</v>
      </c>
      <c r="C585">
        <v>4969</v>
      </c>
      <c r="D585" s="34">
        <v>616123.2832791314</v>
      </c>
      <c r="E585" s="174">
        <f>IFERROR(DT_data[[#This Row],[Объем предложения]]/C573-1,"")</f>
        <v>9.8607119168693247E-2</v>
      </c>
      <c r="F585" s="174">
        <f>IFERROR(DT_data[[#This Row],[Средневзвешенная цена]]/D573-1,"")</f>
        <v>4.4819640252957704E-4</v>
      </c>
    </row>
    <row r="586" spans="1:6" x14ac:dyDescent="0.3">
      <c r="A586" s="164">
        <v>45323</v>
      </c>
      <c r="B586" t="s">
        <v>15</v>
      </c>
      <c r="C586">
        <v>3955</v>
      </c>
      <c r="D586" s="34">
        <v>283273.20011927688</v>
      </c>
      <c r="E586" s="174">
        <f>IFERROR(DT_data[[#This Row],[Объем предложения]]/C574-1,"")</f>
        <v>0.12774451097804396</v>
      </c>
      <c r="F586" s="174">
        <f>IFERROR(DT_data[[#This Row],[Средневзвешенная цена]]/D574-1,"")</f>
        <v>5.4272486613684556E-3</v>
      </c>
    </row>
    <row r="587" spans="1:6" x14ac:dyDescent="0.3">
      <c r="A587" s="164">
        <v>45323</v>
      </c>
      <c r="B587" t="s">
        <v>16</v>
      </c>
      <c r="C587">
        <v>4250</v>
      </c>
      <c r="D587" s="34">
        <v>326709.71713019809</v>
      </c>
      <c r="E587" s="174">
        <f>IFERROR(DT_data[[#This Row],[Объем предложения]]/C575-1,"")</f>
        <v>0.1387995712754555</v>
      </c>
      <c r="F587" s="174">
        <f>IFERROR(DT_data[[#This Row],[Средневзвешенная цена]]/D575-1,"")</f>
        <v>3.7974505803033409E-3</v>
      </c>
    </row>
    <row r="588" spans="1:6" x14ac:dyDescent="0.3">
      <c r="A588" s="164">
        <v>45323</v>
      </c>
      <c r="B588" t="s">
        <v>17</v>
      </c>
      <c r="C588">
        <v>4116</v>
      </c>
      <c r="D588" s="34">
        <v>306396.68392163911</v>
      </c>
      <c r="E588" s="174">
        <f>IFERROR(DT_data[[#This Row],[Объем предложения]]/C576-1,"")</f>
        <v>9.5554964067074755E-2</v>
      </c>
      <c r="F588" s="174">
        <f>IFERROR(DT_data[[#This Row],[Средневзвешенная цена]]/D576-1,"")</f>
        <v>8.6500706303447306E-3</v>
      </c>
    </row>
    <row r="589" spans="1:6" x14ac:dyDescent="0.3">
      <c r="A589" s="164">
        <v>45323</v>
      </c>
      <c r="B589" t="s">
        <v>175</v>
      </c>
      <c r="C589">
        <v>501</v>
      </c>
      <c r="D589" s="34">
        <v>230612.0646253484</v>
      </c>
      <c r="E589" s="174">
        <f>IFERROR(DT_data[[#This Row],[Объем предложения]]/C577-1,"")</f>
        <v>0.10109890109890118</v>
      </c>
      <c r="F589" s="174">
        <f>IFERROR(DT_data[[#This Row],[Средневзвешенная цена]]/D577-1,"")</f>
        <v>1.864173978078254E-3</v>
      </c>
    </row>
    <row r="590" spans="1:6" x14ac:dyDescent="0.3">
      <c r="A590" s="164">
        <v>45352</v>
      </c>
      <c r="B590" s="3" t="s">
        <v>7</v>
      </c>
      <c r="C590">
        <v>4345</v>
      </c>
      <c r="D590" s="34">
        <v>288247.75322451221</v>
      </c>
      <c r="E590" s="174">
        <f>IFERROR(DT_data[[#This Row],[Объем предложения]]/C578-1,"")</f>
        <v>6.0273304050756371E-2</v>
      </c>
      <c r="F590" s="174">
        <f>IFERROR(DT_data[[#This Row],[Средневзвешенная цена]]/D578-1,"")</f>
        <v>-3.6166760738677306E-3</v>
      </c>
    </row>
    <row r="591" spans="1:6" x14ac:dyDescent="0.3">
      <c r="A591" s="164">
        <v>45352</v>
      </c>
      <c r="B591" t="s">
        <v>8</v>
      </c>
      <c r="C591">
        <v>4535</v>
      </c>
      <c r="D591" s="34">
        <v>364124.99397040351</v>
      </c>
      <c r="E591" s="174">
        <f>IFERROR(DT_data[[#This Row],[Объем предложения]]/C579-1,"")</f>
        <v>2.1166403963071456E-2</v>
      </c>
      <c r="F591" s="174">
        <f>IFERROR(DT_data[[#This Row],[Средневзвешенная цена]]/D579-1,"")</f>
        <v>-3.7305204222867205E-3</v>
      </c>
    </row>
    <row r="592" spans="1:6" x14ac:dyDescent="0.3">
      <c r="A592" s="164">
        <v>45352</v>
      </c>
      <c r="B592" t="s">
        <v>9</v>
      </c>
      <c r="C592">
        <v>1552</v>
      </c>
      <c r="D592" s="34">
        <v>229030.49457631609</v>
      </c>
      <c r="E592" s="174">
        <f>IFERROR(DT_data[[#This Row],[Объем предложения]]/C580-1,"")</f>
        <v>1.5706806282722585E-2</v>
      </c>
      <c r="F592" s="174">
        <f>IFERROR(DT_data[[#This Row],[Средневзвешенная цена]]/D580-1,"")</f>
        <v>-3.8743579063487132E-3</v>
      </c>
    </row>
    <row r="593" spans="1:6" x14ac:dyDescent="0.3">
      <c r="A593" s="164">
        <v>45352</v>
      </c>
      <c r="B593" t="s">
        <v>10</v>
      </c>
      <c r="C593">
        <v>4273</v>
      </c>
      <c r="D593" s="34">
        <v>330494.80886684521</v>
      </c>
      <c r="E593" s="174">
        <f>IFERROR(DT_data[[#This Row],[Объем предложения]]/C581-1,"")</f>
        <v>5.7935132458529326E-2</v>
      </c>
      <c r="F593" s="174">
        <f>IFERROR(DT_data[[#This Row],[Средневзвешенная цена]]/D581-1,"")</f>
        <v>1.0640192291100359E-3</v>
      </c>
    </row>
    <row r="594" spans="1:6" x14ac:dyDescent="0.3">
      <c r="A594" s="164">
        <v>45352</v>
      </c>
      <c r="B594" t="s">
        <v>11</v>
      </c>
      <c r="C594">
        <v>3891</v>
      </c>
      <c r="D594" s="34">
        <v>305786.89972633158</v>
      </c>
      <c r="E594" s="174">
        <f>IFERROR(DT_data[[#This Row],[Объем предложения]]/C582-1,"")</f>
        <v>2.9637470230219565E-2</v>
      </c>
      <c r="F594" s="174">
        <f>IFERROR(DT_data[[#This Row],[Средневзвешенная цена]]/D582-1,"")</f>
        <v>3.2447148590610819E-3</v>
      </c>
    </row>
    <row r="595" spans="1:6" x14ac:dyDescent="0.3">
      <c r="A595" s="164">
        <v>45352</v>
      </c>
      <c r="B595" t="s">
        <v>12</v>
      </c>
      <c r="C595">
        <v>2758</v>
      </c>
      <c r="D595" s="34">
        <v>332550.31321326829</v>
      </c>
      <c r="E595" s="174">
        <f>IFERROR(DT_data[[#This Row],[Объем предложения]]/C583-1,"")</f>
        <v>7.1484071484071432E-2</v>
      </c>
      <c r="F595" s="174">
        <f>IFERROR(DT_data[[#This Row],[Средневзвешенная цена]]/D583-1,"")</f>
        <v>-8.4133661765750656E-4</v>
      </c>
    </row>
    <row r="596" spans="1:6" x14ac:dyDescent="0.3">
      <c r="A596" s="164">
        <v>45352</v>
      </c>
      <c r="B596" t="s">
        <v>13</v>
      </c>
      <c r="C596">
        <v>626</v>
      </c>
      <c r="D596" s="34">
        <v>176039.49770234569</v>
      </c>
      <c r="E596" s="174">
        <f>IFERROR(DT_data[[#This Row],[Объем предложения]]/C584-1,"")</f>
        <v>4.8576214405360085E-2</v>
      </c>
      <c r="F596" s="174">
        <f>IFERROR(DT_data[[#This Row],[Средневзвешенная цена]]/D584-1,"")</f>
        <v>4.0564176639532601E-3</v>
      </c>
    </row>
    <row r="597" spans="1:6" x14ac:dyDescent="0.3">
      <c r="A597" s="164">
        <v>45352</v>
      </c>
      <c r="B597" t="s">
        <v>14</v>
      </c>
      <c r="C597">
        <v>5057</v>
      </c>
      <c r="D597" s="34">
        <v>621741.88222202507</v>
      </c>
      <c r="E597" s="174">
        <f>IFERROR(DT_data[[#This Row],[Объем предложения]]/C585-1,"")</f>
        <v>1.7709800764741379E-2</v>
      </c>
      <c r="F597" s="174">
        <f>IFERROR(DT_data[[#This Row],[Средневзвешенная цена]]/D585-1,"")</f>
        <v>9.1192770917378763E-3</v>
      </c>
    </row>
    <row r="598" spans="1:6" x14ac:dyDescent="0.3">
      <c r="A598" s="164">
        <v>45352</v>
      </c>
      <c r="B598" t="s">
        <v>15</v>
      </c>
      <c r="C598">
        <v>4108</v>
      </c>
      <c r="D598" s="34">
        <v>283523.30342770729</v>
      </c>
      <c r="E598" s="174">
        <f>IFERROR(DT_data[[#This Row],[Объем предложения]]/C586-1,"")</f>
        <v>3.8685208596713094E-2</v>
      </c>
      <c r="F598" s="174">
        <f>IFERROR(DT_data[[#This Row],[Средневзвешенная цена]]/D586-1,"")</f>
        <v>8.8290494238463246E-4</v>
      </c>
    </row>
    <row r="599" spans="1:6" x14ac:dyDescent="0.3">
      <c r="A599" s="164">
        <v>45352</v>
      </c>
      <c r="B599" t="s">
        <v>16</v>
      </c>
      <c r="C599">
        <v>4542</v>
      </c>
      <c r="D599" s="34">
        <v>327963.09834628343</v>
      </c>
      <c r="E599" s="174">
        <f>IFERROR(DT_data[[#This Row],[Объем предложения]]/C587-1,"")</f>
        <v>6.8705882352941172E-2</v>
      </c>
      <c r="F599" s="174">
        <f>IFERROR(DT_data[[#This Row],[Средневзвешенная цена]]/D587-1,"")</f>
        <v>3.8363756887764833E-3</v>
      </c>
    </row>
    <row r="600" spans="1:6" x14ac:dyDescent="0.3">
      <c r="A600" s="164">
        <v>45352</v>
      </c>
      <c r="B600" t="s">
        <v>17</v>
      </c>
      <c r="C600">
        <v>4422</v>
      </c>
      <c r="D600" s="34">
        <v>304233.77453044592</v>
      </c>
      <c r="E600" s="174">
        <f>IFERROR(DT_data[[#This Row],[Объем предложения]]/C588-1,"")</f>
        <v>7.4344023323615227E-2</v>
      </c>
      <c r="F600" s="174">
        <f>IFERROR(DT_data[[#This Row],[Средневзвешенная цена]]/D588-1,"")</f>
        <v>-7.0591801566179946E-3</v>
      </c>
    </row>
    <row r="601" spans="1:6" x14ac:dyDescent="0.3">
      <c r="A601" s="164">
        <v>45352</v>
      </c>
      <c r="B601" t="s">
        <v>175</v>
      </c>
      <c r="C601">
        <v>586</v>
      </c>
      <c r="D601" s="34">
        <v>232579.11563815709</v>
      </c>
      <c r="E601" s="174">
        <f>IFERROR(DT_data[[#This Row],[Объем предложения]]/C589-1,"")</f>
        <v>0.16966067864271461</v>
      </c>
      <c r="F601" s="174">
        <f>IFERROR(DT_data[[#This Row],[Средневзвешенная цена]]/D589-1,"")</f>
        <v>8.5296969003090251E-3</v>
      </c>
    </row>
    <row r="602" spans="1:6" x14ac:dyDescent="0.3">
      <c r="A602" s="164">
        <v>45383</v>
      </c>
      <c r="B602" s="3" t="s">
        <v>7</v>
      </c>
      <c r="C602">
        <v>4504</v>
      </c>
      <c r="D602" s="34">
        <v>288479.34075166669</v>
      </c>
      <c r="E602" s="174">
        <f>IFERROR(DT_data[[#This Row],[Объем предложения]]/C590-1,"")</f>
        <v>3.6593785960874481E-2</v>
      </c>
      <c r="F602" s="174">
        <f>IFERROR(DT_data[[#This Row],[Средневзвешенная цена]]/D590-1,"")</f>
        <v>8.0343220220724376E-4</v>
      </c>
    </row>
    <row r="603" spans="1:6" x14ac:dyDescent="0.3">
      <c r="A603" s="164">
        <v>45383</v>
      </c>
      <c r="B603" t="s">
        <v>8</v>
      </c>
      <c r="C603">
        <v>4636</v>
      </c>
      <c r="D603" s="34">
        <v>368219.18854266661</v>
      </c>
      <c r="E603" s="174">
        <f>IFERROR(DT_data[[#This Row],[Объем предложения]]/C591-1,"")</f>
        <v>2.2271223814773977E-2</v>
      </c>
      <c r="F603" s="174">
        <f>IFERROR(DT_data[[#This Row],[Средневзвешенная цена]]/D591-1,"")</f>
        <v>1.124392623428605E-2</v>
      </c>
    </row>
    <row r="604" spans="1:6" x14ac:dyDescent="0.3">
      <c r="A604" s="164">
        <v>45383</v>
      </c>
      <c r="B604" t="s">
        <v>9</v>
      </c>
      <c r="C604">
        <v>1552</v>
      </c>
      <c r="D604" s="34">
        <v>227357.98053028231</v>
      </c>
      <c r="E604" s="174">
        <f>IFERROR(DT_data[[#This Row],[Объем предложения]]/C592-1,"")</f>
        <v>0</v>
      </c>
      <c r="F604" s="174">
        <f>IFERROR(DT_data[[#This Row],[Средневзвешенная цена]]/D592-1,"")</f>
        <v>-7.3025823444505811E-3</v>
      </c>
    </row>
    <row r="605" spans="1:6" x14ac:dyDescent="0.3">
      <c r="A605" s="164">
        <v>45383</v>
      </c>
      <c r="B605" t="s">
        <v>10</v>
      </c>
      <c r="C605">
        <v>4324</v>
      </c>
      <c r="D605" s="34">
        <v>329507.20153990138</v>
      </c>
      <c r="E605" s="174">
        <f>IFERROR(DT_data[[#This Row],[Объем предложения]]/C593-1,"")</f>
        <v>1.1935408378188628E-2</v>
      </c>
      <c r="F605" s="174">
        <f>IFERROR(DT_data[[#This Row],[Средневзвешенная цена]]/D593-1,"")</f>
        <v>-2.988268803162164E-3</v>
      </c>
    </row>
    <row r="606" spans="1:6" x14ac:dyDescent="0.3">
      <c r="A606" s="164">
        <v>45383</v>
      </c>
      <c r="B606" t="s">
        <v>11</v>
      </c>
      <c r="C606">
        <v>3960</v>
      </c>
      <c r="D606" s="34">
        <v>303756.42641210521</v>
      </c>
      <c r="E606" s="174">
        <f>IFERROR(DT_data[[#This Row],[Объем предложения]]/C594-1,"")</f>
        <v>1.7733230531996824E-2</v>
      </c>
      <c r="F606" s="174">
        <f>IFERROR(DT_data[[#This Row],[Средневзвешенная цена]]/D594-1,"")</f>
        <v>-6.6401579532791022E-3</v>
      </c>
    </row>
    <row r="607" spans="1:6" x14ac:dyDescent="0.3">
      <c r="A607" s="164">
        <v>45383</v>
      </c>
      <c r="B607" t="s">
        <v>12</v>
      </c>
      <c r="C607">
        <v>2807</v>
      </c>
      <c r="D607" s="34">
        <v>335124.97603968438</v>
      </c>
      <c r="E607" s="174">
        <f>IFERROR(DT_data[[#This Row],[Объем предложения]]/C595-1,"")</f>
        <v>1.7766497461928932E-2</v>
      </c>
      <c r="F607" s="174">
        <f>IFERROR(DT_data[[#This Row],[Средневзвешенная цена]]/D595-1,"")</f>
        <v>7.7421753163855467E-3</v>
      </c>
    </row>
    <row r="608" spans="1:6" x14ac:dyDescent="0.3">
      <c r="A608" s="164">
        <v>45383</v>
      </c>
      <c r="B608" t="s">
        <v>13</v>
      </c>
      <c r="C608">
        <v>600</v>
      </c>
      <c r="D608" s="34">
        <v>176361.32521656499</v>
      </c>
      <c r="E608" s="174">
        <f>IFERROR(DT_data[[#This Row],[Объем предложения]]/C596-1,"")</f>
        <v>-4.1533546325878579E-2</v>
      </c>
      <c r="F608" s="174">
        <f>IFERROR(DT_data[[#This Row],[Средневзвешенная цена]]/D596-1,"")</f>
        <v>1.8281551493828374E-3</v>
      </c>
    </row>
    <row r="609" spans="1:6" x14ac:dyDescent="0.3">
      <c r="A609" s="164">
        <v>45383</v>
      </c>
      <c r="B609" t="s">
        <v>14</v>
      </c>
      <c r="C609">
        <v>5086</v>
      </c>
      <c r="D609" s="34">
        <v>625378.28355069715</v>
      </c>
      <c r="E609" s="174">
        <f>IFERROR(DT_data[[#This Row],[Объем предложения]]/C597-1,"")</f>
        <v>5.7346252719003843E-3</v>
      </c>
      <c r="F609" s="174">
        <f>IFERROR(DT_data[[#This Row],[Средневзвешенная цена]]/D597-1,"")</f>
        <v>5.8487314955781855E-3</v>
      </c>
    </row>
    <row r="610" spans="1:6" x14ac:dyDescent="0.3">
      <c r="A610" s="164">
        <v>45383</v>
      </c>
      <c r="B610" t="s">
        <v>15</v>
      </c>
      <c r="C610">
        <v>4256</v>
      </c>
      <c r="D610" s="34">
        <v>283163.00037090998</v>
      </c>
      <c r="E610" s="174">
        <f>IFERROR(DT_data[[#This Row],[Объем предложения]]/C598-1,"")</f>
        <v>3.6027263875365145E-2</v>
      </c>
      <c r="F610" s="174">
        <f>IFERROR(DT_data[[#This Row],[Средневзвешенная цена]]/D598-1,"")</f>
        <v>-1.2708057942375506E-3</v>
      </c>
    </row>
    <row r="611" spans="1:6" x14ac:dyDescent="0.3">
      <c r="A611" s="164">
        <v>45383</v>
      </c>
      <c r="B611" t="s">
        <v>16</v>
      </c>
      <c r="C611">
        <v>4679</v>
      </c>
      <c r="D611" s="34">
        <v>327066.62273190613</v>
      </c>
      <c r="E611" s="174">
        <f>IFERROR(DT_data[[#This Row],[Объем предложения]]/C599-1,"")</f>
        <v>3.0162923822104837E-2</v>
      </c>
      <c r="F611" s="174">
        <f>IFERROR(DT_data[[#This Row],[Средневзвешенная цена]]/D599-1,"")</f>
        <v>-2.7334648894881131E-3</v>
      </c>
    </row>
    <row r="612" spans="1:6" x14ac:dyDescent="0.3">
      <c r="A612" s="164">
        <v>45383</v>
      </c>
      <c r="B612" t="s">
        <v>17</v>
      </c>
      <c r="C612">
        <v>4493</v>
      </c>
      <c r="D612" s="34">
        <v>302940.21188891242</v>
      </c>
      <c r="E612" s="174">
        <f>IFERROR(DT_data[[#This Row],[Объем предложения]]/C600-1,"")</f>
        <v>1.6056083220262307E-2</v>
      </c>
      <c r="F612" s="174">
        <f>IFERROR(DT_data[[#This Row],[Средневзвешенная цена]]/D600-1,"")</f>
        <v>-4.2518706002644402E-3</v>
      </c>
    </row>
    <row r="613" spans="1:6" x14ac:dyDescent="0.3">
      <c r="A613" s="164">
        <v>45383</v>
      </c>
      <c r="B613" t="s">
        <v>175</v>
      </c>
      <c r="C613">
        <v>566</v>
      </c>
      <c r="D613" s="34">
        <v>234785.75366820849</v>
      </c>
      <c r="E613" s="174">
        <f>IFERROR(DT_data[[#This Row],[Объем предложения]]/C601-1,"")</f>
        <v>-3.4129692832764458E-2</v>
      </c>
      <c r="F613" s="174">
        <f>IFERROR(DT_data[[#This Row],[Средневзвешенная цена]]/D601-1,"")</f>
        <v>9.4876877659317849E-3</v>
      </c>
    </row>
    <row r="614" spans="1:6" x14ac:dyDescent="0.3">
      <c r="A614" s="164">
        <v>45413</v>
      </c>
      <c r="B614" s="3" t="s">
        <v>7</v>
      </c>
      <c r="C614">
        <v>4588</v>
      </c>
      <c r="D614" s="34">
        <v>288968.10491984768</v>
      </c>
      <c r="E614" s="174">
        <f>IFERROR(DT_data[[#This Row],[Объем предложения]]/C602-1,"")</f>
        <v>1.8650088809946785E-2</v>
      </c>
      <c r="F614" s="174">
        <f>IFERROR(DT_data[[#This Row],[Средневзвешенная цена]]/D602-1,"")</f>
        <v>1.6942778880022491E-3</v>
      </c>
    </row>
    <row r="615" spans="1:6" x14ac:dyDescent="0.3">
      <c r="A615" s="164">
        <v>45413</v>
      </c>
      <c r="B615" t="s">
        <v>8</v>
      </c>
      <c r="C615">
        <v>4632</v>
      </c>
      <c r="D615" s="34">
        <v>368799.48439855588</v>
      </c>
      <c r="E615" s="174">
        <f>IFERROR(DT_data[[#This Row],[Объем предложения]]/C603-1,"")</f>
        <v>-8.6281276962896225E-4</v>
      </c>
      <c r="F615" s="174">
        <f>IFERROR(DT_data[[#This Row],[Средневзвешенная цена]]/D603-1,"")</f>
        <v>1.5759522424292349E-3</v>
      </c>
    </row>
    <row r="616" spans="1:6" x14ac:dyDescent="0.3">
      <c r="A616" s="164">
        <v>45413</v>
      </c>
      <c r="B616" t="s">
        <v>9</v>
      </c>
      <c r="C616">
        <v>1532</v>
      </c>
      <c r="D616" s="34">
        <v>226554.22661148949</v>
      </c>
      <c r="E616" s="174">
        <f>IFERROR(DT_data[[#This Row],[Объем предложения]]/C604-1,"")</f>
        <v>-1.2886597938144284E-2</v>
      </c>
      <c r="F616" s="174">
        <f>IFERROR(DT_data[[#This Row],[Средневзвешенная цена]]/D604-1,"")</f>
        <v>-3.5351911418203263E-3</v>
      </c>
    </row>
    <row r="617" spans="1:6" x14ac:dyDescent="0.3">
      <c r="A617" s="164">
        <v>45413</v>
      </c>
      <c r="B617" t="s">
        <v>10</v>
      </c>
      <c r="C617">
        <v>4222</v>
      </c>
      <c r="D617" s="34">
        <v>329242.58834747411</v>
      </c>
      <c r="E617" s="174">
        <f>IFERROR(DT_data[[#This Row],[Объем предложения]]/C605-1,"")</f>
        <v>-2.3589269195189666E-2</v>
      </c>
      <c r="F617" s="174">
        <f>IFERROR(DT_data[[#This Row],[Средневзвешенная цена]]/D605-1,"")</f>
        <v>-8.0305738748842614E-4</v>
      </c>
    </row>
    <row r="618" spans="1:6" x14ac:dyDescent="0.3">
      <c r="A618" s="164">
        <v>45413</v>
      </c>
      <c r="B618" t="s">
        <v>11</v>
      </c>
      <c r="C618">
        <v>3978</v>
      </c>
      <c r="D618" s="34">
        <v>302621.59237596218</v>
      </c>
      <c r="E618" s="174">
        <f>IFERROR(DT_data[[#This Row],[Объем предложения]]/C606-1,"")</f>
        <v>4.5454545454546302E-3</v>
      </c>
      <c r="F618" s="174">
        <f>IFERROR(DT_data[[#This Row],[Средневзвешенная цена]]/D606-1,"")</f>
        <v>-3.736000089108904E-3</v>
      </c>
    </row>
    <row r="619" spans="1:6" x14ac:dyDescent="0.3">
      <c r="A619" s="164">
        <v>45413</v>
      </c>
      <c r="B619" t="s">
        <v>12</v>
      </c>
      <c r="C619">
        <v>2760</v>
      </c>
      <c r="D619" s="34">
        <v>333732.1697959337</v>
      </c>
      <c r="E619" s="174">
        <f>IFERROR(DT_data[[#This Row],[Объем предложения]]/C607-1,"")</f>
        <v>-1.6743854649091561E-2</v>
      </c>
      <c r="F619" s="174">
        <f>IFERROR(DT_data[[#This Row],[Средневзвешенная цена]]/D607-1,"")</f>
        <v>-4.1560800994604463E-3</v>
      </c>
    </row>
    <row r="620" spans="1:6" x14ac:dyDescent="0.3">
      <c r="A620" s="164">
        <v>45413</v>
      </c>
      <c r="B620" t="s">
        <v>13</v>
      </c>
      <c r="C620">
        <v>567</v>
      </c>
      <c r="D620" s="34">
        <v>179780.3444011519</v>
      </c>
      <c r="E620" s="174">
        <f>IFERROR(DT_data[[#This Row],[Объем предложения]]/C608-1,"")</f>
        <v>-5.5000000000000049E-2</v>
      </c>
      <c r="F620" s="174">
        <f>IFERROR(DT_data[[#This Row],[Средневзвешенная цена]]/D608-1,"")</f>
        <v>1.9386445301363464E-2</v>
      </c>
    </row>
    <row r="621" spans="1:6" x14ac:dyDescent="0.3">
      <c r="A621" s="164">
        <v>45413</v>
      </c>
      <c r="B621" t="s">
        <v>14</v>
      </c>
      <c r="C621">
        <v>4908</v>
      </c>
      <c r="D621" s="34">
        <v>619613.0278825399</v>
      </c>
      <c r="E621" s="174">
        <f>IFERROR(DT_data[[#This Row],[Объем предложения]]/C609-1,"")</f>
        <v>-3.4998033818324781E-2</v>
      </c>
      <c r="F621" s="174">
        <f>IFERROR(DT_data[[#This Row],[Средневзвешенная цена]]/D609-1,"")</f>
        <v>-9.2188293386588072E-3</v>
      </c>
    </row>
    <row r="622" spans="1:6" x14ac:dyDescent="0.3">
      <c r="A622" s="164">
        <v>45413</v>
      </c>
      <c r="B622" t="s">
        <v>15</v>
      </c>
      <c r="C622">
        <v>4282</v>
      </c>
      <c r="D622" s="34">
        <v>283544.86647466029</v>
      </c>
      <c r="E622" s="174">
        <f>IFERROR(DT_data[[#This Row],[Объем предложения]]/C610-1,"")</f>
        <v>6.1090225563908973E-3</v>
      </c>
      <c r="F622" s="174">
        <f>IFERROR(DT_data[[#This Row],[Средневзвешенная цена]]/D610-1,"")</f>
        <v>1.3485734479790068E-3</v>
      </c>
    </row>
    <row r="623" spans="1:6" x14ac:dyDescent="0.3">
      <c r="A623" s="164">
        <v>45413</v>
      </c>
      <c r="B623" t="s">
        <v>16</v>
      </c>
      <c r="C623">
        <v>4600</v>
      </c>
      <c r="D623" s="34">
        <v>324951.84754883748</v>
      </c>
      <c r="E623" s="174">
        <f>IFERROR(DT_data[[#This Row],[Объем предложения]]/C611-1,"")</f>
        <v>-1.6883949561872225E-2</v>
      </c>
      <c r="F623" s="174">
        <f>IFERROR(DT_data[[#This Row],[Средневзвешенная цена]]/D611-1,"")</f>
        <v>-6.4658850401928536E-3</v>
      </c>
    </row>
    <row r="624" spans="1:6" x14ac:dyDescent="0.3">
      <c r="A624" s="164">
        <v>45413</v>
      </c>
      <c r="B624" t="s">
        <v>17</v>
      </c>
      <c r="C624">
        <v>4523</v>
      </c>
      <c r="D624" s="34">
        <v>301699.60501795658</v>
      </c>
      <c r="E624" s="174">
        <f>IFERROR(DT_data[[#This Row],[Объем предложения]]/C612-1,"")</f>
        <v>6.6770531938571409E-3</v>
      </c>
      <c r="F624" s="174">
        <f>IFERROR(DT_data[[#This Row],[Средневзвешенная цена]]/D612-1,"")</f>
        <v>-4.0952201862549664E-3</v>
      </c>
    </row>
    <row r="625" spans="1:6" x14ac:dyDescent="0.3">
      <c r="A625" s="164">
        <v>45413</v>
      </c>
      <c r="B625" t="s">
        <v>175</v>
      </c>
      <c r="C625">
        <v>599</v>
      </c>
      <c r="D625" s="34">
        <v>235753.91006093341</v>
      </c>
      <c r="E625" s="174">
        <f>IFERROR(DT_data[[#This Row],[Объем предложения]]/C613-1,"")</f>
        <v>5.8303886925795023E-2</v>
      </c>
      <c r="F625" s="174">
        <f>IFERROR(DT_data[[#This Row],[Средневзвешенная цена]]/D613-1,"")</f>
        <v>4.1235738438076819E-3</v>
      </c>
    </row>
    <row r="626" spans="1:6" x14ac:dyDescent="0.3">
      <c r="A626" s="164">
        <v>45444</v>
      </c>
      <c r="B626" s="3" t="s">
        <v>7</v>
      </c>
      <c r="C626">
        <v>4665</v>
      </c>
      <c r="D626" s="34">
        <v>287676.32622962177</v>
      </c>
      <c r="E626" s="174">
        <f>IFERROR(DT_data[[#This Row],[Объем предложения]]/C614-1,"")</f>
        <v>1.6782911944202228E-2</v>
      </c>
      <c r="F626" s="174">
        <f>IFERROR(DT_data[[#This Row],[Средневзвешенная цена]]/D614-1,"")</f>
        <v>-4.4703158176720992E-3</v>
      </c>
    </row>
    <row r="627" spans="1:6" x14ac:dyDescent="0.3">
      <c r="A627" s="164">
        <v>45444</v>
      </c>
      <c r="B627" t="s">
        <v>8</v>
      </c>
      <c r="C627">
        <v>4673</v>
      </c>
      <c r="D627" s="34">
        <v>365693.23202531482</v>
      </c>
      <c r="E627" s="174">
        <f>IFERROR(DT_data[[#This Row],[Объем предложения]]/C615-1,"")</f>
        <v>8.8514680483593455E-3</v>
      </c>
      <c r="F627" s="174">
        <f>IFERROR(DT_data[[#This Row],[Средневзвешенная цена]]/D615-1,"")</f>
        <v>-8.4226049781679357E-3</v>
      </c>
    </row>
    <row r="628" spans="1:6" x14ac:dyDescent="0.3">
      <c r="A628" s="164">
        <v>45444</v>
      </c>
      <c r="B628" t="s">
        <v>9</v>
      </c>
      <c r="C628">
        <v>2308</v>
      </c>
      <c r="D628" s="34">
        <v>237888.0335267788</v>
      </c>
      <c r="E628" s="174">
        <f>IFERROR(DT_data[[#This Row],[Объем предложения]]/C616-1,"")</f>
        <v>0.50652741514360322</v>
      </c>
      <c r="F628" s="174">
        <f>IFERROR(DT_data[[#This Row],[Средневзвешенная цена]]/D616-1,"")</f>
        <v>5.0026905632289509E-2</v>
      </c>
    </row>
    <row r="629" spans="1:6" x14ac:dyDescent="0.3">
      <c r="A629" s="164">
        <v>45444</v>
      </c>
      <c r="B629" t="s">
        <v>10</v>
      </c>
      <c r="C629">
        <v>4288</v>
      </c>
      <c r="D629" s="34">
        <v>330942.83815609728</v>
      </c>
      <c r="E629" s="174">
        <f>IFERROR(DT_data[[#This Row],[Объем предложения]]/C617-1,"")</f>
        <v>1.563240170535285E-2</v>
      </c>
      <c r="F629" s="174">
        <f>IFERROR(DT_data[[#This Row],[Средневзвешенная цена]]/D617-1,"")</f>
        <v>5.1641247785014777E-3</v>
      </c>
    </row>
    <row r="630" spans="1:6" x14ac:dyDescent="0.3">
      <c r="A630" s="164">
        <v>45444</v>
      </c>
      <c r="B630" t="s">
        <v>11</v>
      </c>
      <c r="C630">
        <v>4056</v>
      </c>
      <c r="D630" s="34">
        <v>303820.5387852781</v>
      </c>
      <c r="E630" s="174">
        <f>IFERROR(DT_data[[#This Row],[Объем предложения]]/C618-1,"")</f>
        <v>1.9607843137254832E-2</v>
      </c>
      <c r="F630" s="174">
        <f>IFERROR(DT_data[[#This Row],[Средневзвешенная цена]]/D618-1,"")</f>
        <v>3.9618666992751184E-3</v>
      </c>
    </row>
    <row r="631" spans="1:6" x14ac:dyDescent="0.3">
      <c r="A631" s="164">
        <v>45444</v>
      </c>
      <c r="B631" t="s">
        <v>12</v>
      </c>
      <c r="C631">
        <v>2845</v>
      </c>
      <c r="D631" s="34">
        <v>333764.65117828222</v>
      </c>
      <c r="E631" s="174">
        <f>IFERROR(DT_data[[#This Row],[Объем предложения]]/C619-1,"")</f>
        <v>3.0797101449275388E-2</v>
      </c>
      <c r="F631" s="174">
        <f>IFERROR(DT_data[[#This Row],[Средневзвешенная цена]]/D619-1,"")</f>
        <v>9.7327693546533922E-5</v>
      </c>
    </row>
    <row r="632" spans="1:6" x14ac:dyDescent="0.3">
      <c r="A632" s="164">
        <v>45444</v>
      </c>
      <c r="B632" t="s">
        <v>13</v>
      </c>
      <c r="C632">
        <v>584</v>
      </c>
      <c r="D632" s="34">
        <v>179802.7370713735</v>
      </c>
      <c r="E632" s="174">
        <f>IFERROR(DT_data[[#This Row],[Объем предложения]]/C620-1,"")</f>
        <v>2.9982363315696592E-2</v>
      </c>
      <c r="F632" s="174">
        <f>IFERROR(DT_data[[#This Row],[Средневзвешенная цена]]/D620-1,"")</f>
        <v>1.245557199047731E-4</v>
      </c>
    </row>
    <row r="633" spans="1:6" x14ac:dyDescent="0.3">
      <c r="A633" s="164">
        <v>45444</v>
      </c>
      <c r="B633" t="s">
        <v>14</v>
      </c>
      <c r="C633">
        <v>5056</v>
      </c>
      <c r="D633" s="34">
        <v>615668.10828646296</v>
      </c>
      <c r="E633" s="174">
        <f>IFERROR(DT_data[[#This Row],[Объем предложения]]/C621-1,"")</f>
        <v>3.0154849225753955E-2</v>
      </c>
      <c r="F633" s="174">
        <f>IFERROR(DT_data[[#This Row],[Средневзвешенная цена]]/D621-1,"")</f>
        <v>-6.3667473383480777E-3</v>
      </c>
    </row>
    <row r="634" spans="1:6" x14ac:dyDescent="0.3">
      <c r="A634" s="164">
        <v>45444</v>
      </c>
      <c r="B634" t="s">
        <v>15</v>
      </c>
      <c r="C634">
        <v>4308</v>
      </c>
      <c r="D634" s="34">
        <v>284380.36858578888</v>
      </c>
      <c r="E634" s="174">
        <f>IFERROR(DT_data[[#This Row],[Объем предложения]]/C622-1,"")</f>
        <v>6.071929005137866E-3</v>
      </c>
      <c r="F634" s="174">
        <f>IFERROR(DT_data[[#This Row],[Средневзвешенная цена]]/D622-1,"")</f>
        <v>2.9466310623658121E-3</v>
      </c>
    </row>
    <row r="635" spans="1:6" x14ac:dyDescent="0.3">
      <c r="A635" s="164">
        <v>45444</v>
      </c>
      <c r="B635" t="s">
        <v>16</v>
      </c>
      <c r="C635">
        <v>4675</v>
      </c>
      <c r="D635" s="34">
        <v>324925.25636285031</v>
      </c>
      <c r="E635" s="174">
        <f>IFERROR(DT_data[[#This Row],[Объем предложения]]/C623-1,"")</f>
        <v>1.6304347826086918E-2</v>
      </c>
      <c r="F635" s="174">
        <f>IFERROR(DT_data[[#This Row],[Средневзвешенная цена]]/D623-1,"")</f>
        <v>-8.1831158024625594E-5</v>
      </c>
    </row>
    <row r="636" spans="1:6" x14ac:dyDescent="0.3">
      <c r="A636" s="164">
        <v>45444</v>
      </c>
      <c r="B636" t="s">
        <v>17</v>
      </c>
      <c r="C636">
        <v>4688</v>
      </c>
      <c r="D636" s="34">
        <v>304341.83995830722</v>
      </c>
      <c r="E636" s="174">
        <f>IFERROR(DT_data[[#This Row],[Объем предложения]]/C624-1,"")</f>
        <v>3.6480212248507726E-2</v>
      </c>
      <c r="F636" s="174">
        <f>IFERROR(DT_data[[#This Row],[Средневзвешенная цена]]/D624-1,"")</f>
        <v>8.75783360801341E-3</v>
      </c>
    </row>
    <row r="637" spans="1:6" x14ac:dyDescent="0.3">
      <c r="A637" s="164">
        <v>45444</v>
      </c>
      <c r="B637" t="s">
        <v>175</v>
      </c>
      <c r="C637">
        <v>605</v>
      </c>
      <c r="D637" s="34">
        <v>232613.27200984239</v>
      </c>
      <c r="E637" s="174">
        <f>IFERROR(DT_data[[#This Row],[Объем предложения]]/C625-1,"")</f>
        <v>1.001669449081799E-2</v>
      </c>
      <c r="F637" s="174">
        <f>IFERROR(DT_data[[#This Row],[Средневзвешенная цена]]/D625-1,"")</f>
        <v>-1.3321679586477675E-2</v>
      </c>
    </row>
    <row r="638" spans="1:6" x14ac:dyDescent="0.3">
      <c r="A638" s="164">
        <v>45474</v>
      </c>
      <c r="B638" s="3" t="s">
        <v>7</v>
      </c>
      <c r="C638">
        <v>4661</v>
      </c>
      <c r="D638" s="34">
        <v>286793.21137159038</v>
      </c>
      <c r="E638" s="174">
        <f>IFERROR(DT_data[[#This Row],[Объем предложения]]/C626-1,"")</f>
        <v>-8.5744908896034921E-4</v>
      </c>
      <c r="F638" s="174">
        <f>IFERROR(DT_data[[#This Row],[Средневзвешенная цена]]/D626-1,"")</f>
        <v>-3.0698211062611946E-3</v>
      </c>
    </row>
    <row r="639" spans="1:6" x14ac:dyDescent="0.3">
      <c r="A639" s="164">
        <v>45474</v>
      </c>
      <c r="B639" t="s">
        <v>8</v>
      </c>
      <c r="C639">
        <v>4621</v>
      </c>
      <c r="D639" s="34">
        <v>365502.5866583098</v>
      </c>
      <c r="E639" s="174">
        <f>IFERROR(DT_data[[#This Row],[Объем предложения]]/C627-1,"")</f>
        <v>-1.1127755189385802E-2</v>
      </c>
      <c r="F639" s="174">
        <f>IFERROR(DT_data[[#This Row],[Средневзвешенная цена]]/D627-1,"")</f>
        <v>-5.2132593745080058E-4</v>
      </c>
    </row>
    <row r="640" spans="1:6" x14ac:dyDescent="0.3">
      <c r="A640" s="164">
        <v>45474</v>
      </c>
      <c r="B640" t="s">
        <v>9</v>
      </c>
      <c r="C640">
        <v>3477</v>
      </c>
      <c r="D640" s="34">
        <v>247623.3037515528</v>
      </c>
      <c r="E640" s="174">
        <f>IFERROR(DT_data[[#This Row],[Объем предложения]]/C628-1,"")</f>
        <v>0.50649913344887354</v>
      </c>
      <c r="F640" s="174">
        <f>IFERROR(DT_data[[#This Row],[Средневзвешенная цена]]/D628-1,"")</f>
        <v>4.0923749212791405E-2</v>
      </c>
    </row>
    <row r="641" spans="1:6" x14ac:dyDescent="0.3">
      <c r="A641" s="164">
        <v>45474</v>
      </c>
      <c r="B641" t="s">
        <v>10</v>
      </c>
      <c r="C641">
        <v>4257</v>
      </c>
      <c r="D641" s="34">
        <v>330336.17872488959</v>
      </c>
      <c r="E641" s="174">
        <f>IFERROR(DT_data[[#This Row],[Объем предложения]]/C629-1,"")</f>
        <v>-7.2294776119402604E-3</v>
      </c>
      <c r="F641" s="174">
        <f>IFERROR(DT_data[[#This Row],[Средневзвешенная цена]]/D629-1,"")</f>
        <v>-1.8331245195931656E-3</v>
      </c>
    </row>
    <row r="642" spans="1:6" x14ac:dyDescent="0.3">
      <c r="A642" s="164">
        <v>45474</v>
      </c>
      <c r="B642" t="s">
        <v>11</v>
      </c>
      <c r="C642">
        <v>3997</v>
      </c>
      <c r="D642" s="34">
        <v>305159.31251833541</v>
      </c>
      <c r="E642" s="174">
        <f>IFERROR(DT_data[[#This Row],[Объем предложения]]/C630-1,"")</f>
        <v>-1.4546351084812614E-2</v>
      </c>
      <c r="F642" s="174">
        <f>IFERROR(DT_data[[#This Row],[Средневзвешенная цена]]/D630-1,"")</f>
        <v>4.4064622438295675E-3</v>
      </c>
    </row>
    <row r="643" spans="1:6" x14ac:dyDescent="0.3">
      <c r="A643" s="164">
        <v>45474</v>
      </c>
      <c r="B643" t="s">
        <v>12</v>
      </c>
      <c r="C643">
        <v>2823</v>
      </c>
      <c r="D643" s="34">
        <v>336614.32469798689</v>
      </c>
      <c r="E643" s="174">
        <f>IFERROR(DT_data[[#This Row],[Объем предложения]]/C631-1,"")</f>
        <v>-7.7328646748682228E-3</v>
      </c>
      <c r="F643" s="174">
        <f>IFERROR(DT_data[[#This Row],[Средневзвешенная цена]]/D631-1,"")</f>
        <v>8.5379728190044801E-3</v>
      </c>
    </row>
    <row r="644" spans="1:6" x14ac:dyDescent="0.3">
      <c r="A644" s="164">
        <v>45474</v>
      </c>
      <c r="B644" t="s">
        <v>13</v>
      </c>
      <c r="C644">
        <v>720</v>
      </c>
      <c r="D644" s="34">
        <v>177297.80959032101</v>
      </c>
      <c r="E644" s="174">
        <f>IFERROR(DT_data[[#This Row],[Объем предложения]]/C632-1,"")</f>
        <v>0.23287671232876717</v>
      </c>
      <c r="F644" s="174">
        <f>IFERROR(DT_data[[#This Row],[Средневзвешенная цена]]/D632-1,"")</f>
        <v>-1.3931531420782295E-2</v>
      </c>
    </row>
    <row r="645" spans="1:6" x14ac:dyDescent="0.3">
      <c r="A645" s="164">
        <v>45474</v>
      </c>
      <c r="B645" t="s">
        <v>14</v>
      </c>
      <c r="C645">
        <v>5069</v>
      </c>
      <c r="D645" s="34">
        <v>618441.30236516264</v>
      </c>
      <c r="E645" s="174">
        <f>IFERROR(DT_data[[#This Row],[Объем предложения]]/C633-1,"")</f>
        <v>2.5712025316455556E-3</v>
      </c>
      <c r="F645" s="174">
        <f>IFERROR(DT_data[[#This Row],[Средневзвешенная цена]]/D633-1,"")</f>
        <v>4.504365325041837E-3</v>
      </c>
    </row>
    <row r="646" spans="1:6" x14ac:dyDescent="0.3">
      <c r="A646" s="164">
        <v>45474</v>
      </c>
      <c r="B646" t="s">
        <v>15</v>
      </c>
      <c r="C646">
        <v>4403</v>
      </c>
      <c r="D646" s="34">
        <v>282743.66138014442</v>
      </c>
      <c r="E646" s="174">
        <f>IFERROR(DT_data[[#This Row],[Объем предложения]]/C634-1,"")</f>
        <v>2.2051996285979536E-2</v>
      </c>
      <c r="F646" s="174">
        <f>IFERROR(DT_data[[#This Row],[Средневзвешенная цена]]/D634-1,"")</f>
        <v>-5.7553452574231612E-3</v>
      </c>
    </row>
    <row r="647" spans="1:6" x14ac:dyDescent="0.3">
      <c r="A647" s="164">
        <v>45474</v>
      </c>
      <c r="B647" t="s">
        <v>16</v>
      </c>
      <c r="C647">
        <v>4690</v>
      </c>
      <c r="D647" s="34">
        <v>327895.29192146711</v>
      </c>
      <c r="E647" s="174">
        <f>IFERROR(DT_data[[#This Row],[Объем предложения]]/C635-1,"")</f>
        <v>3.2085561497325887E-3</v>
      </c>
      <c r="F647" s="174">
        <f>IFERROR(DT_data[[#This Row],[Средневзвешенная цена]]/D635-1,"")</f>
        <v>9.1406731254528584E-3</v>
      </c>
    </row>
    <row r="648" spans="1:6" x14ac:dyDescent="0.3">
      <c r="A648" s="164">
        <v>45474</v>
      </c>
      <c r="B648" t="s">
        <v>17</v>
      </c>
      <c r="C648">
        <v>4627</v>
      </c>
      <c r="D648" s="34">
        <v>304079.88072100829</v>
      </c>
      <c r="E648" s="174">
        <f>IFERROR(DT_data[[#This Row],[Объем предложения]]/C636-1,"")</f>
        <v>-1.3011945392491508E-2</v>
      </c>
      <c r="F648" s="174">
        <f>IFERROR(DT_data[[#This Row],[Средневзвешенная цена]]/D636-1,"")</f>
        <v>-8.6074013791470616E-4</v>
      </c>
    </row>
    <row r="649" spans="1:6" x14ac:dyDescent="0.3">
      <c r="A649" s="164">
        <v>45474</v>
      </c>
      <c r="B649" t="s">
        <v>175</v>
      </c>
      <c r="C649">
        <v>575</v>
      </c>
      <c r="D649" s="34">
        <v>232129.09019327589</v>
      </c>
      <c r="E649" s="174">
        <f>IFERROR(DT_data[[#This Row],[Объем предложения]]/C637-1,"")</f>
        <v>-4.9586776859504078E-2</v>
      </c>
      <c r="F649" s="174">
        <f>IFERROR(DT_data[[#This Row],[Средневзвешенная цена]]/D637-1,"")</f>
        <v>-2.0814883535364981E-3</v>
      </c>
    </row>
    <row r="650" spans="1:6" x14ac:dyDescent="0.3">
      <c r="A650" s="164">
        <v>45505</v>
      </c>
      <c r="B650" s="3" t="s">
        <v>7</v>
      </c>
      <c r="C650">
        <v>4820</v>
      </c>
      <c r="D650" s="34">
        <v>286025.57234542491</v>
      </c>
      <c r="E650" s="174">
        <f>IFERROR(DT_data[[#This Row],[Объем предложения]]/C638-1,"")</f>
        <v>3.4112851319459292E-2</v>
      </c>
      <c r="F650" s="174">
        <f>IFERROR(DT_data[[#This Row],[Средневзвешенная цена]]/D638-1,"")</f>
        <v>-2.6766289986231984E-3</v>
      </c>
    </row>
    <row r="651" spans="1:6" x14ac:dyDescent="0.3">
      <c r="A651" s="164">
        <v>45505</v>
      </c>
      <c r="B651" t="s">
        <v>8</v>
      </c>
      <c r="C651">
        <v>4673</v>
      </c>
      <c r="D651" s="34">
        <v>365128.20366535801</v>
      </c>
      <c r="E651" s="174">
        <f>IFERROR(DT_data[[#This Row],[Объем предложения]]/C639-1,"")</f>
        <v>1.1252975546418575E-2</v>
      </c>
      <c r="F651" s="174">
        <f>IFERROR(DT_data[[#This Row],[Средневзвешенная цена]]/D639-1,"")</f>
        <v>-1.0242964252993314E-3</v>
      </c>
    </row>
    <row r="652" spans="1:6" x14ac:dyDescent="0.3">
      <c r="A652" s="164">
        <v>45505</v>
      </c>
      <c r="B652" t="s">
        <v>9</v>
      </c>
      <c r="C652">
        <v>3926</v>
      </c>
      <c r="D652" s="34">
        <v>246027.25758545179</v>
      </c>
      <c r="E652" s="174">
        <f>IFERROR(DT_data[[#This Row],[Объем предложения]]/C640-1,"")</f>
        <v>0.12913431118780561</v>
      </c>
      <c r="F652" s="174">
        <f>IFERROR(DT_data[[#This Row],[Средневзвешенная цена]]/D640-1,"")</f>
        <v>-6.4454602693709839E-3</v>
      </c>
    </row>
    <row r="653" spans="1:6" x14ac:dyDescent="0.3">
      <c r="A653" s="164">
        <v>45505</v>
      </c>
      <c r="B653" t="s">
        <v>10</v>
      </c>
      <c r="C653">
        <v>4213</v>
      </c>
      <c r="D653" s="34">
        <v>331132.64062906388</v>
      </c>
      <c r="E653" s="174">
        <f>IFERROR(DT_data[[#This Row],[Объем предложения]]/C641-1,"")</f>
        <v>-1.033591731266148E-2</v>
      </c>
      <c r="F653" s="174">
        <f>IFERROR(DT_data[[#This Row],[Средневзвешенная цена]]/D641-1,"")</f>
        <v>2.4110647136763586E-3</v>
      </c>
    </row>
    <row r="654" spans="1:6" x14ac:dyDescent="0.3">
      <c r="A654" s="164">
        <v>45505</v>
      </c>
      <c r="B654" t="s">
        <v>11</v>
      </c>
      <c r="C654">
        <v>4129</v>
      </c>
      <c r="D654" s="34">
        <v>304370.83287192642</v>
      </c>
      <c r="E654" s="174">
        <f>IFERROR(DT_data[[#This Row],[Объем предложения]]/C642-1,"")</f>
        <v>3.3024768576432217E-2</v>
      </c>
      <c r="F654" s="174">
        <f>IFERROR(DT_data[[#This Row],[Средневзвешенная цена]]/D642-1,"")</f>
        <v>-2.583829541042193E-3</v>
      </c>
    </row>
    <row r="655" spans="1:6" x14ac:dyDescent="0.3">
      <c r="A655" s="164">
        <v>45505</v>
      </c>
      <c r="B655" t="s">
        <v>12</v>
      </c>
      <c r="C655">
        <v>2777</v>
      </c>
      <c r="D655" s="34">
        <v>332583.65265418711</v>
      </c>
      <c r="E655" s="174">
        <f>IFERROR(DT_data[[#This Row],[Объем предложения]]/C643-1,"")</f>
        <v>-1.6294721927027966E-2</v>
      </c>
      <c r="F655" s="174">
        <f>IFERROR(DT_data[[#This Row],[Средневзвешенная цена]]/D643-1,"")</f>
        <v>-1.1974154835555861E-2</v>
      </c>
    </row>
    <row r="656" spans="1:6" x14ac:dyDescent="0.3">
      <c r="A656" s="164">
        <v>45505</v>
      </c>
      <c r="B656" t="s">
        <v>13</v>
      </c>
      <c r="C656">
        <v>802</v>
      </c>
      <c r="D656" s="34">
        <v>176451.65824309239</v>
      </c>
      <c r="E656" s="174">
        <f>IFERROR(DT_data[[#This Row],[Объем предложения]]/C644-1,"")</f>
        <v>0.11388888888888893</v>
      </c>
      <c r="F656" s="174">
        <f>IFERROR(DT_data[[#This Row],[Средневзвешенная цена]]/D644-1,"")</f>
        <v>-4.7724861868502222E-3</v>
      </c>
    </row>
    <row r="657" spans="1:6" x14ac:dyDescent="0.3">
      <c r="A657" s="164">
        <v>45505</v>
      </c>
      <c r="B657" t="s">
        <v>14</v>
      </c>
      <c r="C657">
        <v>5117</v>
      </c>
      <c r="D657" s="34">
        <v>619052.451207601</v>
      </c>
      <c r="E657" s="174">
        <f>IFERROR(DT_data[[#This Row],[Объем предложения]]/C645-1,"")</f>
        <v>9.469323337936375E-3</v>
      </c>
      <c r="F657" s="174">
        <f>IFERROR(DT_data[[#This Row],[Средневзвешенная цена]]/D645-1,"")</f>
        <v>9.8820832324930663E-4</v>
      </c>
    </row>
    <row r="658" spans="1:6" x14ac:dyDescent="0.3">
      <c r="A658" s="164">
        <v>45505</v>
      </c>
      <c r="B658" t="s">
        <v>15</v>
      </c>
      <c r="C658">
        <v>4341</v>
      </c>
      <c r="D658" s="34">
        <v>282380.45405822009</v>
      </c>
      <c r="E658" s="174">
        <f>IFERROR(DT_data[[#This Row],[Объем предложения]]/C646-1,"")</f>
        <v>-1.4081308198955256E-2</v>
      </c>
      <c r="F658" s="174">
        <f>IFERROR(DT_data[[#This Row],[Средневзвешенная цена]]/D646-1,"")</f>
        <v>-1.2845816601207982E-3</v>
      </c>
    </row>
    <row r="659" spans="1:6" x14ac:dyDescent="0.3">
      <c r="A659" s="164">
        <v>45505</v>
      </c>
      <c r="B659" t="s">
        <v>16</v>
      </c>
      <c r="C659">
        <v>4759</v>
      </c>
      <c r="D659" s="34">
        <v>326994.16273948271</v>
      </c>
      <c r="E659" s="174">
        <f>IFERROR(DT_data[[#This Row],[Объем предложения]]/C647-1,"")</f>
        <v>1.4712153518123605E-2</v>
      </c>
      <c r="F659" s="174">
        <f>IFERROR(DT_data[[#This Row],[Средневзвешенная цена]]/D647-1,"")</f>
        <v>-2.748222387408461E-3</v>
      </c>
    </row>
    <row r="660" spans="1:6" x14ac:dyDescent="0.3">
      <c r="A660" s="164">
        <v>45505</v>
      </c>
      <c r="B660" t="s">
        <v>17</v>
      </c>
      <c r="C660">
        <v>4629</v>
      </c>
      <c r="D660" s="34">
        <v>303447.717979501</v>
      </c>
      <c r="E660" s="174">
        <f>IFERROR(DT_data[[#This Row],[Объем предложения]]/C648-1,"")</f>
        <v>4.3224551545284484E-4</v>
      </c>
      <c r="F660" s="174">
        <f>IFERROR(DT_data[[#This Row],[Средневзвешенная цена]]/D648-1,"")</f>
        <v>-2.0789364294946377E-3</v>
      </c>
    </row>
    <row r="661" spans="1:6" x14ac:dyDescent="0.3">
      <c r="A661" s="164">
        <v>45505</v>
      </c>
      <c r="B661" t="s">
        <v>175</v>
      </c>
      <c r="C661">
        <v>585</v>
      </c>
      <c r="D661" s="34">
        <v>231044.55183440389</v>
      </c>
      <c r="E661" s="174">
        <f>IFERROR(DT_data[[#This Row],[Объем предложения]]/C649-1,"")</f>
        <v>1.7391304347825987E-2</v>
      </c>
      <c r="F661" s="174">
        <f>IFERROR(DT_data[[#This Row],[Средневзвешенная цена]]/D649-1,"")</f>
        <v>-4.6721346211670012E-3</v>
      </c>
    </row>
    <row r="662" spans="1:6" x14ac:dyDescent="0.3">
      <c r="A662" s="164">
        <v>45536</v>
      </c>
      <c r="B662" s="3" t="s">
        <v>7</v>
      </c>
      <c r="C662">
        <v>4873</v>
      </c>
      <c r="D662" s="34">
        <v>287409.28199236043</v>
      </c>
      <c r="E662" s="174">
        <f>IFERROR(DT_data[[#This Row],[Объем предложения]]/C650-1,"")</f>
        <v>1.09958506224066E-2</v>
      </c>
      <c r="F662" s="174">
        <f>IFERROR(DT_data[[#This Row],[Средневзвешенная цена]]/D650-1,"")</f>
        <v>4.8377130603709517E-3</v>
      </c>
    </row>
    <row r="663" spans="1:6" x14ac:dyDescent="0.3">
      <c r="A663" s="164">
        <v>45536</v>
      </c>
      <c r="B663" t="s">
        <v>8</v>
      </c>
      <c r="C663">
        <v>4721</v>
      </c>
      <c r="D663" s="34">
        <v>363986.05242072273</v>
      </c>
      <c r="E663" s="174">
        <f>IFERROR(DT_data[[#This Row],[Объем предложения]]/C651-1,"")</f>
        <v>1.0271774020971458E-2</v>
      </c>
      <c r="F663" s="174">
        <f>IFERROR(DT_data[[#This Row],[Средневзвешенная цена]]/D651-1,"")</f>
        <v>-3.1280827752272478E-3</v>
      </c>
    </row>
    <row r="664" spans="1:6" x14ac:dyDescent="0.3">
      <c r="A664" s="164">
        <v>45536</v>
      </c>
      <c r="B664" t="s">
        <v>9</v>
      </c>
      <c r="C664">
        <v>3468</v>
      </c>
      <c r="D664" s="34">
        <v>240619.63308372049</v>
      </c>
      <c r="E664" s="174">
        <f>IFERROR(DT_data[[#This Row],[Объем предложения]]/C652-1,"")</f>
        <v>-0.11665817626082531</v>
      </c>
      <c r="F664" s="174">
        <f>IFERROR(DT_data[[#This Row],[Средневзвешенная цена]]/D652-1,"")</f>
        <v>-2.1979777992091387E-2</v>
      </c>
    </row>
    <row r="665" spans="1:6" x14ac:dyDescent="0.3">
      <c r="A665" s="164">
        <v>45536</v>
      </c>
      <c r="B665" t="s">
        <v>10</v>
      </c>
      <c r="C665">
        <v>4308</v>
      </c>
      <c r="D665" s="34">
        <v>330487.43833048351</v>
      </c>
      <c r="E665" s="174">
        <f>IFERROR(DT_data[[#This Row],[Объем предложения]]/C653-1,"")</f>
        <v>2.2549252314265411E-2</v>
      </c>
      <c r="F665" s="174">
        <f>IFERROR(DT_data[[#This Row],[Средневзвешенная цена]]/D653-1,"")</f>
        <v>-1.9484708525099315E-3</v>
      </c>
    </row>
    <row r="666" spans="1:6" x14ac:dyDescent="0.3">
      <c r="A666" s="164">
        <v>45536</v>
      </c>
      <c r="B666" t="s">
        <v>11</v>
      </c>
      <c r="C666">
        <v>4236</v>
      </c>
      <c r="D666" s="34">
        <v>304404.80976587272</v>
      </c>
      <c r="E666" s="174">
        <f>IFERROR(DT_data[[#This Row],[Объем предложения]]/C654-1,"")</f>
        <v>2.5914264955194888E-2</v>
      </c>
      <c r="F666" s="174">
        <f>IFERROR(DT_data[[#This Row],[Средневзвешенная цена]]/D654-1,"")</f>
        <v>1.116299273018484E-4</v>
      </c>
    </row>
    <row r="667" spans="1:6" x14ac:dyDescent="0.3">
      <c r="A667" s="164">
        <v>45536</v>
      </c>
      <c r="B667" t="s">
        <v>12</v>
      </c>
      <c r="C667">
        <v>2881</v>
      </c>
      <c r="D667" s="34">
        <v>333453.58297836472</v>
      </c>
      <c r="E667" s="174">
        <f>IFERROR(DT_data[[#This Row],[Объем предложения]]/C655-1,"")</f>
        <v>3.7450486136118011E-2</v>
      </c>
      <c r="F667" s="174">
        <f>IFERROR(DT_data[[#This Row],[Средневзвешенная цена]]/D655-1,"")</f>
        <v>2.6156737327138746E-3</v>
      </c>
    </row>
    <row r="668" spans="1:6" x14ac:dyDescent="0.3">
      <c r="A668" s="164">
        <v>45536</v>
      </c>
      <c r="B668" t="s">
        <v>13</v>
      </c>
      <c r="C668">
        <v>783</v>
      </c>
      <c r="D668" s="34">
        <v>179482.84446282289</v>
      </c>
      <c r="E668" s="174">
        <f>IFERROR(DT_data[[#This Row],[Объем предложения]]/C656-1,"")</f>
        <v>-2.3690773067331694E-2</v>
      </c>
      <c r="F668" s="174">
        <f>IFERROR(DT_data[[#This Row],[Средневзвешенная цена]]/D656-1,"")</f>
        <v>1.7178564655677686E-2</v>
      </c>
    </row>
    <row r="669" spans="1:6" x14ac:dyDescent="0.3">
      <c r="A669" s="164">
        <v>45536</v>
      </c>
      <c r="B669" t="s">
        <v>14</v>
      </c>
      <c r="C669">
        <v>5198</v>
      </c>
      <c r="D669" s="34">
        <v>623394.61502750486</v>
      </c>
      <c r="E669" s="174">
        <f>IFERROR(DT_data[[#This Row],[Объем предложения]]/C657-1,"")</f>
        <v>1.5829587649013099E-2</v>
      </c>
      <c r="F669" s="174">
        <f>IFERROR(DT_data[[#This Row],[Средневзвешенная цена]]/D657-1,"")</f>
        <v>7.0142098806547093E-3</v>
      </c>
    </row>
    <row r="670" spans="1:6" x14ac:dyDescent="0.3">
      <c r="A670" s="164">
        <v>45536</v>
      </c>
      <c r="B670" t="s">
        <v>15</v>
      </c>
      <c r="C670">
        <v>4512</v>
      </c>
      <c r="D670" s="34">
        <v>281875.81664987578</v>
      </c>
      <c r="E670" s="174">
        <f>IFERROR(DT_data[[#This Row],[Объем предложения]]/C658-1,"")</f>
        <v>3.9391845196959263E-2</v>
      </c>
      <c r="F670" s="174">
        <f>IFERROR(DT_data[[#This Row],[Средневзвешенная цена]]/D658-1,"")</f>
        <v>-1.7870833518819351E-3</v>
      </c>
    </row>
    <row r="671" spans="1:6" x14ac:dyDescent="0.3">
      <c r="A671" s="164">
        <v>45536</v>
      </c>
      <c r="B671" t="s">
        <v>16</v>
      </c>
      <c r="C671">
        <v>4950</v>
      </c>
      <c r="D671" s="34">
        <v>327112.91615573713</v>
      </c>
      <c r="E671" s="174">
        <f>IFERROR(DT_data[[#This Row],[Объем предложения]]/C659-1,"")</f>
        <v>4.0134482034040797E-2</v>
      </c>
      <c r="F671" s="174">
        <f>IFERROR(DT_data[[#This Row],[Средневзвешенная цена]]/D659-1,"")</f>
        <v>3.6316677722791901E-4</v>
      </c>
    </row>
    <row r="672" spans="1:6" x14ac:dyDescent="0.3">
      <c r="A672" s="164">
        <v>45536</v>
      </c>
      <c r="B672" t="s">
        <v>17</v>
      </c>
      <c r="C672">
        <v>4753</v>
      </c>
      <c r="D672" s="34">
        <v>302361.06314639049</v>
      </c>
      <c r="E672" s="174">
        <f>IFERROR(DT_data[[#This Row],[Объем предложения]]/C660-1,"")</f>
        <v>2.6787643119464244E-2</v>
      </c>
      <c r="F672" s="174">
        <f>IFERROR(DT_data[[#This Row],[Средневзвешенная цена]]/D660-1,"")</f>
        <v>-3.5810281927508569E-3</v>
      </c>
    </row>
    <row r="673" spans="1:14" x14ac:dyDescent="0.3">
      <c r="A673" s="164">
        <v>45536</v>
      </c>
      <c r="B673" t="s">
        <v>175</v>
      </c>
      <c r="C673">
        <v>614</v>
      </c>
      <c r="D673" s="34">
        <v>229631.84345599191</v>
      </c>
      <c r="E673" s="174">
        <f>IFERROR(DT_data[[#This Row],[Объем предложения]]/C661-1,"")</f>
        <v>4.9572649572649619E-2</v>
      </c>
      <c r="F673" s="174">
        <f>IFERROR(DT_data[[#This Row],[Средневзвешенная цена]]/D661-1,"")</f>
        <v>-6.1144414235073663E-3</v>
      </c>
    </row>
    <row r="674" spans="1:14" x14ac:dyDescent="0.3">
      <c r="A674" s="164">
        <v>45566</v>
      </c>
      <c r="B674" s="3" t="s">
        <v>7</v>
      </c>
      <c r="C674" s="196">
        <v>4960.5200000000004</v>
      </c>
      <c r="D674" s="34">
        <v>288992.82439911942</v>
      </c>
      <c r="E674" s="174">
        <f>IFERROR(DT_data[[#This Row],[Объем предложения]]/C662-1,"")</f>
        <v>1.7960188795403287E-2</v>
      </c>
      <c r="F674" s="174">
        <f>IFERROR(DT_data[[#This Row],[Средневзвешенная цена]]/D662-1,"")</f>
        <v>5.5097121282292605E-3</v>
      </c>
    </row>
    <row r="675" spans="1:14" x14ac:dyDescent="0.3">
      <c r="A675" s="164">
        <v>45566</v>
      </c>
      <c r="B675" t="s">
        <v>8</v>
      </c>
      <c r="C675" s="196">
        <v>4821.42</v>
      </c>
      <c r="D675" s="34">
        <v>362538.29923184903</v>
      </c>
      <c r="E675" s="174">
        <f>IFERROR(DT_data[[#This Row],[Объем предложения]]/C663-1,"")</f>
        <v>2.1270917178563886E-2</v>
      </c>
      <c r="F675" s="174">
        <f>IFERROR(DT_data[[#This Row],[Средневзвешенная цена]]/D663-1,"")</f>
        <v>-3.9774963332943614E-3</v>
      </c>
    </row>
    <row r="676" spans="1:14" x14ac:dyDescent="0.3">
      <c r="A676" s="164">
        <v>45566</v>
      </c>
      <c r="B676" t="s">
        <v>9</v>
      </c>
      <c r="C676" s="196">
        <v>3478.57</v>
      </c>
      <c r="D676" s="34">
        <v>241863.84205128581</v>
      </c>
      <c r="E676" s="174">
        <f>IFERROR(DT_data[[#This Row],[Объем предложения]]/C664-1,"")</f>
        <v>3.047866205305727E-3</v>
      </c>
      <c r="F676" s="174">
        <f>IFERROR(DT_data[[#This Row],[Средневзвешенная цена]]/D664-1,"")</f>
        <v>5.1708538975803187E-3</v>
      </c>
    </row>
    <row r="677" spans="1:14" x14ac:dyDescent="0.3">
      <c r="A677" s="164">
        <v>45566</v>
      </c>
      <c r="B677" t="s">
        <v>10</v>
      </c>
      <c r="C677" s="196">
        <v>4441.5700000000006</v>
      </c>
      <c r="D677" s="34">
        <v>330183.04751504032</v>
      </c>
      <c r="E677" s="174">
        <f>IFERROR(DT_data[[#This Row],[Объем предложения]]/C665-1,"")</f>
        <v>3.1005106778087432E-2</v>
      </c>
      <c r="F677" s="174">
        <f>IFERROR(DT_data[[#This Row],[Средневзвешенная цена]]/D665-1,"")</f>
        <v>-9.2103596124826215E-4</v>
      </c>
    </row>
    <row r="678" spans="1:14" x14ac:dyDescent="0.3">
      <c r="A678" s="164">
        <v>45566</v>
      </c>
      <c r="B678" t="s">
        <v>11</v>
      </c>
      <c r="C678" s="196">
        <v>4393.42</v>
      </c>
      <c r="D678" s="34">
        <v>306631.17917172652</v>
      </c>
      <c r="E678" s="174">
        <f>IFERROR(DT_data[[#This Row],[Объем предложения]]/C666-1,"")</f>
        <v>3.7162417374881906E-2</v>
      </c>
      <c r="F678" s="174">
        <f>IFERROR(DT_data[[#This Row],[Средневзвешенная цена]]/D666-1,"")</f>
        <v>7.3138443757383431E-3</v>
      </c>
    </row>
    <row r="679" spans="1:14" x14ac:dyDescent="0.3">
      <c r="A679" s="164">
        <v>45566</v>
      </c>
      <c r="B679" t="s">
        <v>12</v>
      </c>
      <c r="C679" s="196">
        <v>2996</v>
      </c>
      <c r="D679" s="34">
        <v>328142.68042187352</v>
      </c>
      <c r="E679" s="174">
        <f>IFERROR(DT_data[[#This Row],[Объем предложения]]/C667-1,"")</f>
        <v>3.9916695591808438E-2</v>
      </c>
      <c r="F679" s="174">
        <f>IFERROR(DT_data[[#This Row],[Средневзвешенная цена]]/D667-1,"")</f>
        <v>-1.5926962034880199E-2</v>
      </c>
    </row>
    <row r="680" spans="1:14" x14ac:dyDescent="0.3">
      <c r="A680" s="164">
        <v>45566</v>
      </c>
      <c r="B680" t="s">
        <v>13</v>
      </c>
      <c r="C680" s="196">
        <v>761.84</v>
      </c>
      <c r="D680" s="34">
        <v>182515.90208325029</v>
      </c>
      <c r="E680" s="174">
        <f>IFERROR(DT_data[[#This Row],[Объем предложения]]/C668-1,"")</f>
        <v>-2.7024265644955303E-2</v>
      </c>
      <c r="F680" s="174">
        <f>IFERROR(DT_data[[#This Row],[Средневзвешенная цена]]/D668-1,"")</f>
        <v>1.6898872031503087E-2</v>
      </c>
    </row>
    <row r="681" spans="1:14" x14ac:dyDescent="0.3">
      <c r="A681" s="164">
        <v>45566</v>
      </c>
      <c r="B681" t="s">
        <v>14</v>
      </c>
      <c r="C681" s="196">
        <v>5519.06</v>
      </c>
      <c r="D681" s="34">
        <v>632447.93427811598</v>
      </c>
      <c r="E681" s="174">
        <f>IFERROR(DT_data[[#This Row],[Объем предложения]]/C669-1,"")</f>
        <v>6.176606387071959E-2</v>
      </c>
      <c r="F681" s="174">
        <f>IFERROR(DT_data[[#This Row],[Средневзвешенная цена]]/D669-1,"")</f>
        <v>1.4522613818554797E-2</v>
      </c>
    </row>
    <row r="682" spans="1:14" x14ac:dyDescent="0.3">
      <c r="A682" s="164">
        <v>45566</v>
      </c>
      <c r="B682" t="s">
        <v>15</v>
      </c>
      <c r="C682" s="196">
        <v>4558.2</v>
      </c>
      <c r="D682" s="34">
        <v>280412.24142864317</v>
      </c>
      <c r="E682" s="174">
        <f>IFERROR(DT_data[[#This Row],[Объем предложения]]/C670-1,"")</f>
        <v>1.0239361702127692E-2</v>
      </c>
      <c r="F682" s="174">
        <f>IFERROR(DT_data[[#This Row],[Средневзвешенная цена]]/D670-1,"")</f>
        <v>-5.1922695555346454E-3</v>
      </c>
    </row>
    <row r="683" spans="1:14" x14ac:dyDescent="0.3">
      <c r="A683" s="164">
        <v>45566</v>
      </c>
      <c r="B683" t="s">
        <v>16</v>
      </c>
      <c r="C683" s="196">
        <v>5019.37</v>
      </c>
      <c r="D683" s="34">
        <v>326178.79508298071</v>
      </c>
      <c r="E683" s="174">
        <f>IFERROR(DT_data[[#This Row],[Объем предложения]]/C671-1,"")</f>
        <v>1.4014141414141479E-2</v>
      </c>
      <c r="F683" s="174">
        <f>IFERROR(DT_data[[#This Row],[Средневзвешенная цена]]/D671-1,"")</f>
        <v>-2.8556532824637326E-3</v>
      </c>
      <c r="N683" s="197"/>
    </row>
    <row r="684" spans="1:14" x14ac:dyDescent="0.3">
      <c r="A684" s="164">
        <v>45566</v>
      </c>
      <c r="B684" t="s">
        <v>17</v>
      </c>
      <c r="C684" s="196">
        <v>4916.6500000000005</v>
      </c>
      <c r="D684" s="34">
        <v>301726.02739388688</v>
      </c>
      <c r="E684" s="174">
        <f>IFERROR(DT_data[[#This Row],[Объем предложения]]/C672-1,"")</f>
        <v>3.4430885756364438E-2</v>
      </c>
      <c r="F684" s="174">
        <f>IFERROR(DT_data[[#This Row],[Средневзвешенная цена]]/D672-1,"")</f>
        <v>-2.1002563818746101E-3</v>
      </c>
      <c r="N684" s="197"/>
    </row>
    <row r="685" spans="1:14" x14ac:dyDescent="0.3">
      <c r="A685" s="164">
        <v>45566</v>
      </c>
      <c r="B685" t="s">
        <v>175</v>
      </c>
      <c r="C685" s="196">
        <v>636.65000000000009</v>
      </c>
      <c r="D685" s="34">
        <v>229642.62650701861</v>
      </c>
      <c r="E685" s="174">
        <f>IFERROR(DT_data[[#This Row],[Объем предложения]]/C673-1,"")</f>
        <v>3.6889250814332364E-2</v>
      </c>
      <c r="F685" s="174">
        <f>IFERROR(DT_data[[#This Row],[Средневзвешенная цена]]/D673-1,"")</f>
        <v>4.6957995304186539E-5</v>
      </c>
      <c r="N685" s="197"/>
    </row>
    <row r="686" spans="1:14" x14ac:dyDescent="0.3">
      <c r="A686" s="164">
        <v>45597</v>
      </c>
      <c r="B686" s="197" t="s">
        <v>7</v>
      </c>
      <c r="C686">
        <v>4960</v>
      </c>
      <c r="D686" s="34">
        <v>289091.93327233038</v>
      </c>
      <c r="E686" s="174">
        <f>IFERROR(DT_data[[#This Row],[Объем предложения]]/C674-1,"")</f>
        <v>-1.0482771967468274E-4</v>
      </c>
      <c r="F686" s="174">
        <f>IFERROR(DT_data[[#This Row],[Средневзвешенная цена]]/D674-1,"")</f>
        <v>3.4294579257121427E-4</v>
      </c>
      <c r="N686" s="197"/>
    </row>
    <row r="687" spans="1:14" x14ac:dyDescent="0.3">
      <c r="A687" s="164">
        <v>45597</v>
      </c>
      <c r="B687" s="197" t="s">
        <v>8</v>
      </c>
      <c r="C687">
        <v>4833</v>
      </c>
      <c r="D687" s="34">
        <v>364445.73021905182</v>
      </c>
      <c r="E687" s="174">
        <f>IFERROR(DT_data[[#This Row],[Объем предложения]]/C675-1,"")</f>
        <v>2.401782047612544E-3</v>
      </c>
      <c r="F687" s="174">
        <f>IFERROR(DT_data[[#This Row],[Средневзвешенная цена]]/D675-1,"")</f>
        <v>5.261322710577776E-3</v>
      </c>
      <c r="N687" s="197"/>
    </row>
    <row r="688" spans="1:14" x14ac:dyDescent="0.3">
      <c r="A688" s="164">
        <v>45597</v>
      </c>
      <c r="B688" s="197" t="s">
        <v>9</v>
      </c>
      <c r="C688">
        <v>3174</v>
      </c>
      <c r="D688" s="34">
        <v>244208.32468270959</v>
      </c>
      <c r="E688" s="174">
        <f>IFERROR(DT_data[[#This Row],[Объем предложения]]/C676-1,"")</f>
        <v>-8.7556093452194506E-2</v>
      </c>
      <c r="F688" s="174">
        <f>IFERROR(DT_data[[#This Row],[Средневзвешенная цена]]/D676-1,"")</f>
        <v>9.6933986144429607E-3</v>
      </c>
      <c r="N688" s="197"/>
    </row>
    <row r="689" spans="1:14" x14ac:dyDescent="0.3">
      <c r="A689" s="164">
        <v>45597</v>
      </c>
      <c r="B689" s="197" t="s">
        <v>10</v>
      </c>
      <c r="C689">
        <v>4324</v>
      </c>
      <c r="D689" s="34">
        <v>331672.086974354</v>
      </c>
      <c r="E689" s="174">
        <f>IFERROR(DT_data[[#This Row],[Объем предложения]]/C677-1,"")</f>
        <v>-2.6470369711611097E-2</v>
      </c>
      <c r="F689" s="174">
        <f>IFERROR(DT_data[[#This Row],[Средневзвешенная цена]]/D677-1,"")</f>
        <v>4.5097392810449222E-3</v>
      </c>
      <c r="N689" s="197"/>
    </row>
    <row r="690" spans="1:14" x14ac:dyDescent="0.3">
      <c r="A690" s="164">
        <v>45597</v>
      </c>
      <c r="B690" s="197" t="s">
        <v>11</v>
      </c>
      <c r="C690">
        <v>4381</v>
      </c>
      <c r="D690" s="34">
        <v>305179.86040978582</v>
      </c>
      <c r="E690" s="174">
        <f>IFERROR(DT_data[[#This Row],[Объем предложения]]/C678-1,"")</f>
        <v>-2.8269548552153356E-3</v>
      </c>
      <c r="F690" s="174">
        <f>IFERROR(DT_data[[#This Row],[Средневзвешенная цена]]/D678-1,"")</f>
        <v>-4.7331088960391732E-3</v>
      </c>
      <c r="N690" s="197"/>
    </row>
    <row r="691" spans="1:14" x14ac:dyDescent="0.3">
      <c r="A691" s="164">
        <v>45597</v>
      </c>
      <c r="B691" s="197" t="s">
        <v>12</v>
      </c>
      <c r="C691">
        <v>2898</v>
      </c>
      <c r="D691" s="34">
        <v>327399.52271234401</v>
      </c>
      <c r="E691" s="174">
        <f>IFERROR(DT_data[[#This Row],[Объем предложения]]/C679-1,"")</f>
        <v>-3.2710280373831724E-2</v>
      </c>
      <c r="F691" s="174">
        <f>IFERROR(DT_data[[#This Row],[Средневзвешенная цена]]/D679-1,"")</f>
        <v>-2.2647395595539743E-3</v>
      </c>
      <c r="N691" s="197"/>
    </row>
    <row r="692" spans="1:14" x14ac:dyDescent="0.3">
      <c r="A692" s="164">
        <v>45597</v>
      </c>
      <c r="B692" s="197" t="s">
        <v>13</v>
      </c>
      <c r="C692">
        <v>765</v>
      </c>
      <c r="D692" s="34">
        <v>181365.07183546119</v>
      </c>
      <c r="E692" s="174">
        <f>IFERROR(DT_data[[#This Row],[Объем предложения]]/C680-1,"")</f>
        <v>4.147852567468302E-3</v>
      </c>
      <c r="F692" s="174">
        <f>IFERROR(DT_data[[#This Row],[Средневзвешенная цена]]/D680-1,"")</f>
        <v>-6.3053697494488414E-3</v>
      </c>
      <c r="N692" s="197"/>
    </row>
    <row r="693" spans="1:14" x14ac:dyDescent="0.3">
      <c r="A693" s="164">
        <v>45597</v>
      </c>
      <c r="B693" s="197" t="s">
        <v>14</v>
      </c>
      <c r="C693">
        <v>5599</v>
      </c>
      <c r="D693" s="34">
        <v>652096</v>
      </c>
      <c r="E693" s="174">
        <f>IFERROR(DT_data[[#This Row],[Объем предложения]]/C681-1,"")</f>
        <v>1.448435059593467E-2</v>
      </c>
      <c r="F693" s="174">
        <f>IFERROR(DT_data[[#This Row],[Средневзвешенная цена]]/D681-1,"")</f>
        <v>3.1066692856401845E-2</v>
      </c>
      <c r="N693" s="197"/>
    </row>
    <row r="694" spans="1:14" x14ac:dyDescent="0.3">
      <c r="A694" s="164">
        <v>45597</v>
      </c>
      <c r="B694" s="197" t="s">
        <v>15</v>
      </c>
      <c r="C694">
        <v>4512</v>
      </c>
      <c r="D694" s="34">
        <v>279884.08645021811</v>
      </c>
      <c r="E694" s="174">
        <f>IFERROR(DT_data[[#This Row],[Объем предложения]]/C682-1,"")</f>
        <v>-1.0135579834145036E-2</v>
      </c>
      <c r="F694" s="174">
        <f>IFERROR(DT_data[[#This Row],[Средневзвешенная цена]]/D682-1,"")</f>
        <v>-1.8834947280982339E-3</v>
      </c>
      <c r="N694" s="197"/>
    </row>
    <row r="695" spans="1:14" x14ac:dyDescent="0.3">
      <c r="A695" s="164">
        <v>45597</v>
      </c>
      <c r="B695" s="197" t="s">
        <v>16</v>
      </c>
      <c r="C695">
        <v>4879</v>
      </c>
      <c r="D695" s="34">
        <v>326766.01225446421</v>
      </c>
      <c r="E695" s="174">
        <f>IFERROR(DT_data[[#This Row],[Объем предложения]]/C683-1,"")</f>
        <v>-2.7965661029172972E-2</v>
      </c>
      <c r="F695" s="174">
        <f>IFERROR(DT_data[[#This Row],[Средневзвешенная цена]]/D683-1,"")</f>
        <v>1.8002922947033539E-3</v>
      </c>
    </row>
    <row r="696" spans="1:14" x14ac:dyDescent="0.3">
      <c r="A696" s="164">
        <v>45597</v>
      </c>
      <c r="B696" s="197" t="s">
        <v>17</v>
      </c>
      <c r="C696">
        <v>4773</v>
      </c>
      <c r="D696" s="34">
        <v>301663.86230100982</v>
      </c>
      <c r="E696" s="174">
        <f>IFERROR(DT_data[[#This Row],[Объем предложения]]/C684-1,"")</f>
        <v>-2.9217048193383777E-2</v>
      </c>
      <c r="F696" s="174">
        <f>IFERROR(DT_data[[#This Row],[Средневзвешенная цена]]/D684-1,"")</f>
        <v>-2.0603158903453878E-4</v>
      </c>
    </row>
    <row r="697" spans="1:14" x14ac:dyDescent="0.3">
      <c r="A697" s="164">
        <v>45597</v>
      </c>
      <c r="B697" s="197" t="s">
        <v>175</v>
      </c>
      <c r="C697">
        <v>683</v>
      </c>
      <c r="D697" s="34">
        <v>231908.98119454121</v>
      </c>
      <c r="E697" s="174">
        <f>IFERROR(DT_data[[#This Row],[Объем предложения]]/C685-1,"")</f>
        <v>7.2802952956883438E-2</v>
      </c>
      <c r="F697" s="174">
        <f>IFERROR(DT_data[[#This Row],[Средневзвешенная цена]]/D685-1,"")</f>
        <v>9.8690505416829666E-3</v>
      </c>
    </row>
    <row r="698" spans="1:14" x14ac:dyDescent="0.3">
      <c r="A698" s="164">
        <v>45627</v>
      </c>
      <c r="B698" s="205" t="s">
        <v>7</v>
      </c>
      <c r="C698" s="204">
        <v>4286</v>
      </c>
      <c r="D698" s="204">
        <v>289980.25083942019</v>
      </c>
      <c r="E698" s="174">
        <f>IFERROR(DT_data[[#This Row],[Объем предложения]]/C686-1,"")</f>
        <v>-0.13588709677419353</v>
      </c>
      <c r="F698" s="174">
        <f>IFERROR(DT_data[[#This Row],[Средневзвешенная цена]]/D686-1,"")</f>
        <v>3.0727857295589356E-3</v>
      </c>
    </row>
    <row r="699" spans="1:14" x14ac:dyDescent="0.3">
      <c r="A699" s="164">
        <v>45627</v>
      </c>
      <c r="B699" s="79" t="s">
        <v>8</v>
      </c>
      <c r="C699" s="203">
        <v>4408</v>
      </c>
      <c r="D699" s="203">
        <v>369502.27569141809</v>
      </c>
      <c r="E699" s="174">
        <f>IFERROR(DT_data[[#This Row],[Объем предложения]]/C687-1,"")</f>
        <v>-8.7937099110283468E-2</v>
      </c>
      <c r="F699" s="174">
        <f>IFERROR(DT_data[[#This Row],[Средневзвешенная цена]]/D687-1,"")</f>
        <v>1.3874618504453373E-2</v>
      </c>
    </row>
    <row r="700" spans="1:14" x14ac:dyDescent="0.3">
      <c r="A700" s="164">
        <v>45627</v>
      </c>
      <c r="B700" s="79" t="s">
        <v>9</v>
      </c>
      <c r="C700" s="203">
        <v>2419</v>
      </c>
      <c r="D700" s="203">
        <v>238674.71645041919</v>
      </c>
      <c r="E700" s="174">
        <f>IFERROR(DT_data[[#This Row],[Объем предложения]]/C688-1,"")</f>
        <v>-0.23787019533711407</v>
      </c>
      <c r="F700" s="174">
        <f>IFERROR(DT_data[[#This Row],[Средневзвешенная цена]]/D688-1,"")</f>
        <v>-2.2659375922094327E-2</v>
      </c>
    </row>
    <row r="701" spans="1:14" x14ac:dyDescent="0.3">
      <c r="A701" s="164">
        <v>45627</v>
      </c>
      <c r="B701" s="205" t="s">
        <v>10</v>
      </c>
      <c r="C701" s="204">
        <v>3836</v>
      </c>
      <c r="D701" s="204">
        <v>336113.39543653611</v>
      </c>
      <c r="E701" s="174">
        <f>IFERROR(DT_data[[#This Row],[Объем предложения]]/C689-1,"")</f>
        <v>-0.11285846438482883</v>
      </c>
      <c r="F701" s="174">
        <f>IFERROR(DT_data[[#This Row],[Средневзвешенная цена]]/D689-1,"")</f>
        <v>1.3390660946772881E-2</v>
      </c>
    </row>
    <row r="702" spans="1:14" x14ac:dyDescent="0.3">
      <c r="A702" s="164">
        <v>45627</v>
      </c>
      <c r="B702" s="79" t="s">
        <v>11</v>
      </c>
      <c r="C702" s="203">
        <v>3781</v>
      </c>
      <c r="D702" s="203">
        <v>306243.98326348321</v>
      </c>
      <c r="E702" s="174">
        <f>IFERROR(DT_data[[#This Row],[Объем предложения]]/C690-1,"")</f>
        <v>-0.13695503309746637</v>
      </c>
      <c r="F702" s="174">
        <f>IFERROR(DT_data[[#This Row],[Средневзвешенная цена]]/D690-1,"")</f>
        <v>3.4868711594158164E-3</v>
      </c>
    </row>
    <row r="703" spans="1:14" x14ac:dyDescent="0.3">
      <c r="A703" s="164">
        <v>45627</v>
      </c>
      <c r="B703" s="205" t="s">
        <v>12</v>
      </c>
      <c r="C703" s="204">
        <v>2615</v>
      </c>
      <c r="D703" s="204">
        <v>328521.9967413015</v>
      </c>
      <c r="E703" s="174">
        <f>IFERROR(DT_data[[#This Row],[Объем предложения]]/C691-1,"")</f>
        <v>-9.7653554175293311E-2</v>
      </c>
      <c r="F703" s="174">
        <f>IFERROR(DT_data[[#This Row],[Средневзвешенная цена]]/D691-1,"")</f>
        <v>3.4284534676725098E-3</v>
      </c>
    </row>
    <row r="704" spans="1:14" x14ac:dyDescent="0.3">
      <c r="A704" s="164">
        <v>45627</v>
      </c>
      <c r="B704" s="79" t="s">
        <v>13</v>
      </c>
      <c r="C704" s="203">
        <v>642</v>
      </c>
      <c r="D704" s="203">
        <v>178473.17653709589</v>
      </c>
      <c r="E704" s="174">
        <f>IFERROR(DT_data[[#This Row],[Объем предложения]]/C692-1,"")</f>
        <v>-0.16078431372549018</v>
      </c>
      <c r="F704" s="174">
        <f>IFERROR(DT_data[[#This Row],[Средневзвешенная цена]]/D692-1,"")</f>
        <v>-1.5945161155334842E-2</v>
      </c>
    </row>
    <row r="705" spans="1:6" x14ac:dyDescent="0.3">
      <c r="A705" s="164">
        <v>45627</v>
      </c>
      <c r="B705" s="205" t="s">
        <v>14</v>
      </c>
      <c r="C705" s="204">
        <v>5113</v>
      </c>
      <c r="D705" s="204">
        <v>668882.37539405178</v>
      </c>
      <c r="E705" s="174">
        <f>IFERROR(DT_data[[#This Row],[Объем предложения]]/C693-1,"")</f>
        <v>-8.6801214502589708E-2</v>
      </c>
      <c r="F705" s="174">
        <f>IFERROR(DT_data[[#This Row],[Средневзвешенная цена]]/D693-1,"")</f>
        <v>2.5742184270493684E-2</v>
      </c>
    </row>
    <row r="706" spans="1:6" x14ac:dyDescent="0.3">
      <c r="A706" s="164">
        <v>45627</v>
      </c>
      <c r="B706" s="79" t="s">
        <v>15</v>
      </c>
      <c r="C706" s="203">
        <v>3871</v>
      </c>
      <c r="D706" s="203">
        <v>279876.37696030119</v>
      </c>
      <c r="E706" s="174">
        <f>IFERROR(DT_data[[#This Row],[Объем предложения]]/C694-1,"")</f>
        <v>-0.14206560283687941</v>
      </c>
      <c r="F706" s="174">
        <f>IFERROR(DT_data[[#This Row],[Средневзвешенная цена]]/D694-1,"")</f>
        <v>-2.7545295678277348E-5</v>
      </c>
    </row>
    <row r="707" spans="1:6" x14ac:dyDescent="0.3">
      <c r="A707" s="164">
        <v>45627</v>
      </c>
      <c r="B707" s="205" t="s">
        <v>16</v>
      </c>
      <c r="C707" s="204">
        <v>4313</v>
      </c>
      <c r="D707" s="204">
        <v>327798.26951923181</v>
      </c>
      <c r="E707" s="174">
        <f>IFERROR(DT_data[[#This Row],[Объем предложения]]/C695-1,"")</f>
        <v>-0.1160073785611806</v>
      </c>
      <c r="F707" s="174">
        <f>IFERROR(DT_data[[#This Row],[Средневзвешенная цена]]/D695-1,"")</f>
        <v>3.159010503098969E-3</v>
      </c>
    </row>
    <row r="708" spans="1:6" x14ac:dyDescent="0.3">
      <c r="A708" s="164">
        <v>45627</v>
      </c>
      <c r="B708" s="206" t="s">
        <v>17</v>
      </c>
      <c r="C708" s="203">
        <v>4238</v>
      </c>
      <c r="D708" s="203">
        <v>303084.11864721822</v>
      </c>
      <c r="E708" s="174">
        <f>IFERROR(DT_data[[#This Row],[Объем предложения]]/C696-1,"")</f>
        <v>-0.11208883301906558</v>
      </c>
      <c r="F708" s="174">
        <f>IFERROR(DT_data[[#This Row],[Средневзвешенная цена]]/D696-1,"")</f>
        <v>4.708075854280569E-3</v>
      </c>
    </row>
    <row r="709" spans="1:6" x14ac:dyDescent="0.3">
      <c r="A709" s="164">
        <v>45627</v>
      </c>
      <c r="B709" s="205" t="s">
        <v>175</v>
      </c>
      <c r="C709" s="204">
        <v>583</v>
      </c>
      <c r="D709" s="204">
        <v>235089.08099880279</v>
      </c>
      <c r="E709" s="174">
        <f>IFERROR(DT_data[[#This Row],[Объем предложения]]/C697-1,"")</f>
        <v>-0.14641288433382138</v>
      </c>
      <c r="F709" s="174">
        <f>IFERROR(DT_data[[#This Row],[Средневзвешенная цена]]/D697-1,"")</f>
        <v>1.3712706544960929E-2</v>
      </c>
    </row>
    <row r="710" spans="1:6" x14ac:dyDescent="0.3">
      <c r="A710" s="164">
        <v>45658</v>
      </c>
      <c r="B710" s="205" t="s">
        <v>7</v>
      </c>
      <c r="C710" s="207">
        <v>3874</v>
      </c>
      <c r="D710" s="210">
        <v>292003.78639468091</v>
      </c>
      <c r="E710" s="174">
        <f>IFERROR(DT_data[[#This Row],[Объем предложения]]/C698-1,"")</f>
        <v>-9.6126924871675179E-2</v>
      </c>
      <c r="F710" s="174">
        <f>IFERROR(DT_data[[#This Row],[Средневзвешенная цена]]/D698-1,"")</f>
        <v>6.9781840294402819E-3</v>
      </c>
    </row>
    <row r="711" spans="1:6" x14ac:dyDescent="0.3">
      <c r="A711" s="164">
        <v>45658</v>
      </c>
      <c r="B711" s="79" t="s">
        <v>8</v>
      </c>
      <c r="C711" s="208">
        <v>4008</v>
      </c>
      <c r="D711" s="211">
        <v>368329.72741063911</v>
      </c>
      <c r="E711" s="174">
        <f>IFERROR(DT_data[[#This Row],[Объем предложения]]/C699-1,"")</f>
        <v>-9.0744101633393859E-2</v>
      </c>
      <c r="F711" s="174">
        <f>IFERROR(DT_data[[#This Row],[Средневзвешенная цена]]/D699-1,"")</f>
        <v>-3.1733181577431324E-3</v>
      </c>
    </row>
    <row r="712" spans="1:6" x14ac:dyDescent="0.3">
      <c r="A712" s="164">
        <v>45658</v>
      </c>
      <c r="B712" s="205" t="s">
        <v>9</v>
      </c>
      <c r="C712" s="207">
        <v>2007</v>
      </c>
      <c r="D712" s="210">
        <v>240406.9260083765</v>
      </c>
      <c r="E712" s="174">
        <f>IFERROR(DT_data[[#This Row],[Объем предложения]]/C700-1,"")</f>
        <v>-0.17031831335262504</v>
      </c>
      <c r="F712" s="174">
        <f>IFERROR(DT_data[[#This Row],[Средневзвешенная цена]]/D700-1,"")</f>
        <v>7.2576164904218921E-3</v>
      </c>
    </row>
    <row r="713" spans="1:6" x14ac:dyDescent="0.3">
      <c r="A713" s="164">
        <v>45658</v>
      </c>
      <c r="B713" s="205" t="s">
        <v>10</v>
      </c>
      <c r="C713" s="208">
        <v>3469</v>
      </c>
      <c r="D713" s="211">
        <v>338682.9193765801</v>
      </c>
      <c r="E713" s="174">
        <f>IFERROR(DT_data[[#This Row],[Объем предложения]]/C701-1,"")</f>
        <v>-9.5672575599582865E-2</v>
      </c>
      <c r="F713" s="174">
        <f>IFERROR(DT_data[[#This Row],[Средневзвешенная цена]]/D701-1,"")</f>
        <v>7.6448126582600029E-3</v>
      </c>
    </row>
    <row r="714" spans="1:6" x14ac:dyDescent="0.3">
      <c r="A714" s="164">
        <v>45658</v>
      </c>
      <c r="B714" s="205" t="s">
        <v>11</v>
      </c>
      <c r="C714" s="207">
        <v>3397</v>
      </c>
      <c r="D714" s="210">
        <v>310326.18845235859</v>
      </c>
      <c r="E714" s="174">
        <f>IFERROR(DT_data[[#This Row],[Объем предложения]]/C702-1,"")</f>
        <v>-0.10156043374768575</v>
      </c>
      <c r="F714" s="174">
        <f>IFERROR(DT_data[[#This Row],[Средневзвешенная цена]]/D702-1,"")</f>
        <v>1.332991148225493E-2</v>
      </c>
    </row>
    <row r="715" spans="1:6" x14ac:dyDescent="0.3">
      <c r="A715" s="164">
        <v>45658</v>
      </c>
      <c r="B715" s="205" t="s">
        <v>12</v>
      </c>
      <c r="C715" s="208">
        <v>2373</v>
      </c>
      <c r="D715" s="211">
        <v>334847.28011468862</v>
      </c>
      <c r="E715" s="174">
        <f>IFERROR(DT_data[[#This Row],[Объем предложения]]/C703-1,"")</f>
        <v>-9.254302103250478E-2</v>
      </c>
      <c r="F715" s="174">
        <f>IFERROR(DT_data[[#This Row],[Средневзвешенная цена]]/D703-1,"")</f>
        <v>1.9253759066757636E-2</v>
      </c>
    </row>
    <row r="716" spans="1:6" x14ac:dyDescent="0.3">
      <c r="A716" s="164">
        <v>45658</v>
      </c>
      <c r="B716" s="205" t="s">
        <v>13</v>
      </c>
      <c r="C716" s="207">
        <v>598</v>
      </c>
      <c r="D716" s="210">
        <v>180703.00025535861</v>
      </c>
      <c r="E716" s="174">
        <f>IFERROR(DT_data[[#This Row],[Объем предложения]]/C704-1,"")</f>
        <v>-6.8535825545171347E-2</v>
      </c>
      <c r="F716" s="174">
        <f>IFERROR(DT_data[[#This Row],[Средневзвешенная цена]]/D704-1,"")</f>
        <v>1.249388710128807E-2</v>
      </c>
    </row>
    <row r="717" spans="1:6" x14ac:dyDescent="0.3">
      <c r="A717" s="164">
        <v>45658</v>
      </c>
      <c r="B717" s="205" t="s">
        <v>14</v>
      </c>
      <c r="C717" s="208">
        <v>4645</v>
      </c>
      <c r="D717" s="211">
        <v>687136.88857030531</v>
      </c>
      <c r="E717" s="174">
        <f>IFERROR(DT_data[[#This Row],[Объем предложения]]/C705-1,"")</f>
        <v>-9.1531390573049043E-2</v>
      </c>
      <c r="F717" s="174">
        <f>IFERROR(DT_data[[#This Row],[Средневзвешенная цена]]/D705-1,"")</f>
        <v>2.7291066184094603E-2</v>
      </c>
    </row>
    <row r="718" spans="1:6" x14ac:dyDescent="0.3">
      <c r="A718" s="164">
        <v>45658</v>
      </c>
      <c r="B718" s="205" t="s">
        <v>15</v>
      </c>
      <c r="C718" s="207">
        <v>3480</v>
      </c>
      <c r="D718" s="210">
        <v>283657.11184294149</v>
      </c>
      <c r="E718" s="174">
        <f>IFERROR(DT_data[[#This Row],[Объем предложения]]/C706-1,"")</f>
        <v>-0.10100749160423661</v>
      </c>
      <c r="F718" s="174">
        <f>IFERROR(DT_data[[#This Row],[Средневзвешенная цена]]/D706-1,"")</f>
        <v>1.3508588769450158E-2</v>
      </c>
    </row>
    <row r="719" spans="1:6" x14ac:dyDescent="0.3">
      <c r="A719" s="164">
        <v>45658</v>
      </c>
      <c r="B719" s="205" t="s">
        <v>16</v>
      </c>
      <c r="C719" s="208">
        <v>3764</v>
      </c>
      <c r="D719" s="211">
        <v>332381.78182822512</v>
      </c>
      <c r="E719" s="174">
        <f>IFERROR(DT_data[[#This Row],[Объем предложения]]/C707-1,"")</f>
        <v>-0.12728958961279857</v>
      </c>
      <c r="F719" s="174">
        <f>IFERROR(DT_data[[#This Row],[Средневзвешенная цена]]/D707-1,"")</f>
        <v>1.3982722714539486E-2</v>
      </c>
    </row>
    <row r="720" spans="1:6" x14ac:dyDescent="0.3">
      <c r="A720" s="164">
        <v>45658</v>
      </c>
      <c r="B720" s="209" t="s">
        <v>17</v>
      </c>
      <c r="C720" s="207">
        <v>3835</v>
      </c>
      <c r="D720" s="210">
        <v>306610.88333045557</v>
      </c>
      <c r="E720" s="174">
        <f>IFERROR(DT_data[[#This Row],[Объем предложения]]/C708-1,"")</f>
        <v>-9.5092024539877307E-2</v>
      </c>
      <c r="F720" s="174">
        <f>IFERROR(DT_data[[#This Row],[Средневзвешенная цена]]/D708-1,"")</f>
        <v>1.1636256953939661E-2</v>
      </c>
    </row>
    <row r="721" spans="1:6" x14ac:dyDescent="0.3">
      <c r="A721" s="164">
        <v>45658</v>
      </c>
      <c r="B721" s="212" t="s">
        <v>175</v>
      </c>
      <c r="C721" s="213">
        <v>538</v>
      </c>
      <c r="D721" s="214">
        <v>237678.0265019311</v>
      </c>
      <c r="E721" s="174">
        <f>IFERROR(DT_data[[#This Row],[Объем предложения]]/C709-1,"")</f>
        <v>-7.7186963979416823E-2</v>
      </c>
      <c r="F721" s="174">
        <f>IFERROR(DT_data[[#This Row],[Средневзвешенная цена]]/D709-1,"")</f>
        <v>1.1012614844249091E-2</v>
      </c>
    </row>
    <row r="722" spans="1:6" x14ac:dyDescent="0.3">
      <c r="A722" s="164">
        <v>45689</v>
      </c>
      <c r="B722" s="79" t="s">
        <v>7</v>
      </c>
      <c r="C722">
        <v>3995</v>
      </c>
      <c r="D722" s="34">
        <v>295857.63627712522</v>
      </c>
      <c r="E722" s="174">
        <f>IFERROR(DT_data[[#This Row],[Объем предложения]]/C710-1,"")</f>
        <v>3.1233866804336596E-2</v>
      </c>
      <c r="F722" s="174">
        <f>IFERROR(DT_data[[#This Row],[Средневзвешенная цена]]/D710-1,"")</f>
        <v>1.3197944896629954E-2</v>
      </c>
    </row>
    <row r="723" spans="1:6" x14ac:dyDescent="0.3">
      <c r="A723" s="164">
        <v>45689</v>
      </c>
      <c r="B723" s="79" t="s">
        <v>8</v>
      </c>
      <c r="C723">
        <v>4055</v>
      </c>
      <c r="D723" s="34">
        <v>368955.45423507312</v>
      </c>
      <c r="E723" s="174">
        <f>IFERROR(DT_data[[#This Row],[Объем предложения]]/C711-1,"")</f>
        <v>1.1726546906187574E-2</v>
      </c>
      <c r="F723" s="174">
        <f>IFERROR(DT_data[[#This Row],[Средневзвешенная цена]]/D711-1,"")</f>
        <v>1.6988224893843551E-3</v>
      </c>
    </row>
    <row r="724" spans="1:6" x14ac:dyDescent="0.3">
      <c r="A724" s="164">
        <v>45689</v>
      </c>
      <c r="B724" s="79" t="s">
        <v>9</v>
      </c>
      <c r="C724">
        <v>2021</v>
      </c>
      <c r="D724" s="34">
        <v>239605.44126146811</v>
      </c>
      <c r="E724" s="174">
        <f>IFERROR(DT_data[[#This Row],[Объем предложения]]/C712-1,"")</f>
        <v>6.9755854509216952E-3</v>
      </c>
      <c r="F724" s="174">
        <f>IFERROR(DT_data[[#This Row],[Средневзвешенная цена]]/D712-1,"")</f>
        <v>-3.3338671236138318E-3</v>
      </c>
    </row>
    <row r="725" spans="1:6" x14ac:dyDescent="0.3">
      <c r="A725" s="164">
        <v>45689</v>
      </c>
      <c r="B725" s="79" t="s">
        <v>10</v>
      </c>
      <c r="C725">
        <v>3577</v>
      </c>
      <c r="D725" s="34">
        <v>338935.99935681309</v>
      </c>
      <c r="E725" s="174">
        <f>IFERROR(DT_data[[#This Row],[Объем предложения]]/C713-1,"")</f>
        <v>3.1132891323147893E-2</v>
      </c>
      <c r="F725" s="174">
        <f>IFERROR(DT_data[[#This Row],[Средневзвешенная цена]]/D713-1,"")</f>
        <v>7.4724754557697892E-4</v>
      </c>
    </row>
    <row r="726" spans="1:6" x14ac:dyDescent="0.3">
      <c r="A726" s="164">
        <v>45689</v>
      </c>
      <c r="B726" s="79" t="s">
        <v>11</v>
      </c>
      <c r="C726">
        <v>3476</v>
      </c>
      <c r="D726" s="34">
        <v>313831.97483090812</v>
      </c>
      <c r="E726" s="174">
        <f>IFERROR(DT_data[[#This Row],[Объем предложения]]/C714-1,"")</f>
        <v>2.3255813953488413E-2</v>
      </c>
      <c r="F726" s="174">
        <f>IFERROR(DT_data[[#This Row],[Средневзвешенная цена]]/D714-1,"")</f>
        <v>1.1297101272803811E-2</v>
      </c>
    </row>
    <row r="727" spans="1:6" x14ac:dyDescent="0.3">
      <c r="A727" s="164">
        <v>45689</v>
      </c>
      <c r="B727" s="79" t="s">
        <v>12</v>
      </c>
      <c r="C727">
        <v>2462</v>
      </c>
      <c r="D727" s="34">
        <v>335102.60702170612</v>
      </c>
      <c r="E727" s="174">
        <f>IFERROR(DT_data[[#This Row],[Объем предложения]]/C715-1,"")</f>
        <v>3.750526759376327E-2</v>
      </c>
      <c r="F727" s="174">
        <f>IFERROR(DT_data[[#This Row],[Средневзвешенная цена]]/D715-1,"")</f>
        <v>7.6251748836075883E-4</v>
      </c>
    </row>
    <row r="728" spans="1:6" x14ac:dyDescent="0.3">
      <c r="A728" s="164">
        <v>45689</v>
      </c>
      <c r="B728" s="79" t="s">
        <v>13</v>
      </c>
      <c r="C728">
        <v>590</v>
      </c>
      <c r="D728" s="34">
        <v>183225.25019643709</v>
      </c>
      <c r="E728" s="174">
        <f>IFERROR(DT_data[[#This Row],[Объем предложения]]/C716-1,"")</f>
        <v>-1.3377926421404673E-2</v>
      </c>
      <c r="F728" s="174">
        <f>IFERROR(DT_data[[#This Row],[Средневзвешенная цена]]/D716-1,"")</f>
        <v>1.3957985963233499E-2</v>
      </c>
    </row>
    <row r="729" spans="1:6" x14ac:dyDescent="0.3">
      <c r="A729" s="164">
        <v>45689</v>
      </c>
      <c r="B729" s="79" t="s">
        <v>14</v>
      </c>
      <c r="C729">
        <v>4680</v>
      </c>
      <c r="D729" s="34">
        <v>675010.44577401597</v>
      </c>
      <c r="E729" s="174">
        <f>IFERROR(DT_data[[#This Row],[Объем предложения]]/C717-1,"")</f>
        <v>7.5349838536060698E-3</v>
      </c>
      <c r="F729" s="174">
        <f>IFERROR(DT_data[[#This Row],[Средневзвешенная цена]]/D717-1,"")</f>
        <v>-1.7647783138990403E-2</v>
      </c>
    </row>
    <row r="730" spans="1:6" x14ac:dyDescent="0.3">
      <c r="A730" s="164">
        <v>45689</v>
      </c>
      <c r="B730" s="79" t="s">
        <v>15</v>
      </c>
      <c r="C730">
        <v>3564</v>
      </c>
      <c r="D730" s="34">
        <v>286213.87438602129</v>
      </c>
      <c r="E730" s="174">
        <f>IFERROR(DT_data[[#This Row],[Объем предложения]]/C718-1,"")</f>
        <v>2.4137931034482696E-2</v>
      </c>
      <c r="F730" s="174">
        <f>IFERROR(DT_data[[#This Row],[Средневзвешенная цена]]/D718-1,"")</f>
        <v>9.0135675656721759E-3</v>
      </c>
    </row>
    <row r="731" spans="1:6" x14ac:dyDescent="0.3">
      <c r="A731" s="164">
        <v>45689</v>
      </c>
      <c r="B731" s="79" t="s">
        <v>16</v>
      </c>
      <c r="C731">
        <v>4001</v>
      </c>
      <c r="D731" s="34">
        <v>336469.0688223911</v>
      </c>
      <c r="E731" s="174">
        <f>IFERROR(DT_data[[#This Row],[Объем предложения]]/C719-1,"")</f>
        <v>6.2964930924548357E-2</v>
      </c>
      <c r="F731" s="174">
        <f>IFERROR(DT_data[[#This Row],[Средневзвешенная цена]]/D719-1,"")</f>
        <v>1.2296964567926505E-2</v>
      </c>
    </row>
    <row r="732" spans="1:6" x14ac:dyDescent="0.3">
      <c r="A732" s="164">
        <v>45689</v>
      </c>
      <c r="B732" s="79" t="s">
        <v>17</v>
      </c>
      <c r="C732">
        <v>4035</v>
      </c>
      <c r="D732" s="34">
        <v>308569.71740717988</v>
      </c>
      <c r="E732" s="174">
        <f>IFERROR(DT_data[[#This Row],[Объем предложения]]/C720-1,"")</f>
        <v>5.2151238591916504E-2</v>
      </c>
      <c r="F732" s="174">
        <f>IFERROR(DT_data[[#This Row],[Средневзвешенная цена]]/D720-1,"")</f>
        <v>6.3886645361284078E-3</v>
      </c>
    </row>
    <row r="733" spans="1:6" x14ac:dyDescent="0.3">
      <c r="A733" s="164">
        <v>45689</v>
      </c>
      <c r="B733" s="215" t="s">
        <v>175</v>
      </c>
      <c r="C733">
        <v>566</v>
      </c>
      <c r="D733" s="65">
        <v>241788.4998186747</v>
      </c>
      <c r="E733" s="174">
        <f>IFERROR(DT_data[[#This Row],[Объем предложения]]/C721-1,"")</f>
        <v>5.2044609665427455E-2</v>
      </c>
      <c r="F733" s="174">
        <f>IFERROR(DT_data[[#This Row],[Средневзвешенная цена]]/D721-1,"")</f>
        <v>1.7294292523546417E-2</v>
      </c>
    </row>
    <row r="734" spans="1:6" x14ac:dyDescent="0.3">
      <c r="A734" s="164">
        <v>45717</v>
      </c>
      <c r="B734" s="79" t="s">
        <v>7</v>
      </c>
      <c r="C734">
        <v>4031</v>
      </c>
      <c r="D734">
        <v>296711.33436988131</v>
      </c>
      <c r="E734" s="174">
        <f>IFERROR(DT_data[[#This Row],[Объем предложения]]/C722-1,"")</f>
        <v>9.011264080100112E-3</v>
      </c>
      <c r="F734" s="174">
        <f>IFERROR(DT_data[[#This Row],[Средневзвешенная цена]]/D722-1,"")</f>
        <v>2.8855029854846226E-3</v>
      </c>
    </row>
    <row r="735" spans="1:6" x14ac:dyDescent="0.3">
      <c r="A735" s="164">
        <v>45717</v>
      </c>
      <c r="B735" s="215" t="s">
        <v>8</v>
      </c>
      <c r="C735">
        <v>4060</v>
      </c>
      <c r="D735" s="65">
        <v>371943.62034706899</v>
      </c>
      <c r="E735" s="174">
        <f>IFERROR(DT_data[[#This Row],[Объем предложения]]/C723-1,"")</f>
        <v>1.2330456226881115E-3</v>
      </c>
      <c r="F735" s="174">
        <f>IFERROR(DT_data[[#This Row],[Средневзвешенная цена]]/D723-1,"")</f>
        <v>8.0989888554188205E-3</v>
      </c>
    </row>
    <row r="736" spans="1:6" x14ac:dyDescent="0.3">
      <c r="A736" s="164">
        <v>45717</v>
      </c>
      <c r="B736" s="79" t="s">
        <v>9</v>
      </c>
      <c r="C736">
        <v>1979</v>
      </c>
      <c r="D736" s="34">
        <v>241066.2104217906</v>
      </c>
      <c r="E736" s="174">
        <f>IFERROR(DT_data[[#This Row],[Объем предложения]]/C724-1,"")</f>
        <v>-2.0781791192478916E-2</v>
      </c>
      <c r="F736" s="174">
        <f>IFERROR(DT_data[[#This Row],[Средневзвешенная цена]]/D724-1,"")</f>
        <v>6.0965608820562345E-3</v>
      </c>
    </row>
    <row r="737" spans="1:6" x14ac:dyDescent="0.3">
      <c r="A737" s="164">
        <v>45717</v>
      </c>
      <c r="B737" s="79" t="s">
        <v>10</v>
      </c>
      <c r="C737">
        <v>3676</v>
      </c>
      <c r="D737" s="34">
        <v>341724.35932565929</v>
      </c>
      <c r="E737" s="174">
        <f>IFERROR(DT_data[[#This Row],[Объем предложения]]/C725-1,"")</f>
        <v>2.7676824154319268E-2</v>
      </c>
      <c r="F737" s="174">
        <f>IFERROR(DT_data[[#This Row],[Средневзвешенная цена]]/D725-1,"")</f>
        <v>8.2268038040738123E-3</v>
      </c>
    </row>
    <row r="738" spans="1:6" x14ac:dyDescent="0.3">
      <c r="A738" s="164">
        <v>45717</v>
      </c>
      <c r="B738" s="79" t="s">
        <v>11</v>
      </c>
      <c r="C738">
        <v>3467</v>
      </c>
      <c r="D738" s="34">
        <v>316327.06470858649</v>
      </c>
      <c r="E738" s="174">
        <f>IFERROR(DT_data[[#This Row],[Объем предложения]]/C726-1,"")</f>
        <v>-2.5891829689298484E-3</v>
      </c>
      <c r="F738" s="174">
        <f>IFERROR(DT_data[[#This Row],[Средневзвешенная цена]]/D726-1,"")</f>
        <v>7.950400461975704E-3</v>
      </c>
    </row>
    <row r="739" spans="1:6" x14ac:dyDescent="0.3">
      <c r="A739" s="164">
        <v>45717</v>
      </c>
      <c r="B739" s="79" t="s">
        <v>12</v>
      </c>
      <c r="C739">
        <v>2467</v>
      </c>
      <c r="D739" s="34">
        <v>336597.12595187902</v>
      </c>
      <c r="E739" s="174">
        <f>IFERROR(DT_data[[#This Row],[Объем предложения]]/C727-1,"")</f>
        <v>2.0308692120227789E-3</v>
      </c>
      <c r="F739" s="174">
        <f>IFERROR(DT_data[[#This Row],[Средневзвешенная цена]]/D727-1,"")</f>
        <v>4.4598845215073624E-3</v>
      </c>
    </row>
    <row r="740" spans="1:6" x14ac:dyDescent="0.3">
      <c r="A740" s="164">
        <v>45717</v>
      </c>
      <c r="B740" s="79" t="s">
        <v>13</v>
      </c>
      <c r="C740">
        <v>587</v>
      </c>
      <c r="D740" s="34">
        <v>181176.34098034751</v>
      </c>
      <c r="E740" s="174">
        <f>IFERROR(DT_data[[#This Row],[Объем предложения]]/C728-1,"")</f>
        <v>-5.0847457627118953E-3</v>
      </c>
      <c r="F740" s="174">
        <f>IFERROR(DT_data[[#This Row],[Средневзвешенная цена]]/D728-1,"")</f>
        <v>-1.1182461008474198E-2</v>
      </c>
    </row>
    <row r="741" spans="1:6" x14ac:dyDescent="0.3">
      <c r="A741" s="164">
        <v>45717</v>
      </c>
      <c r="B741" s="79" t="s">
        <v>14</v>
      </c>
      <c r="C741">
        <v>4783</v>
      </c>
      <c r="D741" s="34">
        <v>675566.28607855435</v>
      </c>
      <c r="E741" s="174">
        <f>IFERROR(DT_data[[#This Row],[Объем предложения]]/C729-1,"")</f>
        <v>2.200854700854693E-2</v>
      </c>
      <c r="F741" s="174">
        <f>IFERROR(DT_data[[#This Row],[Средневзвешенная цена]]/D729-1,"")</f>
        <v>8.2345437469633076E-4</v>
      </c>
    </row>
    <row r="742" spans="1:6" x14ac:dyDescent="0.3">
      <c r="A742" s="164">
        <v>45717</v>
      </c>
      <c r="B742" s="79" t="s">
        <v>15</v>
      </c>
      <c r="C742">
        <v>3757</v>
      </c>
      <c r="D742" s="34">
        <v>285943.1054842883</v>
      </c>
      <c r="E742" s="174">
        <f>IFERROR(DT_data[[#This Row],[Объем предложения]]/C730-1,"")</f>
        <v>5.4152637485970878E-2</v>
      </c>
      <c r="F742" s="174">
        <f>IFERROR(DT_data[[#This Row],[Средневзвешенная цена]]/D730-1,"")</f>
        <v>-9.4603695335815363E-4</v>
      </c>
    </row>
    <row r="743" spans="1:6" x14ac:dyDescent="0.3">
      <c r="A743" s="164">
        <v>45717</v>
      </c>
      <c r="B743" s="79" t="s">
        <v>16</v>
      </c>
      <c r="C743">
        <v>4041</v>
      </c>
      <c r="D743" s="34">
        <v>335447.96066498052</v>
      </c>
      <c r="E743" s="174">
        <f>IFERROR(DT_data[[#This Row],[Объем предложения]]/C731-1,"")</f>
        <v>9.9975006248438358E-3</v>
      </c>
      <c r="F743" s="174">
        <f>IFERROR(DT_data[[#This Row],[Средневзвешенная цена]]/D731-1,"")</f>
        <v>-3.0347757105411155E-3</v>
      </c>
    </row>
    <row r="744" spans="1:6" x14ac:dyDescent="0.3">
      <c r="A744" s="164">
        <v>45717</v>
      </c>
      <c r="B744" s="79" t="s">
        <v>17</v>
      </c>
      <c r="C744">
        <v>3996</v>
      </c>
      <c r="D744" s="34">
        <v>311004.03813215619</v>
      </c>
      <c r="E744" s="174">
        <f>IFERROR(DT_data[[#This Row],[Объем предложения]]/C732-1,"")</f>
        <v>-9.665427509293667E-3</v>
      </c>
      <c r="F744" s="174">
        <f>IFERROR(DT_data[[#This Row],[Средневзвешенная цена]]/D732-1,"")</f>
        <v>7.8890460976897003E-3</v>
      </c>
    </row>
    <row r="745" spans="1:6" x14ac:dyDescent="0.3">
      <c r="A745" s="164">
        <v>45717</v>
      </c>
      <c r="B745" s="215" t="s">
        <v>175</v>
      </c>
      <c r="C745">
        <v>593</v>
      </c>
      <c r="D745" s="65">
        <v>244944.74664733041</v>
      </c>
      <c r="E745" s="174">
        <f>IFERROR(DT_data[[#This Row],[Объем предложения]]/C733-1,"")</f>
        <v>4.7703180212014029E-2</v>
      </c>
      <c r="F745" s="174">
        <f>IFERROR(DT_data[[#This Row],[Средневзвешенная цена]]/D733-1,"")</f>
        <v>1.3053750823644128E-2</v>
      </c>
    </row>
    <row r="746" spans="1:6" x14ac:dyDescent="0.3">
      <c r="A746" s="164">
        <v>45748</v>
      </c>
      <c r="B746" s="216" t="s">
        <v>7</v>
      </c>
      <c r="C746">
        <v>3945</v>
      </c>
      <c r="D746">
        <v>297368.20961400057</v>
      </c>
      <c r="E746" s="174">
        <f>IFERROR(DT_data[[#This Row],[Объем предложения]]/C734-1,"")</f>
        <v>-2.1334656412800745E-2</v>
      </c>
      <c r="F746" s="174">
        <f>IFERROR(DT_data[[#This Row],[Средневзвешенная цена]]/D734-1,"")</f>
        <v>2.2138528867265972E-3</v>
      </c>
    </row>
    <row r="747" spans="1:6" x14ac:dyDescent="0.3">
      <c r="A747" s="164">
        <v>45748</v>
      </c>
      <c r="B747" s="216" t="s">
        <v>8</v>
      </c>
      <c r="C747">
        <v>4053</v>
      </c>
      <c r="D747">
        <v>376505.26851884701</v>
      </c>
      <c r="E747" s="174">
        <f>IFERROR(DT_data[[#This Row],[Объем предложения]]/C735-1,"")</f>
        <v>-1.7241379310344307E-3</v>
      </c>
      <c r="F747" s="174">
        <f>IFERROR(DT_data[[#This Row],[Средневзвешенная цена]]/D735-1,"")</f>
        <v>1.2264353848901788E-2</v>
      </c>
    </row>
    <row r="748" spans="1:6" x14ac:dyDescent="0.3">
      <c r="A748" s="164">
        <v>45748</v>
      </c>
      <c r="B748" s="216" t="s">
        <v>9</v>
      </c>
      <c r="C748">
        <v>1946</v>
      </c>
      <c r="D748">
        <v>240027.5228364263</v>
      </c>
      <c r="E748" s="174">
        <f>IFERROR(DT_data[[#This Row],[Объем предложения]]/C736-1,"")</f>
        <v>-1.6675088428499296E-2</v>
      </c>
      <c r="F748" s="174">
        <f>IFERROR(DT_data[[#This Row],[Средневзвешенная цена]]/D736-1,"")</f>
        <v>-4.3087232488822069E-3</v>
      </c>
    </row>
    <row r="749" spans="1:6" x14ac:dyDescent="0.3">
      <c r="A749" s="164">
        <v>45748</v>
      </c>
      <c r="B749" s="216" t="s">
        <v>10</v>
      </c>
      <c r="C749">
        <v>3600</v>
      </c>
      <c r="D749">
        <v>343250.62477042607</v>
      </c>
      <c r="E749" s="174">
        <f>IFERROR(DT_data[[#This Row],[Объем предложения]]/C737-1,"")</f>
        <v>-2.0674646354733373E-2</v>
      </c>
      <c r="F749" s="174">
        <f>IFERROR(DT_data[[#This Row],[Средневзвешенная цена]]/D737-1,"")</f>
        <v>4.466364200019779E-3</v>
      </c>
    </row>
    <row r="750" spans="1:6" x14ac:dyDescent="0.3">
      <c r="A750" s="164">
        <v>45748</v>
      </c>
      <c r="B750" s="216" t="s">
        <v>11</v>
      </c>
      <c r="C750">
        <v>3406</v>
      </c>
      <c r="D750">
        <v>314724.05188943259</v>
      </c>
      <c r="E750" s="174">
        <f>IFERROR(DT_data[[#This Row],[Объем предложения]]/C738-1,"")</f>
        <v>-1.7594462070954719E-2</v>
      </c>
      <c r="F750" s="174">
        <f>IFERROR(DT_data[[#This Row],[Средневзвешенная цена]]/D738-1,"")</f>
        <v>-5.0675803558910548E-3</v>
      </c>
    </row>
    <row r="751" spans="1:6" x14ac:dyDescent="0.3">
      <c r="A751" s="164">
        <v>45748</v>
      </c>
      <c r="B751" s="216" t="s">
        <v>12</v>
      </c>
      <c r="C751">
        <v>2420</v>
      </c>
      <c r="D751">
        <v>335750.1813191523</v>
      </c>
      <c r="E751" s="174">
        <f>IFERROR(DT_data[[#This Row],[Объем предложения]]/C739-1,"")</f>
        <v>-1.9051479529793247E-2</v>
      </c>
      <c r="F751" s="174">
        <f>IFERROR(DT_data[[#This Row],[Средневзвешенная цена]]/D739-1,"")</f>
        <v>-2.5161968639263455E-3</v>
      </c>
    </row>
    <row r="752" spans="1:6" x14ac:dyDescent="0.3">
      <c r="A752" s="164">
        <v>45748</v>
      </c>
      <c r="B752" s="216" t="s">
        <v>13</v>
      </c>
      <c r="C752">
        <v>578</v>
      </c>
      <c r="D752">
        <v>182244.0329244571</v>
      </c>
      <c r="E752" s="174">
        <f>IFERROR(DT_data[[#This Row],[Объем предложения]]/C740-1,"")</f>
        <v>-1.5332197614991494E-2</v>
      </c>
      <c r="F752" s="174">
        <f>IFERROR(DT_data[[#This Row],[Средневзвешенная цена]]/D740-1,"")</f>
        <v>5.8931091020621995E-3</v>
      </c>
    </row>
    <row r="753" spans="1:6" x14ac:dyDescent="0.3">
      <c r="A753" s="164">
        <v>45748</v>
      </c>
      <c r="B753" s="216" t="s">
        <v>14</v>
      </c>
      <c r="C753">
        <v>4702</v>
      </c>
      <c r="D753">
        <v>677386.18006543163</v>
      </c>
      <c r="E753" s="174">
        <f>IFERROR(DT_data[[#This Row],[Объем предложения]]/C741-1,"")</f>
        <v>-1.6934978047250637E-2</v>
      </c>
      <c r="F753" s="174">
        <f>IFERROR(DT_data[[#This Row],[Средневзвешенная цена]]/D741-1,"")</f>
        <v>2.6938792304767034E-3</v>
      </c>
    </row>
    <row r="754" spans="1:6" x14ac:dyDescent="0.3">
      <c r="A754" s="164">
        <v>45748</v>
      </c>
      <c r="B754" s="216" t="s">
        <v>15</v>
      </c>
      <c r="C754">
        <v>3640</v>
      </c>
      <c r="D754">
        <v>286221.31953163189</v>
      </c>
      <c r="E754" s="174">
        <f>IFERROR(DT_data[[#This Row],[Объем предложения]]/C742-1,"")</f>
        <v>-3.114186851211076E-2</v>
      </c>
      <c r="F754" s="174">
        <f>IFERROR(DT_data[[#This Row],[Средневзвешенная цена]]/D742-1,"")</f>
        <v>9.7296994404660886E-4</v>
      </c>
    </row>
    <row r="755" spans="1:6" x14ac:dyDescent="0.3">
      <c r="A755" s="164">
        <v>45748</v>
      </c>
      <c r="B755" s="216" t="s">
        <v>16</v>
      </c>
      <c r="C755">
        <v>3947</v>
      </c>
      <c r="D755">
        <v>337436.08787011681</v>
      </c>
      <c r="E755" s="174">
        <f>IFERROR(DT_data[[#This Row],[Объем предложения]]/C743-1,"")</f>
        <v>-2.3261568918584552E-2</v>
      </c>
      <c r="F755" s="174">
        <f>IFERROR(DT_data[[#This Row],[Средневзвешенная цена]]/D743-1,"")</f>
        <v>5.9267828046862814E-3</v>
      </c>
    </row>
    <row r="756" spans="1:6" x14ac:dyDescent="0.3">
      <c r="A756" s="164">
        <v>45748</v>
      </c>
      <c r="B756" s="216" t="s">
        <v>17</v>
      </c>
      <c r="C756">
        <v>3898</v>
      </c>
      <c r="D756">
        <v>312715.54204088531</v>
      </c>
      <c r="E756" s="174">
        <f>IFERROR(DT_data[[#This Row],[Объем предложения]]/C744-1,"")</f>
        <v>-2.4524524524524471E-2</v>
      </c>
      <c r="F756" s="174">
        <f>IFERROR(DT_data[[#This Row],[Средневзвешенная цена]]/D744-1,"")</f>
        <v>5.503156547445931E-3</v>
      </c>
    </row>
    <row r="757" spans="1:6" x14ac:dyDescent="0.3">
      <c r="A757" s="164">
        <v>45748</v>
      </c>
      <c r="B757" s="216" t="s">
        <v>175</v>
      </c>
      <c r="C757">
        <v>562</v>
      </c>
      <c r="D757">
        <v>244519.15104437791</v>
      </c>
      <c r="E757" s="174">
        <f>IFERROR(DT_data[[#This Row],[Объем предложения]]/C745-1,"")</f>
        <v>-5.227655986509272E-2</v>
      </c>
      <c r="F757" s="174">
        <f>IFERROR(DT_data[[#This Row],[Средневзвешенная цена]]/D745-1,"")</f>
        <v>-1.7375167615465426E-3</v>
      </c>
    </row>
    <row r="758" spans="1:6" x14ac:dyDescent="0.3">
      <c r="A758" s="164">
        <v>45778</v>
      </c>
      <c r="B758" s="216" t="s">
        <v>7</v>
      </c>
      <c r="C758">
        <v>3937</v>
      </c>
      <c r="D758">
        <v>299179.8334931166</v>
      </c>
      <c r="E758" s="174">
        <f>IFERROR(DT_data[[#This Row],[Объем предложения]]/C746-1,"")</f>
        <v>-2.0278833967046772E-3</v>
      </c>
      <c r="F758" s="174">
        <f>IFERROR(DT_data[[#This Row],[Средневзвешенная цена]]/D746-1,"")</f>
        <v>6.0921908278883663E-3</v>
      </c>
    </row>
    <row r="759" spans="1:6" x14ac:dyDescent="0.3">
      <c r="A759" s="164">
        <v>45778</v>
      </c>
      <c r="B759" s="217" t="s">
        <v>8</v>
      </c>
      <c r="C759">
        <v>4124</v>
      </c>
      <c r="D759" s="65">
        <v>379696.244495266</v>
      </c>
      <c r="E759" s="174">
        <f>IFERROR(DT_data[[#This Row],[Объем предложения]]/C747-1,"")</f>
        <v>1.7517887984209279E-2</v>
      </c>
      <c r="F759" s="174">
        <f>IFERROR(DT_data[[#This Row],[Средневзвешенная цена]]/D747-1,"")</f>
        <v>8.4752492016171299E-3</v>
      </c>
    </row>
    <row r="760" spans="1:6" x14ac:dyDescent="0.3">
      <c r="A760" s="164">
        <v>45778</v>
      </c>
      <c r="B760" s="216" t="s">
        <v>9</v>
      </c>
      <c r="C760">
        <v>1912</v>
      </c>
      <c r="D760" s="34">
        <v>240633.21552951471</v>
      </c>
      <c r="E760" s="174">
        <f>IFERROR(DT_data[[#This Row],[Объем предложения]]/C748-1,"")</f>
        <v>-1.7471736896197299E-2</v>
      </c>
      <c r="F760" s="174">
        <f>IFERROR(DT_data[[#This Row],[Средневзвешенная цена]]/D748-1,"")</f>
        <v>2.5234301713856766E-3</v>
      </c>
    </row>
    <row r="761" spans="1:6" x14ac:dyDescent="0.3">
      <c r="A761" s="164">
        <v>45778</v>
      </c>
      <c r="B761" s="216" t="s">
        <v>10</v>
      </c>
      <c r="C761">
        <v>3642</v>
      </c>
      <c r="D761" s="34">
        <v>344838.07020641002</v>
      </c>
      <c r="E761" s="174">
        <f>IFERROR(DT_data[[#This Row],[Объем предложения]]/C749-1,"")</f>
        <v>1.1666666666666714E-2</v>
      </c>
      <c r="F761" s="174">
        <f>IFERROR(DT_data[[#This Row],[Средневзвешенная цена]]/D749-1,"")</f>
        <v>4.6247415778066792E-3</v>
      </c>
    </row>
    <row r="762" spans="1:6" x14ac:dyDescent="0.3">
      <c r="A762" s="164">
        <v>45778</v>
      </c>
      <c r="B762" s="216" t="s">
        <v>11</v>
      </c>
      <c r="C762">
        <v>3420</v>
      </c>
      <c r="D762" s="34">
        <v>315255.15594688873</v>
      </c>
      <c r="E762" s="174">
        <f>IFERROR(DT_data[[#This Row],[Объем предложения]]/C750-1,"")</f>
        <v>4.1103934233706063E-3</v>
      </c>
      <c r="F762" s="174">
        <f>IFERROR(DT_data[[#This Row],[Средневзвешенная цена]]/D750-1,"")</f>
        <v>1.6875229403907621E-3</v>
      </c>
    </row>
    <row r="763" spans="1:6" x14ac:dyDescent="0.3">
      <c r="A763" s="164">
        <v>45778</v>
      </c>
      <c r="B763" s="217" t="s">
        <v>12</v>
      </c>
      <c r="C763">
        <v>2404</v>
      </c>
      <c r="D763" s="65">
        <v>336790.17124595778</v>
      </c>
      <c r="E763" s="174">
        <f>IFERROR(DT_data[[#This Row],[Объем предложения]]/C751-1,"")</f>
        <v>-6.6115702479339067E-3</v>
      </c>
      <c r="F763" s="174">
        <f>IFERROR(DT_data[[#This Row],[Средневзвешенная цена]]/D751-1,"")</f>
        <v>3.0975111397391064E-3</v>
      </c>
    </row>
    <row r="764" spans="1:6" x14ac:dyDescent="0.3">
      <c r="A764" s="164">
        <v>45778</v>
      </c>
      <c r="B764" s="216" t="s">
        <v>13</v>
      </c>
      <c r="C764">
        <v>587</v>
      </c>
      <c r="D764" s="34">
        <v>180956.4947770311</v>
      </c>
      <c r="E764" s="174">
        <f>IFERROR(DT_data[[#This Row],[Объем предложения]]/C752-1,"")</f>
        <v>1.5570934256055269E-2</v>
      </c>
      <c r="F764" s="174">
        <f>IFERROR(DT_data[[#This Row],[Средневзвешенная цена]]/D752-1,"")</f>
        <v>-7.0649125064067286E-3</v>
      </c>
    </row>
    <row r="765" spans="1:6" x14ac:dyDescent="0.3">
      <c r="A765" s="164">
        <v>45778</v>
      </c>
      <c r="B765" s="216" t="s">
        <v>14</v>
      </c>
      <c r="C765">
        <v>4706</v>
      </c>
      <c r="D765" s="34">
        <v>690909.15392881958</v>
      </c>
      <c r="E765" s="174">
        <f>IFERROR(DT_data[[#This Row],[Объем предложения]]/C753-1,"")</f>
        <v>8.5070182900892632E-4</v>
      </c>
      <c r="F765" s="174">
        <f>IFERROR(DT_data[[#This Row],[Средневзвешенная цена]]/D753-1,"")</f>
        <v>1.9963462883287209E-2</v>
      </c>
    </row>
    <row r="766" spans="1:6" x14ac:dyDescent="0.3">
      <c r="A766" s="164">
        <v>45778</v>
      </c>
      <c r="B766" s="216" t="s">
        <v>15</v>
      </c>
      <c r="C766">
        <v>3673</v>
      </c>
      <c r="D766" s="34">
        <v>288195.5116936898</v>
      </c>
      <c r="E766" s="174">
        <f>IFERROR(DT_data[[#This Row],[Объем предложения]]/C754-1,"")</f>
        <v>9.0659340659340337E-3</v>
      </c>
      <c r="F766" s="174">
        <f>IFERROR(DT_data[[#This Row],[Средневзвешенная цена]]/D754-1,"")</f>
        <v>6.8974322572772362E-3</v>
      </c>
    </row>
    <row r="767" spans="1:6" x14ac:dyDescent="0.3">
      <c r="A767" s="164">
        <v>45778</v>
      </c>
      <c r="B767" s="216" t="s">
        <v>16</v>
      </c>
      <c r="C767">
        <v>4015</v>
      </c>
      <c r="D767" s="34">
        <v>340908.6453013721</v>
      </c>
      <c r="E767" s="174">
        <f>IFERROR(DT_data[[#This Row],[Объем предложения]]/C755-1,"")</f>
        <v>1.7228274638966257E-2</v>
      </c>
      <c r="F767" s="174">
        <f>IFERROR(DT_data[[#This Row],[Средневзвешенная цена]]/D755-1,"")</f>
        <v>1.0291007856254808E-2</v>
      </c>
    </row>
    <row r="768" spans="1:6" x14ac:dyDescent="0.3">
      <c r="A768" s="164">
        <v>45778</v>
      </c>
      <c r="B768" s="217" t="s">
        <v>17</v>
      </c>
      <c r="C768">
        <v>3987</v>
      </c>
      <c r="D768" s="65">
        <v>314571.80840825947</v>
      </c>
      <c r="E768" s="174">
        <f>IFERROR(DT_data[[#This Row],[Объем предложения]]/C756-1,"")</f>
        <v>2.2832221652129281E-2</v>
      </c>
      <c r="F768" s="174">
        <f>IFERROR(DT_data[[#This Row],[Средневзвешенная цена]]/D756-1,"")</f>
        <v>5.9359581402944617E-3</v>
      </c>
    </row>
    <row r="769" spans="1:6" x14ac:dyDescent="0.3">
      <c r="A769" s="164">
        <v>45778</v>
      </c>
      <c r="B769" s="217" t="s">
        <v>175</v>
      </c>
      <c r="C769">
        <v>534</v>
      </c>
      <c r="D769" s="65">
        <v>244800.52604605441</v>
      </c>
      <c r="E769" s="174">
        <f>IFERROR(DT_data[[#This Row],[Объем предложения]]/C757-1,"")</f>
        <v>-4.9822064056939452E-2</v>
      </c>
      <c r="F769" s="174">
        <f>IFERROR(DT_data[[#This Row],[Средневзвешенная цена]]/D757-1,"")</f>
        <v>1.1507278692679535E-3</v>
      </c>
    </row>
    <row r="770" spans="1:6" x14ac:dyDescent="0.3">
      <c r="A770" s="164">
        <v>45809</v>
      </c>
      <c r="B770" s="216" t="s">
        <v>7</v>
      </c>
      <c r="C770" s="1">
        <v>3717</v>
      </c>
      <c r="D770" s="34">
        <v>300411.15172712231</v>
      </c>
      <c r="E770" s="174">
        <f>IFERROR(DT_data[[#This Row],[Объем предложения]]/C758-1,"")</f>
        <v>-5.5880111760223561E-2</v>
      </c>
      <c r="F770" s="174">
        <f>IFERROR(DT_data[[#This Row],[Средневзвешенная цена]]/D758-1,"")</f>
        <v>4.1156458295643628E-3</v>
      </c>
    </row>
    <row r="771" spans="1:6" x14ac:dyDescent="0.3">
      <c r="A771" s="164">
        <v>45809</v>
      </c>
      <c r="B771" s="216" t="s">
        <v>8</v>
      </c>
      <c r="C771" s="1">
        <v>3981</v>
      </c>
      <c r="D771" s="34">
        <v>386488.58184481232</v>
      </c>
      <c r="E771" s="174">
        <f>IFERROR(DT_data[[#This Row],[Объем предложения]]/C759-1,"")</f>
        <v>-3.4675072744907887E-2</v>
      </c>
      <c r="F771" s="174">
        <f>IFERROR(DT_data[[#This Row],[Средневзвешенная цена]]/D759-1,"")</f>
        <v>1.7888871559884612E-2</v>
      </c>
    </row>
    <row r="772" spans="1:6" x14ac:dyDescent="0.3">
      <c r="A772" s="164">
        <v>45809</v>
      </c>
      <c r="B772" s="216" t="s">
        <v>9</v>
      </c>
      <c r="C772" s="1">
        <v>1678</v>
      </c>
      <c r="D772" s="34">
        <v>238893.6730041714</v>
      </c>
      <c r="E772" s="174">
        <f>IFERROR(DT_data[[#This Row],[Объем предложения]]/C760-1,"")</f>
        <v>-0.12238493723849375</v>
      </c>
      <c r="F772" s="174">
        <f>IFERROR(DT_data[[#This Row],[Средневзвешенная цена]]/D760-1,"")</f>
        <v>-7.2290208212337781E-3</v>
      </c>
    </row>
    <row r="773" spans="1:6" x14ac:dyDescent="0.3">
      <c r="A773" s="164">
        <v>45809</v>
      </c>
      <c r="B773" s="216" t="s">
        <v>10</v>
      </c>
      <c r="C773" s="1">
        <v>3479</v>
      </c>
      <c r="D773" s="34">
        <v>344945.80126026628</v>
      </c>
      <c r="E773" s="174">
        <f>IFERROR(DT_data[[#This Row],[Объем предложения]]/C761-1,"")</f>
        <v>-4.4755628775398182E-2</v>
      </c>
      <c r="F773" s="174">
        <f>IFERROR(DT_data[[#This Row],[Средневзвешенная цена]]/D761-1,"")</f>
        <v>3.1241055777786464E-4</v>
      </c>
    </row>
    <row r="774" spans="1:6" x14ac:dyDescent="0.3">
      <c r="A774" s="164">
        <v>45809</v>
      </c>
      <c r="B774" s="216" t="s">
        <v>11</v>
      </c>
      <c r="C774" s="1">
        <v>3280</v>
      </c>
      <c r="D774" s="34">
        <v>319672.09024320153</v>
      </c>
      <c r="E774" s="174">
        <f>IFERROR(DT_data[[#This Row],[Объем предложения]]/C762-1,"")</f>
        <v>-4.0935672514619936E-2</v>
      </c>
      <c r="F774" s="174">
        <f>IFERROR(DT_data[[#This Row],[Средневзвешенная цена]]/D762-1,"")</f>
        <v>1.4010664736144429E-2</v>
      </c>
    </row>
    <row r="775" spans="1:6" x14ac:dyDescent="0.3">
      <c r="A775" s="164">
        <v>45809</v>
      </c>
      <c r="B775" s="216" t="s">
        <v>12</v>
      </c>
      <c r="C775" s="1">
        <v>2190</v>
      </c>
      <c r="D775" s="34">
        <v>336678.29908251087</v>
      </c>
      <c r="E775" s="174">
        <f>IFERROR(DT_data[[#This Row],[Объем предложения]]/C763-1,"")</f>
        <v>-8.9018302828619E-2</v>
      </c>
      <c r="F775" s="174">
        <f>IFERROR(DT_data[[#This Row],[Средневзвешенная цена]]/D763-1,"")</f>
        <v>-3.3217169917110212E-4</v>
      </c>
    </row>
    <row r="776" spans="1:6" x14ac:dyDescent="0.3">
      <c r="A776" s="164">
        <v>45809</v>
      </c>
      <c r="B776" s="216" t="s">
        <v>13</v>
      </c>
      <c r="C776" s="1">
        <v>543</v>
      </c>
      <c r="D776" s="34">
        <v>180581.59659172891</v>
      </c>
      <c r="E776" s="174">
        <f>IFERROR(DT_data[[#This Row],[Объем предложения]]/C764-1,"")</f>
        <v>-7.4957410562180526E-2</v>
      </c>
      <c r="F776" s="174">
        <f>IFERROR(DT_data[[#This Row],[Средневзвешенная цена]]/D764-1,"")</f>
        <v>-2.071758660909695E-3</v>
      </c>
    </row>
    <row r="777" spans="1:6" x14ac:dyDescent="0.3">
      <c r="A777" s="164">
        <v>45809</v>
      </c>
      <c r="B777" s="216" t="s">
        <v>14</v>
      </c>
      <c r="C777" s="1">
        <v>4414</v>
      </c>
      <c r="D777" s="34">
        <v>700027.13102242816</v>
      </c>
      <c r="E777" s="174">
        <f>IFERROR(DT_data[[#This Row],[Объем предложения]]/C765-1,"")</f>
        <v>-6.2048448788780242E-2</v>
      </c>
      <c r="F777" s="174">
        <f>IFERROR(DT_data[[#This Row],[Средневзвешенная цена]]/D765-1,"")</f>
        <v>1.3197070905428987E-2</v>
      </c>
    </row>
    <row r="778" spans="1:6" x14ac:dyDescent="0.3">
      <c r="A778" s="164">
        <v>45809</v>
      </c>
      <c r="B778" s="216" t="s">
        <v>15</v>
      </c>
      <c r="C778" s="1">
        <v>3446</v>
      </c>
      <c r="D778" s="34">
        <v>288286.60095405392</v>
      </c>
      <c r="E778" s="174">
        <f>IFERROR(DT_data[[#This Row],[Объем предложения]]/C766-1,"")</f>
        <v>-6.1802341410291284E-2</v>
      </c>
      <c r="F778" s="174">
        <f>IFERROR(DT_data[[#This Row],[Средневзвешенная цена]]/D766-1,"")</f>
        <v>3.1606758838398363E-4</v>
      </c>
    </row>
    <row r="779" spans="1:6" x14ac:dyDescent="0.3">
      <c r="A779" s="164">
        <v>45809</v>
      </c>
      <c r="B779" s="216" t="s">
        <v>16</v>
      </c>
      <c r="C779" s="1">
        <v>3693</v>
      </c>
      <c r="D779" s="34">
        <v>344135.97311972751</v>
      </c>
      <c r="E779" s="174">
        <f>IFERROR(DT_data[[#This Row],[Объем предложения]]/C767-1,"")</f>
        <v>-8.0199252801992582E-2</v>
      </c>
      <c r="F779" s="174">
        <f>IFERROR(DT_data[[#This Row],[Средневзвешенная цена]]/D767-1,"")</f>
        <v>9.4668406414344375E-3</v>
      </c>
    </row>
    <row r="780" spans="1:6" x14ac:dyDescent="0.3">
      <c r="A780" s="164">
        <v>45809</v>
      </c>
      <c r="B780" s="216" t="s">
        <v>17</v>
      </c>
      <c r="C780" s="1">
        <v>3796</v>
      </c>
      <c r="D780" s="34">
        <v>313996.77878630348</v>
      </c>
      <c r="E780" s="174">
        <f>IFERROR(DT_data[[#This Row],[Объем предложения]]/C768-1,"")</f>
        <v>-4.7905693503887625E-2</v>
      </c>
      <c r="F780" s="174">
        <f>IFERROR(DT_data[[#This Row],[Средневзвешенная цена]]/D768-1,"")</f>
        <v>-1.8279757008921038E-3</v>
      </c>
    </row>
    <row r="781" spans="1:6" x14ac:dyDescent="0.3">
      <c r="A781" s="164">
        <v>45809</v>
      </c>
      <c r="B781" s="217" t="s">
        <v>175</v>
      </c>
      <c r="C781" s="61">
        <v>491</v>
      </c>
      <c r="D781" s="65">
        <v>247106.66289453721</v>
      </c>
      <c r="E781" s="174">
        <f>IFERROR(DT_data[[#This Row],[Объем предложения]]/C769-1,"")</f>
        <v>-8.0524344569288364E-2</v>
      </c>
      <c r="F781" s="174">
        <f>IFERROR(DT_data[[#This Row],[Средневзвешенная цена]]/D769-1,"")</f>
        <v>9.4204734186271732E-3</v>
      </c>
    </row>
    <row r="782" spans="1:6" x14ac:dyDescent="0.3">
      <c r="A782" s="164">
        <v>45839</v>
      </c>
      <c r="B782" s="218" t="s">
        <v>7</v>
      </c>
      <c r="C782">
        <v>3894</v>
      </c>
      <c r="D782" s="34">
        <v>301769.6113086734</v>
      </c>
      <c r="E782" s="174">
        <f>IFERROR(DT_data[[#This Row],[Объем предложения]]/C770-1,"")</f>
        <v>4.7619047619047672E-2</v>
      </c>
      <c r="F782" s="174">
        <f>IFERROR(DT_data[[#This Row],[Средневзвешенная цена]]/D770-1,"")</f>
        <v>4.5220011765243484E-3</v>
      </c>
    </row>
    <row r="783" spans="1:6" x14ac:dyDescent="0.3">
      <c r="A783" s="164">
        <v>45839</v>
      </c>
      <c r="B783" s="219" t="s">
        <v>8</v>
      </c>
      <c r="C783">
        <v>4124</v>
      </c>
      <c r="D783" s="65">
        <v>382760.96188964648</v>
      </c>
      <c r="E783" s="174">
        <f>IFERROR(DT_data[[#This Row],[Объем предложения]]/C771-1,"")</f>
        <v>3.5920622959055404E-2</v>
      </c>
      <c r="F783" s="174">
        <f>IFERROR(DT_data[[#This Row],[Средневзвешенная цена]]/D771-1,"")</f>
        <v>-9.6448385030494244E-3</v>
      </c>
    </row>
    <row r="784" spans="1:6" x14ac:dyDescent="0.3">
      <c r="A784" s="164">
        <v>45839</v>
      </c>
      <c r="B784" s="219" t="s">
        <v>9</v>
      </c>
      <c r="C784">
        <v>1473</v>
      </c>
      <c r="D784" s="65">
        <v>237231.21085144891</v>
      </c>
      <c r="E784" s="174">
        <f>IFERROR(DT_data[[#This Row],[Объем предложения]]/C772-1,"")</f>
        <v>-0.12216924910607863</v>
      </c>
      <c r="F784" s="174">
        <f>IFERROR(DT_data[[#This Row],[Средневзвешенная цена]]/D772-1,"")</f>
        <v>-6.9590045304107617E-3</v>
      </c>
    </row>
    <row r="785" spans="1:6" x14ac:dyDescent="0.3">
      <c r="A785" s="164">
        <v>45839</v>
      </c>
      <c r="B785" s="218" t="s">
        <v>10</v>
      </c>
      <c r="C785">
        <v>3606</v>
      </c>
      <c r="D785" s="34">
        <v>347418.75309579581</v>
      </c>
      <c r="E785" s="174">
        <f>IFERROR(DT_data[[#This Row],[Объем предложения]]/C773-1,"")</f>
        <v>3.6504742742167196E-2</v>
      </c>
      <c r="F785" s="174">
        <f>IFERROR(DT_data[[#This Row],[Средневзвешенная цена]]/D773-1,"")</f>
        <v>7.1691025850859624E-3</v>
      </c>
    </row>
    <row r="786" spans="1:6" x14ac:dyDescent="0.3">
      <c r="A786" s="164">
        <v>45839</v>
      </c>
      <c r="B786" s="219" t="s">
        <v>11</v>
      </c>
      <c r="C786">
        <v>3406</v>
      </c>
      <c r="D786" s="65">
        <v>321520.85726986901</v>
      </c>
      <c r="E786" s="174">
        <f>IFERROR(DT_data[[#This Row],[Объем предложения]]/C774-1,"")</f>
        <v>3.8414634146341387E-2</v>
      </c>
      <c r="F786" s="174">
        <f>IFERROR(DT_data[[#This Row],[Средневзвешенная цена]]/D774-1,"")</f>
        <v>5.7833232336954588E-3</v>
      </c>
    </row>
    <row r="787" spans="1:6" x14ac:dyDescent="0.3">
      <c r="A787" s="164">
        <v>45839</v>
      </c>
      <c r="B787" s="218" t="s">
        <v>12</v>
      </c>
      <c r="C787">
        <v>2255</v>
      </c>
      <c r="D787" s="34">
        <v>340593.1035257433</v>
      </c>
      <c r="E787" s="174">
        <f>IFERROR(DT_data[[#This Row],[Объем предложения]]/C775-1,"")</f>
        <v>2.9680365296803624E-2</v>
      </c>
      <c r="F787" s="174">
        <f>IFERROR(DT_data[[#This Row],[Средневзвешенная цена]]/D775-1,"")</f>
        <v>1.1627730251402513E-2</v>
      </c>
    </row>
    <row r="788" spans="1:6" x14ac:dyDescent="0.3">
      <c r="A788" s="164">
        <v>45839</v>
      </c>
      <c r="B788" s="219" t="s">
        <v>13</v>
      </c>
      <c r="C788">
        <v>571</v>
      </c>
      <c r="D788" s="65">
        <v>182474.551632741</v>
      </c>
      <c r="E788" s="174">
        <f>IFERROR(DT_data[[#This Row],[Объем предложения]]/C776-1,"")</f>
        <v>5.1565377532228451E-2</v>
      </c>
      <c r="F788" s="174">
        <f>IFERROR(DT_data[[#This Row],[Средневзвешенная цена]]/D776-1,"")</f>
        <v>1.0482546819495786E-2</v>
      </c>
    </row>
    <row r="789" spans="1:6" x14ac:dyDescent="0.3">
      <c r="A789" s="164">
        <v>45839</v>
      </c>
      <c r="B789" s="218" t="s">
        <v>14</v>
      </c>
      <c r="C789">
        <v>4498</v>
      </c>
      <c r="D789" s="34">
        <v>696654.28967265761</v>
      </c>
      <c r="E789" s="174">
        <f>IFERROR(DT_data[[#This Row],[Объем предложения]]/C777-1,"")</f>
        <v>1.9030357951971055E-2</v>
      </c>
      <c r="F789" s="174">
        <f>IFERROR(DT_data[[#This Row],[Средневзвешенная цена]]/D777-1,"")</f>
        <v>-4.8181580403096058E-3</v>
      </c>
    </row>
    <row r="790" spans="1:6" x14ac:dyDescent="0.3">
      <c r="A790" s="164">
        <v>45839</v>
      </c>
      <c r="B790" s="218" t="s">
        <v>15</v>
      </c>
      <c r="C790">
        <v>3544</v>
      </c>
      <c r="D790" s="34">
        <v>289957.88657703123</v>
      </c>
      <c r="E790" s="174">
        <f>IFERROR(DT_data[[#This Row],[Объем предложения]]/C778-1,"")</f>
        <v>2.8438769587928014E-2</v>
      </c>
      <c r="F790" s="174">
        <f>IFERROR(DT_data[[#This Row],[Средневзвешенная цена]]/D778-1,"")</f>
        <v>5.7973059359899271E-3</v>
      </c>
    </row>
    <row r="791" spans="1:6" x14ac:dyDescent="0.3">
      <c r="A791" s="164">
        <v>45839</v>
      </c>
      <c r="B791" s="219" t="s">
        <v>16</v>
      </c>
      <c r="C791">
        <v>3867</v>
      </c>
      <c r="D791" s="65">
        <v>346148.28879103687</v>
      </c>
      <c r="E791" s="174">
        <f>IFERROR(DT_data[[#This Row],[Объем предложения]]/C779-1,"")</f>
        <v>4.7116165718927627E-2</v>
      </c>
      <c r="F791" s="174">
        <f>IFERROR(DT_data[[#This Row],[Средневзвешенная цена]]/D779-1,"")</f>
        <v>5.84744353537614E-3</v>
      </c>
    </row>
    <row r="792" spans="1:6" x14ac:dyDescent="0.3">
      <c r="A792" s="164">
        <v>45839</v>
      </c>
      <c r="B792" s="219" t="s">
        <v>17</v>
      </c>
      <c r="C792">
        <v>3939</v>
      </c>
      <c r="D792" s="65">
        <v>317123.17237117741</v>
      </c>
      <c r="E792" s="174">
        <f>IFERROR(DT_data[[#This Row],[Объем предложения]]/C780-1,"")</f>
        <v>3.7671232876712368E-2</v>
      </c>
      <c r="F792" s="174">
        <f>IFERROR(DT_data[[#This Row],[Средневзвешенная цена]]/D780-1,"")</f>
        <v>9.9567696106896975E-3</v>
      </c>
    </row>
    <row r="793" spans="1:6" x14ac:dyDescent="0.3">
      <c r="A793" s="164">
        <v>45839</v>
      </c>
      <c r="B793" s="219" t="s">
        <v>175</v>
      </c>
      <c r="C793">
        <v>518</v>
      </c>
      <c r="D793" s="65">
        <v>246169.1030635497</v>
      </c>
      <c r="E793" s="174">
        <f>IFERROR(DT_data[[#This Row],[Объем предложения]]/C781-1,"")</f>
        <v>5.4989816700611094E-2</v>
      </c>
      <c r="F793" s="174">
        <f>IFERROR(DT_data[[#This Row],[Средневзвешенная цена]]/D781-1,"")</f>
        <v>-3.7941503478911009E-3</v>
      </c>
    </row>
    <row r="794" spans="1:6" x14ac:dyDescent="0.3">
      <c r="A794" s="164">
        <v>45870</v>
      </c>
      <c r="B794" s="218" t="s">
        <v>7</v>
      </c>
      <c r="C794">
        <v>3771</v>
      </c>
      <c r="D794" s="34">
        <v>301401.5354857652</v>
      </c>
      <c r="E794" s="174">
        <f>IFERROR(DT_data[[#This Row],[Объем предложения]]/C782-1,"")</f>
        <v>-3.1587057010785791E-2</v>
      </c>
      <c r="F794" s="174">
        <f>IFERROR(DT_data[[#This Row],[Средневзвешенная цена]]/D782-1,"")</f>
        <v>-1.2197246147880314E-3</v>
      </c>
    </row>
    <row r="795" spans="1:6" x14ac:dyDescent="0.3">
      <c r="A795" s="234">
        <v>45870</v>
      </c>
      <c r="B795" s="219" t="s">
        <v>8</v>
      </c>
      <c r="C795" s="235">
        <v>4115</v>
      </c>
      <c r="D795" s="65">
        <v>390426.86223253259</v>
      </c>
      <c r="E795" s="174">
        <f>IFERROR(DT_data[[#This Row],[Объем предложения]]/C783-1,"")</f>
        <v>-2.1823472356935492E-3</v>
      </c>
      <c r="F795" s="174">
        <f>IFERROR(DT_data[[#This Row],[Средневзвешенная цена]]/D783-1,"")</f>
        <v>2.0027905419195413E-2</v>
      </c>
    </row>
    <row r="796" spans="1:6" x14ac:dyDescent="0.3">
      <c r="A796" s="164">
        <v>45870</v>
      </c>
      <c r="B796" s="218" t="s">
        <v>9</v>
      </c>
      <c r="C796">
        <v>1327</v>
      </c>
      <c r="D796" s="34">
        <v>237173.07507765331</v>
      </c>
      <c r="E796" s="174">
        <f>IFERROR(DT_data[[#This Row],[Объем предложения]]/C784-1,"")</f>
        <v>-9.9117447386286472E-2</v>
      </c>
      <c r="F796" s="174">
        <f>IFERROR(DT_data[[#This Row],[Средневзвешенная цена]]/D784-1,"")</f>
        <v>-2.4505955007747549E-4</v>
      </c>
    </row>
    <row r="797" spans="1:6" x14ac:dyDescent="0.3">
      <c r="A797" s="234">
        <v>45870</v>
      </c>
      <c r="B797" s="218" t="s">
        <v>10</v>
      </c>
      <c r="C797">
        <v>3596</v>
      </c>
      <c r="D797" s="34">
        <v>348719.96547182067</v>
      </c>
      <c r="E797" s="174">
        <f>IFERROR(DT_data[[#This Row],[Объем предложения]]/C785-1,"")</f>
        <v>-2.7731558513588439E-3</v>
      </c>
      <c r="F797" s="174">
        <f>IFERROR(DT_data[[#This Row],[Средневзвешенная цена]]/D785-1,"")</f>
        <v>3.7453717291595634E-3</v>
      </c>
    </row>
    <row r="798" spans="1:6" x14ac:dyDescent="0.3">
      <c r="A798" s="164">
        <v>45870</v>
      </c>
      <c r="B798" s="218" t="s">
        <v>11</v>
      </c>
      <c r="C798">
        <v>3408</v>
      </c>
      <c r="D798" s="34">
        <v>321601.43818400661</v>
      </c>
      <c r="E798" s="174">
        <f>IFERROR(DT_data[[#This Row],[Объем предложения]]/C786-1,"")</f>
        <v>5.8719906048154691E-4</v>
      </c>
      <c r="F798" s="174">
        <f>IFERROR(DT_data[[#This Row],[Средневзвешенная цена]]/D786-1,"")</f>
        <v>2.506242202195974E-4</v>
      </c>
    </row>
    <row r="799" spans="1:6" x14ac:dyDescent="0.3">
      <c r="A799" s="234">
        <v>45870</v>
      </c>
      <c r="B799" s="218" t="s">
        <v>12</v>
      </c>
      <c r="C799">
        <v>2270</v>
      </c>
      <c r="D799" s="34">
        <v>341954.07260854339</v>
      </c>
      <c r="E799" s="174">
        <f>IFERROR(DT_data[[#This Row],[Объем предложения]]/C787-1,"")</f>
        <v>6.6518847006651338E-3</v>
      </c>
      <c r="F799" s="174">
        <f>IFERROR(DT_data[[#This Row],[Средневзвешенная цена]]/D787-1,"")</f>
        <v>3.9958797424599624E-3</v>
      </c>
    </row>
    <row r="800" spans="1:6" x14ac:dyDescent="0.3">
      <c r="A800" s="164">
        <v>45870</v>
      </c>
      <c r="B800" s="218" t="s">
        <v>13</v>
      </c>
      <c r="C800">
        <v>545</v>
      </c>
      <c r="D800" s="34">
        <v>182007.55114424881</v>
      </c>
      <c r="E800" s="174">
        <f>IFERROR(DT_data[[#This Row],[Объем предложения]]/C788-1,"")</f>
        <v>-4.5534150612959734E-2</v>
      </c>
      <c r="F800" s="174">
        <f>IFERROR(DT_data[[#This Row],[Средневзвешенная цена]]/D788-1,"")</f>
        <v>-2.5592636579379047E-3</v>
      </c>
    </row>
    <row r="801" spans="1:6" x14ac:dyDescent="0.3">
      <c r="A801" s="234">
        <v>45870</v>
      </c>
      <c r="B801" s="218" t="s">
        <v>14</v>
      </c>
      <c r="C801">
        <v>4466</v>
      </c>
      <c r="D801" s="34">
        <v>691577.06056553405</v>
      </c>
      <c r="E801" s="174">
        <f>IFERROR(DT_data[[#This Row],[Объем предложения]]/C789-1,"")</f>
        <v>-7.1142730102267127E-3</v>
      </c>
      <c r="F801" s="174">
        <f>IFERROR(DT_data[[#This Row],[Средневзвешенная цена]]/D789-1,"")</f>
        <v>-7.2880181495893481E-3</v>
      </c>
    </row>
    <row r="802" spans="1:6" x14ac:dyDescent="0.3">
      <c r="A802" s="164">
        <v>45870</v>
      </c>
      <c r="B802" s="218" t="s">
        <v>15</v>
      </c>
      <c r="C802">
        <v>3588</v>
      </c>
      <c r="D802" s="34">
        <v>293796.85927651142</v>
      </c>
      <c r="E802" s="174">
        <f>IFERROR(DT_data[[#This Row],[Объем предложения]]/C790-1,"")</f>
        <v>1.2415349887133109E-2</v>
      </c>
      <c r="F802" s="174">
        <f>IFERROR(DT_data[[#This Row],[Средневзвешенная цена]]/D790-1,"")</f>
        <v>1.3239759555428776E-2</v>
      </c>
    </row>
    <row r="803" spans="1:6" x14ac:dyDescent="0.3">
      <c r="A803" s="234">
        <v>45870</v>
      </c>
      <c r="B803" s="218" t="s">
        <v>16</v>
      </c>
      <c r="C803">
        <v>3801</v>
      </c>
      <c r="D803" s="34">
        <v>347494.20654323848</v>
      </c>
      <c r="E803" s="174">
        <f>IFERROR(DT_data[[#This Row],[Объем предложения]]/C791-1,"")</f>
        <v>-1.706749418153608E-2</v>
      </c>
      <c r="F803" s="174">
        <f>IFERROR(DT_data[[#This Row],[Средневзвешенная цена]]/D791-1,"")</f>
        <v>3.8882692643156247E-3</v>
      </c>
    </row>
    <row r="804" spans="1:6" x14ac:dyDescent="0.3">
      <c r="A804" s="164">
        <v>45870</v>
      </c>
      <c r="B804" s="218" t="s">
        <v>17</v>
      </c>
      <c r="C804">
        <v>3865</v>
      </c>
      <c r="D804" s="34">
        <v>319461.35296923999</v>
      </c>
      <c r="E804" s="174">
        <f>IFERROR(DT_data[[#This Row],[Объем предложения]]/C792-1,"")</f>
        <v>-1.8786494034018775E-2</v>
      </c>
      <c r="F804" s="174">
        <f>IFERROR(DT_data[[#This Row],[Средневзвешенная цена]]/D792-1,"")</f>
        <v>7.3730991670513113E-3</v>
      </c>
    </row>
    <row r="805" spans="1:6" x14ac:dyDescent="0.3">
      <c r="A805" s="234">
        <v>45870</v>
      </c>
      <c r="B805" s="219" t="s">
        <v>175</v>
      </c>
      <c r="C805" s="235">
        <v>522</v>
      </c>
      <c r="D805" s="65">
        <v>245622.2141219851</v>
      </c>
      <c r="E805" s="174">
        <f>IFERROR(DT_data[[#This Row],[Объем предложения]]/C793-1,"")</f>
        <v>7.7220077220077066E-3</v>
      </c>
      <c r="F805" s="174">
        <f>IFERROR(DT_data[[#This Row],[Средневзвешенная цена]]/D793-1,"")</f>
        <v>-2.2215986277669408E-3</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CJ89"/>
  <sheetViews>
    <sheetView zoomScale="98" zoomScaleNormal="98" workbookViewId="0">
      <pane xSplit="1" topLeftCell="B1" activePane="topRight" state="frozen"/>
      <selection pane="topRight" activeCell="AP61" sqref="AP61"/>
    </sheetView>
  </sheetViews>
  <sheetFormatPr defaultRowHeight="14.4" x14ac:dyDescent="0.3"/>
  <cols>
    <col min="1" max="1" width="14.21875" customWidth="1"/>
    <col min="2" max="2" width="11.21875" bestFit="1" customWidth="1"/>
    <col min="3" max="3" width="7.6640625" customWidth="1"/>
    <col min="4" max="8" width="11.21875" bestFit="1" customWidth="1"/>
    <col min="16" max="16" width="9.5546875" customWidth="1"/>
    <col min="18" max="18" width="11.5546875" customWidth="1"/>
    <col min="21" max="21" width="11.5546875" customWidth="1"/>
    <col min="22" max="22" width="11.6640625" customWidth="1"/>
    <col min="24" max="24" width="12" customWidth="1"/>
    <col min="25" max="25" width="5.6640625" customWidth="1"/>
    <col min="26" max="26" width="11.44140625" customWidth="1"/>
    <col min="27" max="27" width="5.5546875" customWidth="1"/>
    <col min="28" max="28" width="11.33203125" bestFit="1" customWidth="1"/>
    <col min="29" max="29" width="6.6640625" customWidth="1"/>
    <col min="30" max="30" width="9.109375" customWidth="1"/>
    <col min="31" max="31" width="7.21875" customWidth="1"/>
    <col min="32" max="32" width="7.77734375" bestFit="1" customWidth="1"/>
    <col min="33" max="33" width="8.77734375" bestFit="1" customWidth="1"/>
    <col min="34" max="34" width="7.77734375" bestFit="1" customWidth="1"/>
    <col min="35" max="35" width="8.77734375" bestFit="1" customWidth="1"/>
    <col min="36" max="36" width="7.77734375" bestFit="1" customWidth="1"/>
    <col min="37" max="37" width="8.77734375" bestFit="1" customWidth="1"/>
    <col min="38" max="38" width="6.21875" bestFit="1" customWidth="1"/>
    <col min="39" max="39" width="7.77734375" bestFit="1" customWidth="1"/>
    <col min="40" max="40" width="8.77734375" customWidth="1"/>
    <col min="41" max="41" width="6.6640625" customWidth="1"/>
    <col min="42" max="42" width="8.77734375" bestFit="1" customWidth="1"/>
    <col min="43" max="43" width="6.21875" customWidth="1"/>
    <col min="44" max="44" width="8" customWidth="1"/>
    <col min="45" max="45" width="6.6640625" customWidth="1"/>
    <col min="46" max="46" width="8.77734375" bestFit="1" customWidth="1"/>
    <col min="47" max="47" width="7.21875" customWidth="1"/>
    <col min="48" max="48" width="8.77734375" bestFit="1" customWidth="1"/>
    <col min="49" max="49" width="5" bestFit="1" customWidth="1"/>
    <col min="50" max="50" width="8.77734375" bestFit="1" customWidth="1"/>
    <col min="51" max="51" width="4.33203125" bestFit="1" customWidth="1"/>
    <col min="52" max="52" width="7.77734375" bestFit="1" customWidth="1"/>
    <col min="53" max="53" width="5" bestFit="1" customWidth="1"/>
    <col min="54" max="54" width="7.77734375" bestFit="1" customWidth="1"/>
    <col min="55" max="55" width="8.77734375" bestFit="1" customWidth="1"/>
    <col min="56" max="56" width="7.77734375" bestFit="1" customWidth="1"/>
    <col min="58" max="58" width="7.21875" bestFit="1" customWidth="1"/>
    <col min="59" max="59" width="8.77734375" bestFit="1" customWidth="1"/>
    <col min="60" max="60" width="7.109375" bestFit="1" customWidth="1"/>
    <col min="61" max="61" width="8.77734375" bestFit="1" customWidth="1"/>
    <col min="62" max="62" width="6.21875" bestFit="1" customWidth="1"/>
    <col min="63" max="63" width="8.77734375" bestFit="1" customWidth="1"/>
    <col min="64" max="64" width="6.33203125" bestFit="1" customWidth="1"/>
    <col min="65" max="65" width="8.77734375" bestFit="1" customWidth="1"/>
    <col min="66" max="66" width="9.44140625" bestFit="1" customWidth="1"/>
    <col min="67" max="67" width="8.77734375" bestFit="1" customWidth="1"/>
    <col min="68" max="68" width="6.5546875" bestFit="1" customWidth="1"/>
    <col min="69" max="69" width="9.21875" customWidth="1"/>
    <col min="70" max="70" width="6.44140625" bestFit="1" customWidth="1"/>
    <col min="71" max="71" width="8.77734375" customWidth="1"/>
    <col min="72" max="72" width="8.44140625" customWidth="1"/>
    <col min="73" max="73" width="8.77734375" bestFit="1" customWidth="1"/>
    <col min="74" max="74" width="8.109375" customWidth="1"/>
    <col min="75" max="75" width="8.77734375" customWidth="1"/>
    <col min="76" max="76" width="7.109375" customWidth="1"/>
    <col min="78" max="78" width="6.6640625" bestFit="1" customWidth="1"/>
    <col min="79" max="79" width="10.6640625" customWidth="1"/>
    <col min="80" max="80" width="4" bestFit="1" customWidth="1"/>
    <col min="81" max="81" width="8.77734375" bestFit="1" customWidth="1"/>
    <col min="82" max="82" width="3.33203125" bestFit="1" customWidth="1"/>
    <col min="83" max="83" width="8.77734375" bestFit="1" customWidth="1"/>
    <col min="84" max="84" width="4.33203125" customWidth="1"/>
    <col min="85" max="85" width="8.77734375" bestFit="1" customWidth="1"/>
    <col min="86" max="86" width="4.33203125" customWidth="1"/>
    <col min="87" max="87" width="8.77734375" bestFit="1" customWidth="1"/>
    <col min="88" max="88" width="5.5546875" customWidth="1"/>
    <col min="91" max="91" width="23.21875" customWidth="1"/>
  </cols>
  <sheetData>
    <row r="1" spans="1:31" x14ac:dyDescent="0.3">
      <c r="A1" s="6" t="s">
        <v>185</v>
      </c>
      <c r="B1" s="5"/>
      <c r="C1" s="5"/>
      <c r="D1" s="5"/>
      <c r="E1" s="17"/>
      <c r="F1" s="5"/>
      <c r="G1" s="5"/>
      <c r="H1" s="5"/>
      <c r="I1" s="5"/>
      <c r="J1" s="5"/>
      <c r="K1" s="5"/>
      <c r="L1" s="5"/>
      <c r="M1" s="5"/>
      <c r="N1" s="5"/>
      <c r="O1" s="5"/>
      <c r="P1" s="5"/>
      <c r="Q1" s="5"/>
    </row>
    <row r="2" spans="1:31" x14ac:dyDescent="0.3">
      <c r="B2" s="5"/>
      <c r="C2" s="5"/>
      <c r="D2" s="5"/>
      <c r="E2" s="5"/>
      <c r="F2" s="5"/>
      <c r="G2" s="5"/>
      <c r="H2" s="5"/>
      <c r="I2" s="5"/>
      <c r="J2" s="5"/>
      <c r="K2" s="5"/>
      <c r="L2" s="5"/>
      <c r="M2" s="5"/>
      <c r="N2" s="5"/>
      <c r="O2" s="5"/>
      <c r="P2" s="5"/>
      <c r="Q2" s="5"/>
    </row>
    <row r="3" spans="1:3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x14ac:dyDescent="0.3">
      <c r="A12" s="5"/>
      <c r="B12" s="5"/>
      <c r="C12" s="5"/>
      <c r="D12" s="5"/>
      <c r="E12" s="5"/>
      <c r="F12" s="5"/>
      <c r="G12" s="5"/>
      <c r="H12" s="5"/>
      <c r="I12" s="5"/>
      <c r="J12" s="5"/>
      <c r="K12" s="5"/>
      <c r="L12" s="5"/>
      <c r="M12" s="5"/>
      <c r="N12" s="5"/>
      <c r="O12" s="5"/>
      <c r="R12" s="5"/>
      <c r="S12" s="5"/>
      <c r="T12" s="5"/>
      <c r="U12" s="5"/>
      <c r="V12" s="5"/>
      <c r="W12" s="5"/>
      <c r="X12" s="5"/>
      <c r="Y12" s="5"/>
      <c r="Z12" s="5"/>
      <c r="AA12" s="5"/>
      <c r="AB12" s="5"/>
      <c r="AC12" s="5"/>
      <c r="AD12" s="5"/>
      <c r="AE12" s="5"/>
    </row>
    <row r="13" spans="1:31" x14ac:dyDescent="0.3">
      <c r="A13" s="5"/>
      <c r="B13" s="5"/>
      <c r="C13" s="5"/>
      <c r="D13" s="5"/>
      <c r="E13" s="5"/>
      <c r="F13" s="5"/>
      <c r="G13" s="5"/>
      <c r="H13" s="5"/>
      <c r="I13" s="5"/>
      <c r="J13" s="5"/>
      <c r="K13" s="5"/>
      <c r="L13" s="5"/>
      <c r="M13" s="5"/>
      <c r="N13" s="17"/>
      <c r="O13" s="5"/>
      <c r="R13" s="5"/>
      <c r="S13" s="5"/>
      <c r="T13" s="5"/>
      <c r="U13" s="5"/>
      <c r="V13" s="5"/>
      <c r="W13" s="5"/>
      <c r="X13" s="5"/>
      <c r="Y13" s="5"/>
      <c r="Z13" s="5"/>
      <c r="AA13" s="5"/>
      <c r="AB13" s="5"/>
      <c r="AC13" s="5"/>
      <c r="AD13" s="5"/>
      <c r="AE13" s="5"/>
    </row>
    <row r="14" spans="1:31" x14ac:dyDescent="0.3">
      <c r="A14" s="5"/>
      <c r="B14" s="5"/>
      <c r="C14" s="5"/>
      <c r="D14" s="5"/>
      <c r="E14" s="5"/>
      <c r="F14" s="5"/>
      <c r="G14" s="5"/>
      <c r="H14" s="5"/>
      <c r="I14" s="5"/>
      <c r="J14" s="5"/>
      <c r="K14" s="5"/>
      <c r="L14" s="5"/>
      <c r="M14" s="5"/>
      <c r="N14" s="5"/>
      <c r="O14" s="5"/>
      <c r="R14" s="5"/>
      <c r="S14" s="5"/>
      <c r="T14" s="5"/>
      <c r="U14" s="5"/>
      <c r="V14" s="5"/>
      <c r="W14" s="5"/>
      <c r="X14" s="5"/>
      <c r="Y14" s="5"/>
      <c r="Z14" s="5"/>
      <c r="AA14" s="5"/>
      <c r="AB14" s="5"/>
      <c r="AC14" s="5"/>
      <c r="AD14" s="5"/>
      <c r="AE14" s="5"/>
    </row>
    <row r="15" spans="1:31" x14ac:dyDescent="0.3">
      <c r="A15" s="5"/>
      <c r="B15" s="5"/>
      <c r="C15" s="5"/>
      <c r="D15" s="5"/>
      <c r="E15" s="5"/>
      <c r="F15" s="5"/>
      <c r="G15" s="5"/>
      <c r="H15" s="5"/>
      <c r="I15" s="5"/>
      <c r="J15" s="5"/>
      <c r="K15" s="5"/>
      <c r="L15" s="5"/>
      <c r="M15" s="5"/>
      <c r="N15" s="5"/>
      <c r="O15" s="5"/>
      <c r="R15" s="5"/>
      <c r="S15" s="5"/>
      <c r="T15" s="5"/>
      <c r="U15" s="5"/>
      <c r="V15" s="5"/>
      <c r="W15" s="5"/>
      <c r="X15" s="5"/>
      <c r="Y15" s="5"/>
      <c r="Z15" s="5"/>
      <c r="AA15" s="5"/>
      <c r="AB15" s="5"/>
      <c r="AC15" s="5"/>
      <c r="AD15" s="5"/>
      <c r="AE15" s="5"/>
    </row>
    <row r="16" spans="1:31" x14ac:dyDescent="0.3">
      <c r="A16" s="5"/>
      <c r="B16" s="5"/>
      <c r="C16" s="5"/>
      <c r="D16" s="5"/>
      <c r="E16" s="5"/>
      <c r="F16" s="5"/>
      <c r="G16" s="5"/>
      <c r="H16" s="5"/>
      <c r="I16" s="5"/>
      <c r="J16" s="5"/>
      <c r="K16" s="5"/>
      <c r="L16" s="5"/>
      <c r="M16" s="5"/>
      <c r="N16" s="5"/>
      <c r="O16" s="5"/>
      <c r="R16" s="5"/>
      <c r="S16" s="5"/>
      <c r="T16" s="5"/>
      <c r="U16" s="5"/>
      <c r="V16" s="5"/>
      <c r="W16" s="5"/>
      <c r="X16" s="5"/>
      <c r="Y16" s="5"/>
      <c r="Z16" s="5"/>
      <c r="AA16" s="5"/>
      <c r="AB16" s="5"/>
      <c r="AC16" s="5"/>
      <c r="AD16" s="5"/>
      <c r="AE16" s="5"/>
    </row>
    <row r="17" spans="1:47" x14ac:dyDescent="0.3">
      <c r="A17" s="5"/>
      <c r="B17" s="5"/>
      <c r="C17" s="5"/>
      <c r="D17" s="5"/>
      <c r="E17" s="5"/>
      <c r="F17" s="5"/>
      <c r="G17" s="5"/>
      <c r="H17" s="5"/>
      <c r="I17" s="5"/>
      <c r="J17" s="5"/>
      <c r="K17" s="5"/>
      <c r="L17" s="5"/>
      <c r="M17" s="5"/>
      <c r="N17" s="5"/>
      <c r="O17" s="5"/>
      <c r="R17" s="5"/>
      <c r="S17" s="5"/>
      <c r="T17" s="5"/>
      <c r="U17" s="5"/>
      <c r="V17" s="5"/>
      <c r="W17" s="5"/>
      <c r="X17" s="5"/>
      <c r="Y17" s="5"/>
      <c r="Z17" s="5"/>
      <c r="AA17" s="5"/>
      <c r="AB17" s="5"/>
      <c r="AC17" s="5"/>
      <c r="AD17" s="5"/>
      <c r="AE17" s="5"/>
    </row>
    <row r="18" spans="1:47" x14ac:dyDescent="0.3">
      <c r="A18" s="5"/>
      <c r="B18" s="5"/>
      <c r="C18" s="5"/>
      <c r="D18" s="5"/>
      <c r="E18" s="5"/>
      <c r="F18" s="5"/>
      <c r="G18" s="5"/>
      <c r="H18" s="5"/>
      <c r="I18" s="5"/>
      <c r="J18" s="5"/>
      <c r="K18" s="5"/>
      <c r="L18" s="5"/>
      <c r="M18" s="5"/>
      <c r="N18" s="5"/>
      <c r="O18" s="5"/>
      <c r="R18" s="5"/>
      <c r="S18" s="5"/>
      <c r="T18" s="5"/>
      <c r="U18" s="5"/>
      <c r="V18" s="5"/>
      <c r="W18" s="5"/>
      <c r="X18" s="5"/>
      <c r="Y18" s="5"/>
      <c r="Z18" s="5"/>
      <c r="AA18" s="5"/>
      <c r="AB18" s="5"/>
      <c r="AC18" s="5"/>
      <c r="AD18" s="5"/>
      <c r="AE18" s="5"/>
    </row>
    <row r="19" spans="1:47" x14ac:dyDescent="0.3">
      <c r="A19" s="5"/>
      <c r="B19" s="5"/>
      <c r="C19" s="5"/>
      <c r="D19" s="5"/>
      <c r="E19" s="5"/>
      <c r="F19" s="5"/>
      <c r="G19" s="5"/>
      <c r="H19" s="5"/>
      <c r="I19" s="5"/>
      <c r="J19" s="5"/>
      <c r="K19" s="5"/>
      <c r="L19" s="5"/>
      <c r="M19" s="5"/>
      <c r="N19" s="5"/>
      <c r="O19" s="5"/>
      <c r="R19" s="5"/>
      <c r="S19" s="5"/>
      <c r="T19" s="5"/>
      <c r="U19" s="5"/>
      <c r="V19" s="5"/>
      <c r="W19" s="5"/>
      <c r="X19" s="5"/>
      <c r="Y19" s="5"/>
      <c r="Z19" s="5"/>
      <c r="AA19" s="5"/>
      <c r="AB19" s="5"/>
      <c r="AC19" s="5"/>
      <c r="AD19" s="5"/>
      <c r="AE19" s="5"/>
    </row>
    <row r="20" spans="1:47" x14ac:dyDescent="0.3">
      <c r="A20" s="5"/>
      <c r="B20" s="5"/>
      <c r="C20" s="5"/>
      <c r="D20" s="5"/>
      <c r="E20" s="5"/>
      <c r="F20" s="5"/>
      <c r="G20" s="5"/>
      <c r="H20" s="5"/>
      <c r="I20" s="5"/>
      <c r="J20" s="5"/>
      <c r="K20" s="5"/>
      <c r="L20" s="5"/>
      <c r="M20" s="5"/>
      <c r="N20" s="5"/>
      <c r="O20" s="5"/>
      <c r="R20" s="5"/>
      <c r="S20" s="5"/>
      <c r="T20" s="5"/>
      <c r="U20" s="5"/>
      <c r="V20" s="5"/>
      <c r="W20" s="5"/>
      <c r="X20" s="5"/>
      <c r="Y20" s="5"/>
      <c r="Z20" s="5"/>
      <c r="AA20" s="5"/>
      <c r="AB20" s="5"/>
      <c r="AC20" s="5"/>
      <c r="AD20" s="5"/>
      <c r="AE20" s="5"/>
    </row>
    <row r="21" spans="1:47" x14ac:dyDescent="0.3">
      <c r="A21" s="5"/>
      <c r="B21" s="5"/>
      <c r="C21" s="5"/>
      <c r="D21" s="5"/>
      <c r="E21" s="5"/>
      <c r="F21" s="5"/>
      <c r="G21" s="5"/>
      <c r="H21" s="5"/>
      <c r="I21" s="5"/>
      <c r="J21" s="5"/>
      <c r="K21" s="5"/>
      <c r="L21" s="5"/>
      <c r="M21" s="5"/>
      <c r="N21" s="5"/>
      <c r="O21" s="5"/>
      <c r="R21" s="5"/>
      <c r="S21" s="5"/>
      <c r="T21" s="5"/>
      <c r="U21" s="5"/>
      <c r="V21" s="5"/>
      <c r="W21" s="5"/>
      <c r="X21" s="5"/>
      <c r="Y21" s="5"/>
      <c r="Z21" s="5"/>
      <c r="AA21" s="5"/>
      <c r="AB21" s="5"/>
      <c r="AC21" s="5"/>
      <c r="AD21" s="5"/>
      <c r="AE21" s="5"/>
    </row>
    <row r="22" spans="1:47" x14ac:dyDescent="0.3">
      <c r="A22" s="5"/>
      <c r="B22" s="5"/>
      <c r="C22" s="5"/>
      <c r="D22" s="5"/>
      <c r="E22" s="5"/>
      <c r="F22" s="5"/>
      <c r="G22" s="5"/>
      <c r="H22" s="5"/>
      <c r="I22" s="5"/>
      <c r="J22" s="5"/>
      <c r="K22" s="5"/>
      <c r="L22" s="5"/>
      <c r="M22" s="5"/>
      <c r="N22" s="5"/>
      <c r="O22" s="5"/>
      <c r="R22" s="5"/>
      <c r="S22" s="5"/>
      <c r="T22" s="5"/>
      <c r="U22" s="5"/>
      <c r="V22" s="5"/>
      <c r="W22" s="5"/>
      <c r="X22" s="5"/>
      <c r="Y22" s="5"/>
      <c r="Z22" s="5"/>
      <c r="AA22" s="5"/>
      <c r="AB22" s="5"/>
      <c r="AC22" s="5"/>
      <c r="AD22" s="5"/>
      <c r="AE22" s="5"/>
    </row>
    <row r="23" spans="1:47" x14ac:dyDescent="0.3">
      <c r="A23" s="5"/>
      <c r="B23" s="12"/>
      <c r="C23" s="12"/>
      <c r="D23" s="12"/>
      <c r="E23" s="12"/>
      <c r="F23" s="12"/>
      <c r="G23" s="12"/>
      <c r="H23" s="12"/>
      <c r="I23" s="5"/>
      <c r="J23" s="5"/>
      <c r="K23" s="5"/>
      <c r="L23" s="5"/>
      <c r="M23" s="5"/>
      <c r="N23" s="5"/>
      <c r="O23" s="5"/>
      <c r="R23" s="5"/>
      <c r="S23" s="5"/>
      <c r="T23" s="5"/>
      <c r="U23" s="5"/>
      <c r="V23" s="5"/>
      <c r="W23" s="5"/>
      <c r="X23" s="5"/>
      <c r="Y23" s="5"/>
      <c r="Z23" s="5"/>
      <c r="AA23" s="5"/>
      <c r="AB23" s="5"/>
      <c r="AC23" s="5"/>
      <c r="AD23" s="5"/>
      <c r="AE23" s="5"/>
    </row>
    <row r="24" spans="1:47"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47"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47"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47"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47" x14ac:dyDescent="0.3">
      <c r="A28" s="5"/>
      <c r="B28" s="5"/>
      <c r="C28" s="5"/>
      <c r="D28" s="5"/>
      <c r="E28" s="5"/>
      <c r="F28" s="5"/>
      <c r="G28" s="5"/>
      <c r="H28" s="5"/>
      <c r="I28" s="5"/>
      <c r="J28" s="5"/>
      <c r="K28" s="5"/>
      <c r="L28" s="5"/>
      <c r="M28" s="5"/>
      <c r="N28" s="5"/>
      <c r="O28" s="5"/>
      <c r="P28" s="5"/>
      <c r="Q28" s="5"/>
      <c r="AL28" s="4"/>
    </row>
    <row r="29" spans="1:47" x14ac:dyDescent="0.3">
      <c r="A29" s="5"/>
      <c r="B29" s="5"/>
      <c r="C29" s="5"/>
      <c r="D29" s="5"/>
      <c r="E29" s="5"/>
      <c r="F29" s="5"/>
      <c r="G29" s="5"/>
      <c r="H29" s="5"/>
      <c r="I29" s="5"/>
      <c r="J29" s="5"/>
      <c r="K29" s="5"/>
      <c r="L29" s="5"/>
      <c r="M29" s="5"/>
      <c r="N29" s="5"/>
      <c r="O29" s="5"/>
      <c r="P29" s="5"/>
      <c r="Q29" s="5"/>
    </row>
    <row r="30" spans="1:47" x14ac:dyDescent="0.3">
      <c r="A30" s="5"/>
      <c r="B30" s="5"/>
      <c r="C30" s="5"/>
      <c r="D30" s="5"/>
      <c r="E30" s="5"/>
      <c r="F30" s="5"/>
      <c r="G30" s="5"/>
      <c r="H30" s="5"/>
      <c r="I30" s="5"/>
      <c r="J30" s="5"/>
      <c r="K30" s="5"/>
      <c r="L30" s="5"/>
      <c r="M30" s="5"/>
      <c r="N30" s="5"/>
      <c r="O30" s="5"/>
      <c r="P30" s="5"/>
      <c r="Q30" s="5"/>
      <c r="AL30" s="3"/>
      <c r="AM30" s="3"/>
      <c r="AN30" s="3"/>
      <c r="AO30" s="3"/>
      <c r="AP30" s="3"/>
      <c r="AQ30" s="3"/>
      <c r="AR30" s="3"/>
      <c r="AS30" s="3"/>
      <c r="AT30" s="3"/>
      <c r="AU30" s="3"/>
    </row>
    <row r="31" spans="1:47" x14ac:dyDescent="0.3">
      <c r="A31" s="5"/>
      <c r="B31" s="5"/>
      <c r="C31" s="5"/>
      <c r="D31" s="5"/>
      <c r="E31" s="5"/>
      <c r="F31" s="5"/>
      <c r="G31" s="5"/>
      <c r="H31" s="5"/>
      <c r="I31" s="5"/>
      <c r="J31" s="5"/>
      <c r="K31" s="5"/>
      <c r="L31" s="5"/>
      <c r="M31" s="5"/>
      <c r="N31" s="5"/>
      <c r="O31" s="5"/>
      <c r="P31" s="5"/>
      <c r="Q31" s="5"/>
      <c r="AK31" s="2"/>
      <c r="AL31" s="1"/>
      <c r="AM31" s="1"/>
      <c r="AN31" s="1"/>
      <c r="AO31" s="1"/>
      <c r="AP31" s="1"/>
      <c r="AQ31" s="1"/>
      <c r="AR31" s="1"/>
      <c r="AS31" s="1"/>
      <c r="AT31" s="1"/>
      <c r="AU31" s="1"/>
    </row>
    <row r="32" spans="1:47" x14ac:dyDescent="0.3">
      <c r="A32" s="5"/>
      <c r="B32" s="5"/>
      <c r="C32" s="5"/>
      <c r="D32" s="5"/>
      <c r="E32" s="5"/>
      <c r="F32" s="5"/>
      <c r="G32" s="5"/>
      <c r="H32" s="5"/>
      <c r="I32" s="5"/>
      <c r="J32" s="5"/>
      <c r="K32" s="5"/>
      <c r="L32" s="5"/>
      <c r="M32" s="5"/>
      <c r="N32" s="5"/>
      <c r="O32" s="5"/>
      <c r="P32" s="5"/>
      <c r="Q32" s="5"/>
      <c r="AK32" s="2"/>
      <c r="AL32" s="1"/>
      <c r="AM32" s="1"/>
      <c r="AN32" s="1"/>
      <c r="AO32" s="1"/>
      <c r="AP32" s="1"/>
      <c r="AQ32" s="1"/>
      <c r="AR32" s="1"/>
      <c r="AS32" s="1"/>
      <c r="AT32" s="1"/>
      <c r="AU32" s="1"/>
    </row>
    <row r="33" spans="1:79" x14ac:dyDescent="0.3">
      <c r="A33" s="5"/>
      <c r="B33" s="5"/>
      <c r="C33" s="5"/>
      <c r="D33" s="5"/>
      <c r="E33" s="5"/>
      <c r="F33" s="5"/>
      <c r="G33" s="5"/>
      <c r="H33" s="5"/>
      <c r="I33" s="5"/>
      <c r="J33" s="5"/>
      <c r="K33" s="5"/>
      <c r="L33" s="5"/>
      <c r="M33" s="5"/>
      <c r="N33" s="5"/>
      <c r="O33" s="5"/>
      <c r="P33" s="5"/>
      <c r="Q33" s="5"/>
      <c r="AK33" s="2"/>
      <c r="AL33" s="1"/>
      <c r="AM33" s="1"/>
      <c r="AN33" s="1"/>
      <c r="AO33" s="1"/>
      <c r="AP33" s="1"/>
      <c r="AQ33" s="1"/>
      <c r="AR33" s="1"/>
      <c r="AS33" s="1"/>
      <c r="AT33" s="1"/>
      <c r="AU33" s="1"/>
    </row>
    <row r="34" spans="1:79" x14ac:dyDescent="0.3">
      <c r="A34" s="165"/>
      <c r="B34" s="15"/>
      <c r="C34" s="15"/>
      <c r="D34" s="165"/>
      <c r="E34" s="15"/>
      <c r="F34" s="15"/>
      <c r="G34" s="165"/>
      <c r="H34" s="15"/>
      <c r="I34" s="15"/>
      <c r="J34" s="165"/>
      <c r="K34" s="15"/>
      <c r="L34" s="15"/>
      <c r="M34" s="165"/>
      <c r="N34" s="15"/>
      <c r="O34" s="15"/>
      <c r="P34" s="165"/>
      <c r="Q34" s="15"/>
      <c r="R34" s="15"/>
      <c r="S34" s="165"/>
      <c r="T34" s="15"/>
      <c r="U34" s="15"/>
      <c r="V34" s="165"/>
      <c r="W34" s="15"/>
      <c r="X34" s="15"/>
      <c r="Y34" s="165"/>
      <c r="Z34" s="15"/>
      <c r="AA34" s="15"/>
      <c r="AB34" s="165"/>
      <c r="AC34" s="15"/>
      <c r="AD34" s="15"/>
      <c r="AE34" s="165"/>
      <c r="AF34" s="15"/>
      <c r="AG34" s="15"/>
      <c r="AH34" s="165"/>
      <c r="AI34" s="15"/>
      <c r="AJ34" s="15"/>
      <c r="AK34" s="165"/>
      <c r="AL34" s="15"/>
      <c r="AM34" s="15"/>
      <c r="AN34" s="165"/>
      <c r="AO34" s="15"/>
      <c r="AP34" s="15"/>
      <c r="AQ34" s="165"/>
      <c r="AR34" s="15"/>
      <c r="AS34" s="15"/>
      <c r="AT34" s="165"/>
      <c r="AU34" s="15"/>
      <c r="AV34" s="15"/>
      <c r="AW34" s="165"/>
      <c r="AX34" s="15"/>
      <c r="AY34" s="15"/>
      <c r="AZ34" s="165"/>
      <c r="BA34" s="15"/>
      <c r="BB34" s="15"/>
      <c r="BC34" s="165"/>
      <c r="BD34" s="15"/>
      <c r="BE34" s="15"/>
      <c r="BF34" s="165"/>
      <c r="BG34" s="15"/>
      <c r="BH34" s="15"/>
      <c r="BI34" s="165"/>
      <c r="BJ34" s="15"/>
      <c r="BK34" s="15"/>
      <c r="BL34" s="165"/>
      <c r="BM34" s="15"/>
      <c r="BN34" s="15"/>
      <c r="BO34" s="165"/>
      <c r="BP34" s="15"/>
      <c r="BQ34" s="15"/>
      <c r="BR34" s="165"/>
      <c r="BS34" s="15"/>
      <c r="BT34" s="15"/>
      <c r="BU34" s="165"/>
      <c r="BV34" s="15"/>
      <c r="BW34" s="15"/>
      <c r="BX34" s="165"/>
      <c r="BY34" s="15"/>
      <c r="BZ34" s="15"/>
      <c r="CA34" s="165"/>
    </row>
    <row r="35" spans="1:79" x14ac:dyDescent="0.3">
      <c r="A35" s="5"/>
      <c r="B35" s="6" t="s">
        <v>19</v>
      </c>
      <c r="C35" s="5"/>
      <c r="D35" s="5"/>
      <c r="E35" s="5"/>
      <c r="F35" s="5"/>
      <c r="G35" s="5"/>
      <c r="H35" s="5"/>
      <c r="I35" s="16"/>
      <c r="J35" s="15"/>
      <c r="K35" s="16"/>
      <c r="L35" s="15"/>
      <c r="M35" s="16"/>
      <c r="N35" s="15"/>
      <c r="O35" s="5"/>
      <c r="P35" s="5"/>
      <c r="Q35" s="5"/>
      <c r="AK35" s="118"/>
      <c r="AL35" s="1"/>
      <c r="AP35" s="1"/>
      <c r="AQ35" s="1"/>
      <c r="AR35" s="1"/>
      <c r="AS35" s="1"/>
    </row>
    <row r="36" spans="1:79" x14ac:dyDescent="0.3">
      <c r="A36" s="52"/>
      <c r="B36" s="52" t="s">
        <v>0</v>
      </c>
      <c r="C36" s="52"/>
      <c r="D36" s="52" t="s">
        <v>1</v>
      </c>
      <c r="E36" s="52"/>
      <c r="F36" s="52" t="s">
        <v>2</v>
      </c>
      <c r="G36" s="52"/>
      <c r="H36" s="52" t="s">
        <v>3</v>
      </c>
      <c r="I36" s="52"/>
      <c r="J36" s="52" t="s">
        <v>4</v>
      </c>
      <c r="K36" s="52"/>
      <c r="L36" s="52" t="s">
        <v>5</v>
      </c>
      <c r="M36" s="52"/>
      <c r="N36" s="52" t="s">
        <v>6</v>
      </c>
      <c r="O36" s="53"/>
      <c r="P36" s="52" t="s">
        <v>171</v>
      </c>
      <c r="Q36" s="52"/>
      <c r="R36" s="52" t="s">
        <v>172</v>
      </c>
      <c r="S36" s="54"/>
      <c r="T36" s="52" t="s">
        <v>173</v>
      </c>
      <c r="U36" s="54"/>
      <c r="V36" s="54" t="s">
        <v>174</v>
      </c>
      <c r="W36" s="54"/>
      <c r="X36" s="96">
        <v>44197</v>
      </c>
      <c r="Y36" s="54"/>
      <c r="Z36" s="96">
        <v>44228</v>
      </c>
      <c r="AA36" s="54"/>
      <c r="AB36" s="96">
        <v>44256</v>
      </c>
      <c r="AC36" s="54"/>
      <c r="AD36" s="96">
        <v>44287</v>
      </c>
      <c r="AE36" s="54"/>
      <c r="AF36" s="96">
        <v>44317</v>
      </c>
      <c r="AG36" s="54"/>
      <c r="AH36" s="96">
        <v>44348</v>
      </c>
      <c r="AI36" s="116"/>
      <c r="AJ36" s="114">
        <v>44378</v>
      </c>
      <c r="AK36" s="54"/>
      <c r="AL36" s="60">
        <v>44409</v>
      </c>
      <c r="AN36" s="60">
        <v>44440</v>
      </c>
      <c r="AO36" s="60"/>
      <c r="AP36" s="60">
        <v>44470</v>
      </c>
      <c r="AQ36" s="60"/>
      <c r="AR36" s="60">
        <v>44501</v>
      </c>
      <c r="AS36" s="60"/>
      <c r="AT36" s="60">
        <v>44531</v>
      </c>
      <c r="AV36" s="60">
        <v>44562</v>
      </c>
      <c r="AX36" s="60">
        <v>44593</v>
      </c>
      <c r="AZ36" s="60">
        <v>44621</v>
      </c>
      <c r="BB36" s="60">
        <v>44652</v>
      </c>
      <c r="BD36" s="60">
        <v>44682</v>
      </c>
      <c r="BF36" s="60">
        <v>44713</v>
      </c>
      <c r="BH36" s="60">
        <v>44743</v>
      </c>
      <c r="BJ36" s="60">
        <v>44774</v>
      </c>
      <c r="BL36" s="60">
        <v>44805</v>
      </c>
      <c r="BN36" s="60">
        <v>44835</v>
      </c>
      <c r="BP36" s="60">
        <v>44866</v>
      </c>
      <c r="BR36" s="60">
        <v>44896</v>
      </c>
      <c r="BT36" s="161">
        <v>44927</v>
      </c>
      <c r="BV36" s="161">
        <v>44958</v>
      </c>
      <c r="BX36" s="161">
        <v>44986</v>
      </c>
      <c r="BZ36" s="161">
        <v>45017</v>
      </c>
    </row>
    <row r="37" spans="1:79" x14ac:dyDescent="0.3">
      <c r="A37" s="92" t="s">
        <v>7</v>
      </c>
      <c r="B37" s="100">
        <v>4978</v>
      </c>
      <c r="C37" s="101" t="s">
        <v>18</v>
      </c>
      <c r="D37" s="100">
        <v>4751</v>
      </c>
      <c r="E37" s="102">
        <f>D37/B37-1</f>
        <v>-4.5600642828445115E-2</v>
      </c>
      <c r="F37" s="100">
        <v>3184</v>
      </c>
      <c r="G37" s="102">
        <f>F37/D37-1</f>
        <v>-0.32982529993685539</v>
      </c>
      <c r="H37" s="100">
        <v>3693</v>
      </c>
      <c r="I37" s="102">
        <f>H37/F37-1</f>
        <v>0.15986180904522618</v>
      </c>
      <c r="J37" s="103">
        <v>4359</v>
      </c>
      <c r="K37" s="102">
        <f>J37/H37-1</f>
        <v>0.18034118602761984</v>
      </c>
      <c r="L37" s="103">
        <v>4398</v>
      </c>
      <c r="M37" s="102">
        <f>L37/J37-1</f>
        <v>8.9470061940812862E-3</v>
      </c>
      <c r="N37" s="103">
        <v>4406</v>
      </c>
      <c r="O37" s="53">
        <f>N37/L37-1</f>
        <v>1.8190086402909422E-3</v>
      </c>
      <c r="P37" s="54">
        <v>4412</v>
      </c>
      <c r="Q37" s="53">
        <f>P37/N37-1</f>
        <v>1.3617793917386489E-3</v>
      </c>
      <c r="R37" s="54">
        <v>4141</v>
      </c>
      <c r="S37" s="53">
        <f>R37/P37-1</f>
        <v>-6.1423390752493146E-2</v>
      </c>
      <c r="T37" s="54">
        <v>3694</v>
      </c>
      <c r="U37" s="53">
        <f>T37/R37-1</f>
        <v>-0.10794494083554695</v>
      </c>
      <c r="V37" s="54">
        <v>3285</v>
      </c>
      <c r="W37" s="53">
        <f>V37/T37-1</f>
        <v>-0.11072008662696264</v>
      </c>
      <c r="X37" s="104">
        <v>3195</v>
      </c>
      <c r="Y37" s="105">
        <f>X37/V37-1</f>
        <v>-2.7397260273972601E-2</v>
      </c>
      <c r="Z37" s="54">
        <v>3591</v>
      </c>
      <c r="AA37" s="105">
        <f>Z37/X37-1</f>
        <v>0.12394366197183104</v>
      </c>
      <c r="AB37" s="98">
        <v>3899.49</v>
      </c>
      <c r="AC37" s="106">
        <f>AB37/Z37-1</f>
        <v>8.5906432748537931E-2</v>
      </c>
      <c r="AD37" s="99">
        <v>3817</v>
      </c>
      <c r="AE37" s="107">
        <f t="shared" ref="AE37:AE47" si="0">AD37/AB37-1</f>
        <v>-2.1154048349912413E-2</v>
      </c>
      <c r="AF37" s="99">
        <v>3810</v>
      </c>
      <c r="AG37" s="105">
        <f t="shared" ref="AG37:AG47" si="1">AF37/AD37-1</f>
        <v>-1.8339009693476571E-3</v>
      </c>
      <c r="AH37" s="113">
        <v>4015</v>
      </c>
      <c r="AI37" s="117">
        <f t="shared" ref="AI37:AI47" si="2">AH37/AF37-1</f>
        <v>5.3805774278215202E-2</v>
      </c>
      <c r="AJ37" s="99">
        <v>3909</v>
      </c>
      <c r="AK37" s="115">
        <f t="shared" ref="AK37:AK47" si="3">AJ37/AH37-1</f>
        <v>-2.6400996264009935E-2</v>
      </c>
      <c r="AL37">
        <v>3911</v>
      </c>
      <c r="AM37" s="13">
        <f t="shared" ref="AM37:AM47" si="4">AL37/AJ37-1</f>
        <v>5.1163980557689115E-4</v>
      </c>
      <c r="AN37" s="1">
        <v>4049</v>
      </c>
      <c r="AO37" s="13">
        <f>AN37/AL37-1</f>
        <v>3.5285093326514971E-2</v>
      </c>
      <c r="AP37">
        <v>4337</v>
      </c>
      <c r="AQ37" s="13">
        <f>AP37/AN37-1</f>
        <v>7.1128673746604143E-2</v>
      </c>
      <c r="AR37" s="1">
        <v>4287</v>
      </c>
      <c r="AS37" s="13">
        <f>AR37/AP37-1</f>
        <v>-1.1528706479133066E-2</v>
      </c>
      <c r="AT37">
        <v>4143</v>
      </c>
      <c r="AU37" s="13">
        <f t="shared" ref="AU37:AU47" si="5">AT37/AR37-1</f>
        <v>-3.3589923023093049E-2</v>
      </c>
      <c r="AV37" s="99">
        <v>3736</v>
      </c>
      <c r="AW37" s="109">
        <f t="shared" ref="AW37:AW47" si="6">AV37/AT37-1</f>
        <v>-9.8237991793386437E-2</v>
      </c>
      <c r="AX37" s="99">
        <v>4066</v>
      </c>
      <c r="AY37" s="13">
        <f t="shared" ref="AY37:AY48" si="7">AX37/AV37-1</f>
        <v>8.8329764453961346E-2</v>
      </c>
      <c r="AZ37" s="99">
        <v>3814</v>
      </c>
      <c r="BA37" s="13">
        <f t="shared" ref="BA37:BA48" si="8">AZ37/AX37-1</f>
        <v>-6.1977373339891839E-2</v>
      </c>
      <c r="BB37" s="99">
        <v>3544</v>
      </c>
      <c r="BC37" s="13">
        <f t="shared" ref="BC37:BC49" si="9">BB37/AZ37-1</f>
        <v>-7.0791819611955908E-2</v>
      </c>
      <c r="BD37" s="99">
        <v>3839</v>
      </c>
      <c r="BE37" s="13">
        <f t="shared" ref="BE37:BE49" si="10">BD37/BB37-1</f>
        <v>8.3239277652370269E-2</v>
      </c>
      <c r="BF37" s="54">
        <v>4363</v>
      </c>
      <c r="BG37" s="13">
        <f t="shared" ref="BG37:BG47" si="11">BF37/BD37-1</f>
        <v>0.13649387861422246</v>
      </c>
      <c r="BH37" s="54">
        <v>4660</v>
      </c>
      <c r="BI37" s="13">
        <f>BH37/BF37-1</f>
        <v>6.8072427228971E-2</v>
      </c>
      <c r="BJ37">
        <v>4854</v>
      </c>
      <c r="BK37" s="13">
        <f>BJ37/BH37-1</f>
        <v>4.1630901287553757E-2</v>
      </c>
      <c r="BL37">
        <v>5392</v>
      </c>
      <c r="BM37" s="13">
        <f>BL37/BJ37-1</f>
        <v>0.11083642356819112</v>
      </c>
      <c r="BN37">
        <v>5520</v>
      </c>
      <c r="BO37" s="13">
        <f>BN37/BL37-1</f>
        <v>2.3738872403560762E-2</v>
      </c>
      <c r="BP37">
        <v>5411</v>
      </c>
      <c r="BQ37" s="13">
        <f>BP37/BN37-1</f>
        <v>-1.9746376811594191E-2</v>
      </c>
      <c r="BR37">
        <v>5176</v>
      </c>
      <c r="BS37" s="13">
        <f>BR37/BP37-1</f>
        <v>-4.3430049898355194E-2</v>
      </c>
      <c r="BT37">
        <v>4868</v>
      </c>
      <c r="BU37" s="20">
        <f>BT37/BR37-1</f>
        <v>-5.950540958268935E-2</v>
      </c>
      <c r="BV37">
        <v>5206</v>
      </c>
      <c r="BW37" s="20">
        <f>BV37/BT37-1</f>
        <v>6.9433032046014809E-2</v>
      </c>
      <c r="BX37">
        <v>5434</v>
      </c>
      <c r="BY37" s="20">
        <f>BX37/BV37-1</f>
        <v>4.3795620437956151E-2</v>
      </c>
      <c r="BZ37">
        <v>5111</v>
      </c>
      <c r="CA37" s="20">
        <f>BZ37/BX37-1</f>
        <v>-5.9440559440559482E-2</v>
      </c>
    </row>
    <row r="38" spans="1:79" x14ac:dyDescent="0.3">
      <c r="A38" s="92" t="s">
        <v>8</v>
      </c>
      <c r="B38" s="100">
        <v>6871</v>
      </c>
      <c r="C38" s="101" t="s">
        <v>18</v>
      </c>
      <c r="D38" s="100">
        <v>6539</v>
      </c>
      <c r="E38" s="102">
        <f t="shared" ref="E38:M47" si="12">D38/B38-1</f>
        <v>-4.8319021976422682E-2</v>
      </c>
      <c r="F38" s="100">
        <v>4784</v>
      </c>
      <c r="G38" s="102">
        <f t="shared" si="12"/>
        <v>-0.26838966202783299</v>
      </c>
      <c r="H38" s="100">
        <v>5340</v>
      </c>
      <c r="I38" s="102">
        <f t="shared" si="12"/>
        <v>0.11622073578595327</v>
      </c>
      <c r="J38" s="103">
        <v>5910</v>
      </c>
      <c r="K38" s="102">
        <f t="shared" si="12"/>
        <v>0.10674157303370779</v>
      </c>
      <c r="L38" s="103">
        <v>5846</v>
      </c>
      <c r="M38" s="102">
        <f t="shared" si="12"/>
        <v>-1.0829103214890057E-2</v>
      </c>
      <c r="N38" s="103">
        <v>5723</v>
      </c>
      <c r="O38" s="53">
        <f t="shared" ref="O38:O47" si="13">N38/L38-1</f>
        <v>-2.1040027369141345E-2</v>
      </c>
      <c r="P38" s="54">
        <v>5422</v>
      </c>
      <c r="Q38" s="53">
        <f t="shared" ref="Q38:W47" si="14">P38/N38-1</f>
        <v>-5.25947929407653E-2</v>
      </c>
      <c r="R38" s="54">
        <v>5134</v>
      </c>
      <c r="S38" s="53">
        <f t="shared" si="14"/>
        <v>-5.3116931021763181E-2</v>
      </c>
      <c r="T38" s="54">
        <v>4691</v>
      </c>
      <c r="U38" s="53">
        <f t="shared" si="14"/>
        <v>-8.628749513050249E-2</v>
      </c>
      <c r="V38" s="54">
        <v>4250</v>
      </c>
      <c r="W38" s="53">
        <f t="shared" si="14"/>
        <v>-9.4009806011511432E-2</v>
      </c>
      <c r="X38" s="104">
        <v>4300</v>
      </c>
      <c r="Y38" s="105">
        <f>X38/V38-1</f>
        <v>1.1764705882352899E-2</v>
      </c>
      <c r="Z38" s="54">
        <v>4594</v>
      </c>
      <c r="AA38" s="105">
        <f t="shared" ref="AA38:AA47" si="15">Z38/X38-1</f>
        <v>6.8372093023255864E-2</v>
      </c>
      <c r="AB38" s="98">
        <v>4920.16</v>
      </c>
      <c r="AC38" s="106">
        <f t="shared" ref="AC38:AC47" si="16">AB38/Z38-1</f>
        <v>7.0996952546800163E-2</v>
      </c>
      <c r="AD38" s="99">
        <v>4885</v>
      </c>
      <c r="AE38" s="107">
        <f t="shared" si="0"/>
        <v>-7.1461090696237628E-3</v>
      </c>
      <c r="AF38" s="99">
        <v>4742</v>
      </c>
      <c r="AG38" s="105">
        <f t="shared" si="1"/>
        <v>-2.9273285568065521E-2</v>
      </c>
      <c r="AH38" s="113">
        <v>4716</v>
      </c>
      <c r="AI38" s="117">
        <f t="shared" si="2"/>
        <v>-5.4829185997469221E-3</v>
      </c>
      <c r="AJ38" s="99">
        <v>4686</v>
      </c>
      <c r="AK38" s="115">
        <f t="shared" si="3"/>
        <v>-6.3613231552163141E-3</v>
      </c>
      <c r="AL38">
        <v>4497</v>
      </c>
      <c r="AM38" s="13">
        <f t="shared" si="4"/>
        <v>-4.0332906530089585E-2</v>
      </c>
      <c r="AN38" s="1">
        <v>4608</v>
      </c>
      <c r="AO38" s="13">
        <f t="shared" ref="AO38:AO47" si="17">AN38/AL38-1</f>
        <v>2.4683122081387676E-2</v>
      </c>
      <c r="AP38">
        <v>4784</v>
      </c>
      <c r="AQ38" s="13">
        <f t="shared" ref="AQ38:AQ47" si="18">AP38/AN38-1</f>
        <v>3.819444444444442E-2</v>
      </c>
      <c r="AR38" s="1">
        <v>4565</v>
      </c>
      <c r="AS38" s="13">
        <f t="shared" ref="AS38:AS48" si="19">AR38/AP38-1</f>
        <v>-4.5777591973244158E-2</v>
      </c>
      <c r="AT38">
        <v>4438</v>
      </c>
      <c r="AU38" s="13">
        <f t="shared" si="5"/>
        <v>-2.7820372398685622E-2</v>
      </c>
      <c r="AV38" s="99">
        <v>4084</v>
      </c>
      <c r="AW38" s="109">
        <f t="shared" si="6"/>
        <v>-7.9765660207300582E-2</v>
      </c>
      <c r="AX38" s="99">
        <v>4474</v>
      </c>
      <c r="AY38" s="13">
        <f t="shared" si="7"/>
        <v>9.5494613124387895E-2</v>
      </c>
      <c r="AZ38" s="99">
        <v>4342</v>
      </c>
      <c r="BA38" s="13">
        <f t="shared" si="8"/>
        <v>-2.9503799731783631E-2</v>
      </c>
      <c r="BB38" s="99">
        <v>3957</v>
      </c>
      <c r="BC38" s="13">
        <f t="shared" si="9"/>
        <v>-8.8668816213726354E-2</v>
      </c>
      <c r="BD38" s="99">
        <v>4248</v>
      </c>
      <c r="BE38" s="13">
        <f t="shared" si="10"/>
        <v>7.3540561031084195E-2</v>
      </c>
      <c r="BF38" s="54">
        <v>4886</v>
      </c>
      <c r="BG38" s="13">
        <f t="shared" si="11"/>
        <v>0.15018832391713755</v>
      </c>
      <c r="BH38" s="54">
        <v>5282</v>
      </c>
      <c r="BI38" s="13">
        <f t="shared" ref="BI38:BI47" si="20">BH38/BF38-1</f>
        <v>8.1047891936144145E-2</v>
      </c>
      <c r="BJ38">
        <v>5343</v>
      </c>
      <c r="BK38" s="13">
        <f t="shared" ref="BK38:BK49" si="21">BJ38/BH38-1</f>
        <v>1.1548655812192443E-2</v>
      </c>
      <c r="BL38">
        <v>5886</v>
      </c>
      <c r="BM38" s="13">
        <f t="shared" ref="BM38:BM49" si="22">BL38/BJ38-1</f>
        <v>0.10162829870859058</v>
      </c>
      <c r="BN38">
        <v>6034</v>
      </c>
      <c r="BO38" s="13">
        <f t="shared" ref="BO38:BO49" si="23">BN38/BL38-1</f>
        <v>2.5144410465511413E-2</v>
      </c>
      <c r="BP38">
        <v>5864</v>
      </c>
      <c r="BQ38" s="13">
        <f t="shared" ref="BQ38:BQ49" si="24">BP38/BN38-1</f>
        <v>-2.8173682466025807E-2</v>
      </c>
      <c r="BR38">
        <v>5684</v>
      </c>
      <c r="BS38" s="13">
        <f t="shared" ref="BS38:BS49" si="25">BR38/BP38-1</f>
        <v>-3.0695770804911371E-2</v>
      </c>
      <c r="BT38">
        <v>5442</v>
      </c>
      <c r="BU38" s="20">
        <f t="shared" ref="BU38:BU48" si="26">BT38/BR38-1</f>
        <v>-4.2575650950035238E-2</v>
      </c>
      <c r="BV38">
        <v>5638</v>
      </c>
      <c r="BW38" s="20">
        <f t="shared" ref="BW38:BW49" si="27">BV38/BT38-1</f>
        <v>3.6016170525542179E-2</v>
      </c>
      <c r="BX38">
        <v>5901</v>
      </c>
      <c r="BY38" s="20">
        <f t="shared" ref="BY38:BY48" si="28">BX38/BV38-1</f>
        <v>4.6647747428165909E-2</v>
      </c>
      <c r="BZ38">
        <v>5624</v>
      </c>
      <c r="CA38" s="20">
        <f t="shared" ref="CA38:CA49" si="29">BZ38/BX38-1</f>
        <v>-4.6941196407388586E-2</v>
      </c>
    </row>
    <row r="39" spans="1:79" x14ac:dyDescent="0.3">
      <c r="A39" s="92" t="s">
        <v>9</v>
      </c>
      <c r="B39" s="100">
        <v>904</v>
      </c>
      <c r="C39" s="101" t="s">
        <v>18</v>
      </c>
      <c r="D39" s="100">
        <v>820</v>
      </c>
      <c r="E39" s="102">
        <f t="shared" si="12"/>
        <v>-9.2920353982300918E-2</v>
      </c>
      <c r="F39" s="100">
        <v>619</v>
      </c>
      <c r="G39" s="102">
        <f t="shared" si="12"/>
        <v>-0.24512195121951219</v>
      </c>
      <c r="H39" s="100">
        <v>725</v>
      </c>
      <c r="I39" s="102">
        <f t="shared" si="12"/>
        <v>0.17124394184168024</v>
      </c>
      <c r="J39" s="103">
        <v>835</v>
      </c>
      <c r="K39" s="102">
        <f t="shared" si="12"/>
        <v>0.15172413793103456</v>
      </c>
      <c r="L39" s="103">
        <v>734</v>
      </c>
      <c r="M39" s="102">
        <f t="shared" si="12"/>
        <v>-0.12095808383233531</v>
      </c>
      <c r="N39" s="103">
        <v>686</v>
      </c>
      <c r="O39" s="53">
        <f t="shared" si="13"/>
        <v>-6.5395095367847378E-2</v>
      </c>
      <c r="P39" s="54">
        <v>690</v>
      </c>
      <c r="Q39" s="53">
        <f t="shared" si="14"/>
        <v>5.8309037900874383E-3</v>
      </c>
      <c r="R39" s="54">
        <v>667</v>
      </c>
      <c r="S39" s="53">
        <f t="shared" si="14"/>
        <v>-3.3333333333333326E-2</v>
      </c>
      <c r="T39" s="54">
        <v>555</v>
      </c>
      <c r="U39" s="53">
        <f t="shared" si="14"/>
        <v>-0.16791604197901044</v>
      </c>
      <c r="V39" s="54">
        <v>402</v>
      </c>
      <c r="W39" s="53">
        <f t="shared" si="14"/>
        <v>-0.27567567567567564</v>
      </c>
      <c r="X39" s="104">
        <v>1004</v>
      </c>
      <c r="Y39" s="105">
        <f>X39/V39-1</f>
        <v>1.4975124378109452</v>
      </c>
      <c r="Z39" s="54">
        <v>1045</v>
      </c>
      <c r="AA39" s="105">
        <f t="shared" si="15"/>
        <v>4.0836653386454147E-2</v>
      </c>
      <c r="AB39" s="98">
        <v>1120.05</v>
      </c>
      <c r="AC39" s="106">
        <f t="shared" si="16"/>
        <v>7.1818181818181781E-2</v>
      </c>
      <c r="AD39" s="99">
        <v>1150</v>
      </c>
      <c r="AE39" s="107">
        <f t="shared" si="0"/>
        <v>2.6739877684031965E-2</v>
      </c>
      <c r="AF39" s="99">
        <v>998</v>
      </c>
      <c r="AG39" s="105">
        <f t="shared" si="1"/>
        <v>-0.13217391304347825</v>
      </c>
      <c r="AH39" s="113">
        <v>1045</v>
      </c>
      <c r="AI39" s="117">
        <f t="shared" si="2"/>
        <v>4.7094188376753499E-2</v>
      </c>
      <c r="AJ39" s="99">
        <v>1083</v>
      </c>
      <c r="AK39" s="115">
        <f t="shared" si="3"/>
        <v>3.6363636363636376E-2</v>
      </c>
      <c r="AL39">
        <v>1029</v>
      </c>
      <c r="AM39" s="13">
        <f t="shared" si="4"/>
        <v>-4.9861495844875314E-2</v>
      </c>
      <c r="AN39" s="1">
        <v>1036</v>
      </c>
      <c r="AO39" s="13">
        <f t="shared" si="17"/>
        <v>6.8027210884353817E-3</v>
      </c>
      <c r="AP39">
        <v>1172</v>
      </c>
      <c r="AQ39" s="13">
        <f t="shared" si="18"/>
        <v>0.13127413127413123</v>
      </c>
      <c r="AR39" s="1">
        <v>1255</v>
      </c>
      <c r="AS39" s="13">
        <f t="shared" si="19"/>
        <v>7.0819112627986458E-2</v>
      </c>
      <c r="AT39">
        <v>1214</v>
      </c>
      <c r="AU39" s="13">
        <f t="shared" si="5"/>
        <v>-3.266932270916334E-2</v>
      </c>
      <c r="AV39" s="99">
        <v>1018</v>
      </c>
      <c r="AW39" s="109">
        <f t="shared" si="6"/>
        <v>-0.16144975288303132</v>
      </c>
      <c r="AX39" s="99">
        <v>1187</v>
      </c>
      <c r="AY39" s="13">
        <f t="shared" si="7"/>
        <v>0.16601178781925352</v>
      </c>
      <c r="AZ39" s="99">
        <v>1035</v>
      </c>
      <c r="BA39" s="13">
        <f t="shared" si="8"/>
        <v>-0.12805391743892169</v>
      </c>
      <c r="BB39" s="99">
        <v>893</v>
      </c>
      <c r="BC39" s="13">
        <f t="shared" si="9"/>
        <v>-0.13719806763285025</v>
      </c>
      <c r="BD39" s="99">
        <v>963</v>
      </c>
      <c r="BE39" s="13">
        <f t="shared" si="10"/>
        <v>7.838745800671898E-2</v>
      </c>
      <c r="BF39" s="54">
        <v>1088</v>
      </c>
      <c r="BG39" s="13">
        <f t="shared" si="11"/>
        <v>0.12980269989615789</v>
      </c>
      <c r="BH39" s="54">
        <v>1210</v>
      </c>
      <c r="BI39" s="13">
        <f t="shared" si="20"/>
        <v>0.11213235294117641</v>
      </c>
      <c r="BJ39">
        <v>1262</v>
      </c>
      <c r="BK39" s="13">
        <f t="shared" si="21"/>
        <v>4.2975206611570282E-2</v>
      </c>
      <c r="BL39">
        <v>1442</v>
      </c>
      <c r="BM39" s="13">
        <f t="shared" si="22"/>
        <v>0.14263074484944527</v>
      </c>
      <c r="BN39">
        <v>1461</v>
      </c>
      <c r="BO39" s="13">
        <f t="shared" si="23"/>
        <v>1.3176144244105403E-2</v>
      </c>
      <c r="BP39">
        <v>1383</v>
      </c>
      <c r="BQ39" s="13">
        <f t="shared" si="24"/>
        <v>-5.3388090349075989E-2</v>
      </c>
      <c r="BR39">
        <v>1450</v>
      </c>
      <c r="BS39" s="13">
        <f t="shared" si="25"/>
        <v>4.8445408532176382E-2</v>
      </c>
      <c r="BT39">
        <v>1426</v>
      </c>
      <c r="BU39" s="20">
        <f t="shared" si="26"/>
        <v>-1.6551724137931045E-2</v>
      </c>
      <c r="BV39">
        <v>1521</v>
      </c>
      <c r="BW39" s="20">
        <f t="shared" si="27"/>
        <v>6.6619915848527445E-2</v>
      </c>
      <c r="BX39">
        <v>1674</v>
      </c>
      <c r="BY39" s="20">
        <f t="shared" si="28"/>
        <v>0.10059171597633143</v>
      </c>
      <c r="BZ39">
        <v>1776</v>
      </c>
      <c r="CA39" s="20">
        <f t="shared" si="29"/>
        <v>6.0931899641577081E-2</v>
      </c>
    </row>
    <row r="40" spans="1:79" x14ac:dyDescent="0.3">
      <c r="A40" s="92" t="s">
        <v>10</v>
      </c>
      <c r="B40" s="100">
        <v>5244</v>
      </c>
      <c r="C40" s="101" t="s">
        <v>18</v>
      </c>
      <c r="D40" s="100">
        <v>5076</v>
      </c>
      <c r="E40" s="102">
        <f t="shared" si="12"/>
        <v>-3.2036613272311221E-2</v>
      </c>
      <c r="F40" s="100">
        <v>3608</v>
      </c>
      <c r="G40" s="102">
        <f t="shared" si="12"/>
        <v>-0.28920409771473599</v>
      </c>
      <c r="H40" s="100">
        <v>4110</v>
      </c>
      <c r="I40" s="102">
        <f t="shared" si="12"/>
        <v>0.13913525498891355</v>
      </c>
      <c r="J40" s="103">
        <v>4639</v>
      </c>
      <c r="K40" s="102">
        <f t="shared" si="12"/>
        <v>0.1287104622871047</v>
      </c>
      <c r="L40" s="103">
        <v>4557</v>
      </c>
      <c r="M40" s="102">
        <f t="shared" si="12"/>
        <v>-1.7676223323992213E-2</v>
      </c>
      <c r="N40" s="103">
        <v>4338</v>
      </c>
      <c r="O40" s="53">
        <f t="shared" si="13"/>
        <v>-4.8057932850559593E-2</v>
      </c>
      <c r="P40" s="54">
        <v>4169</v>
      </c>
      <c r="Q40" s="53">
        <f t="shared" si="14"/>
        <v>-3.8958045182111545E-2</v>
      </c>
      <c r="R40" s="54">
        <v>3988</v>
      </c>
      <c r="S40" s="53">
        <f t="shared" si="14"/>
        <v>-4.3415687215159537E-2</v>
      </c>
      <c r="T40" s="54">
        <v>3591</v>
      </c>
      <c r="U40" s="53">
        <f t="shared" si="14"/>
        <v>-9.9548645937813429E-2</v>
      </c>
      <c r="V40" s="54">
        <v>3271</v>
      </c>
      <c r="W40" s="53">
        <f t="shared" si="14"/>
        <v>-8.9111668059036475E-2</v>
      </c>
      <c r="X40" s="104">
        <v>3263</v>
      </c>
      <c r="Y40" s="105">
        <f t="shared" ref="Y40:Y47" si="30">X40/V40-1</f>
        <v>-2.4457352491592532E-3</v>
      </c>
      <c r="Z40" s="54">
        <v>3674</v>
      </c>
      <c r="AA40" s="105">
        <f t="shared" si="15"/>
        <v>0.12595770763101433</v>
      </c>
      <c r="AB40" s="98">
        <v>3931.1</v>
      </c>
      <c r="AC40" s="106">
        <f t="shared" si="16"/>
        <v>6.99782253674468E-2</v>
      </c>
      <c r="AD40" s="99">
        <v>3958</v>
      </c>
      <c r="AE40" s="107">
        <f t="shared" si="0"/>
        <v>6.8428684083334801E-3</v>
      </c>
      <c r="AF40" s="99">
        <v>3991</v>
      </c>
      <c r="AG40" s="105">
        <f t="shared" si="1"/>
        <v>8.3375442142497036E-3</v>
      </c>
      <c r="AH40" s="113">
        <v>3984</v>
      </c>
      <c r="AI40" s="117">
        <f t="shared" si="2"/>
        <v>-1.7539463793535548E-3</v>
      </c>
      <c r="AJ40" s="99">
        <v>3998</v>
      </c>
      <c r="AK40" s="115">
        <f t="shared" si="3"/>
        <v>3.5140562248996421E-3</v>
      </c>
      <c r="AL40">
        <v>3932</v>
      </c>
      <c r="AM40" s="13">
        <f t="shared" si="4"/>
        <v>-1.6508254127063582E-2</v>
      </c>
      <c r="AN40" s="1">
        <v>4049.96</v>
      </c>
      <c r="AO40" s="13">
        <f t="shared" si="17"/>
        <v>3.0000000000000027E-2</v>
      </c>
      <c r="AP40">
        <v>3949</v>
      </c>
      <c r="AQ40" s="13">
        <f t="shared" si="18"/>
        <v>-2.4928641270531071E-2</v>
      </c>
      <c r="AR40" s="1">
        <v>3838</v>
      </c>
      <c r="AS40" s="13">
        <f t="shared" si="19"/>
        <v>-2.8108381868827581E-2</v>
      </c>
      <c r="AT40">
        <v>3729</v>
      </c>
      <c r="AU40" s="13">
        <f t="shared" si="5"/>
        <v>-2.8400208441896835E-2</v>
      </c>
      <c r="AV40" s="99">
        <v>3454</v>
      </c>
      <c r="AW40" s="109">
        <f t="shared" si="6"/>
        <v>-7.3746312684365822E-2</v>
      </c>
      <c r="AX40" s="99">
        <v>3790</v>
      </c>
      <c r="AY40" s="13">
        <f t="shared" si="7"/>
        <v>9.7278517660683184E-2</v>
      </c>
      <c r="AZ40" s="99">
        <v>3672</v>
      </c>
      <c r="BA40" s="13">
        <f t="shared" si="8"/>
        <v>-3.1134564643799489E-2</v>
      </c>
      <c r="BB40" s="99">
        <v>3319</v>
      </c>
      <c r="BC40" s="13">
        <f t="shared" si="9"/>
        <v>-9.6132897603485867E-2</v>
      </c>
      <c r="BD40" s="99">
        <v>3715</v>
      </c>
      <c r="BE40" s="13">
        <f t="shared" si="10"/>
        <v>0.11931304609822235</v>
      </c>
      <c r="BF40" s="54">
        <v>4146</v>
      </c>
      <c r="BG40" s="13">
        <f t="shared" si="11"/>
        <v>0.11601615074024219</v>
      </c>
      <c r="BH40" s="54">
        <v>4412</v>
      </c>
      <c r="BI40" s="13">
        <f t="shared" si="20"/>
        <v>6.415822479498301E-2</v>
      </c>
      <c r="BJ40">
        <v>4509</v>
      </c>
      <c r="BK40" s="13">
        <f t="shared" si="21"/>
        <v>2.1985494106981029E-2</v>
      </c>
      <c r="BL40">
        <v>4984</v>
      </c>
      <c r="BM40" s="13">
        <f t="shared" si="22"/>
        <v>0.10534486582390779</v>
      </c>
      <c r="BN40">
        <v>5141</v>
      </c>
      <c r="BO40" s="13">
        <f t="shared" si="23"/>
        <v>3.1500802568218189E-2</v>
      </c>
      <c r="BP40">
        <v>5135</v>
      </c>
      <c r="BQ40" s="13">
        <f t="shared" si="24"/>
        <v>-1.167088115152648E-3</v>
      </c>
      <c r="BR40">
        <v>5116</v>
      </c>
      <c r="BS40" s="13">
        <f t="shared" si="25"/>
        <v>-3.700097370983424E-3</v>
      </c>
      <c r="BT40">
        <v>5001</v>
      </c>
      <c r="BU40" s="20">
        <f t="shared" si="26"/>
        <v>-2.2478498827208759E-2</v>
      </c>
      <c r="BV40">
        <v>5188</v>
      </c>
      <c r="BW40" s="20">
        <f t="shared" si="27"/>
        <v>3.7392521495700937E-2</v>
      </c>
      <c r="BX40">
        <v>5408</v>
      </c>
      <c r="BY40" s="20">
        <f t="shared" si="28"/>
        <v>4.2405551272166608E-2</v>
      </c>
      <c r="BZ40">
        <v>5135</v>
      </c>
      <c r="CA40" s="20">
        <f t="shared" si="29"/>
        <v>-5.0480769230769273E-2</v>
      </c>
    </row>
    <row r="41" spans="1:79" x14ac:dyDescent="0.3">
      <c r="A41" s="92" t="s">
        <v>11</v>
      </c>
      <c r="B41" s="100">
        <v>5331</v>
      </c>
      <c r="C41" s="101" t="s">
        <v>18</v>
      </c>
      <c r="D41" s="100">
        <v>5014</v>
      </c>
      <c r="E41" s="102">
        <f t="shared" si="12"/>
        <v>-5.9463515287938473E-2</v>
      </c>
      <c r="F41" s="100">
        <v>3381</v>
      </c>
      <c r="G41" s="102">
        <f t="shared" si="12"/>
        <v>-0.32568807339449546</v>
      </c>
      <c r="H41" s="100">
        <v>3845</v>
      </c>
      <c r="I41" s="102">
        <f t="shared" si="12"/>
        <v>0.13723750369713095</v>
      </c>
      <c r="J41" s="103">
        <v>4374</v>
      </c>
      <c r="K41" s="102">
        <f t="shared" si="12"/>
        <v>0.1375812743823146</v>
      </c>
      <c r="L41" s="103">
        <v>4320</v>
      </c>
      <c r="M41" s="102">
        <f t="shared" si="12"/>
        <v>-1.2345679012345734E-2</v>
      </c>
      <c r="N41" s="103">
        <v>4320</v>
      </c>
      <c r="O41" s="53">
        <f t="shared" si="13"/>
        <v>0</v>
      </c>
      <c r="P41" s="54">
        <v>4126</v>
      </c>
      <c r="Q41" s="53">
        <f t="shared" si="14"/>
        <v>-4.4907407407407396E-2</v>
      </c>
      <c r="R41" s="54">
        <v>3863</v>
      </c>
      <c r="S41" s="53">
        <f t="shared" si="14"/>
        <v>-6.3742123121667493E-2</v>
      </c>
      <c r="T41" s="54">
        <v>3504</v>
      </c>
      <c r="U41" s="53">
        <f t="shared" si="14"/>
        <v>-9.2932953662956286E-2</v>
      </c>
      <c r="V41" s="54">
        <v>3212</v>
      </c>
      <c r="W41" s="53">
        <f t="shared" si="14"/>
        <v>-8.333333333333337E-2</v>
      </c>
      <c r="X41" s="104">
        <v>3218</v>
      </c>
      <c r="Y41" s="105">
        <f t="shared" si="30"/>
        <v>1.8679950186799577E-3</v>
      </c>
      <c r="Z41" s="54">
        <v>3538</v>
      </c>
      <c r="AA41" s="105">
        <f t="shared" si="15"/>
        <v>9.9440646364201468E-2</v>
      </c>
      <c r="AB41" s="98">
        <v>3772.45</v>
      </c>
      <c r="AC41" s="106">
        <f t="shared" si="16"/>
        <v>6.6266252119841607E-2</v>
      </c>
      <c r="AD41" s="99">
        <v>3777</v>
      </c>
      <c r="AE41" s="107">
        <f t="shared" si="0"/>
        <v>1.2061127384062065E-3</v>
      </c>
      <c r="AF41" s="99">
        <v>3734</v>
      </c>
      <c r="AG41" s="105">
        <f t="shared" si="1"/>
        <v>-1.1384696849351283E-2</v>
      </c>
      <c r="AH41" s="113">
        <v>3643</v>
      </c>
      <c r="AI41" s="117">
        <f t="shared" si="2"/>
        <v>-2.4370648098553827E-2</v>
      </c>
      <c r="AJ41" s="99">
        <v>3669</v>
      </c>
      <c r="AK41" s="115">
        <f t="shared" si="3"/>
        <v>7.1369750205874105E-3</v>
      </c>
      <c r="AL41">
        <v>3694</v>
      </c>
      <c r="AM41" s="13">
        <f t="shared" si="4"/>
        <v>6.8138457345325865E-3</v>
      </c>
      <c r="AN41" s="1">
        <v>3908</v>
      </c>
      <c r="AO41" s="13">
        <f t="shared" si="17"/>
        <v>5.7931781266919335E-2</v>
      </c>
      <c r="AP41">
        <v>4163</v>
      </c>
      <c r="AQ41" s="13">
        <f t="shared" si="18"/>
        <v>6.5250767656090058E-2</v>
      </c>
      <c r="AR41" s="1">
        <v>3956</v>
      </c>
      <c r="AS41" s="13">
        <f t="shared" si="19"/>
        <v>-4.9723756906077332E-2</v>
      </c>
      <c r="AT41">
        <v>3794</v>
      </c>
      <c r="AU41" s="13">
        <f t="shared" si="5"/>
        <v>-4.0950455005055564E-2</v>
      </c>
      <c r="AV41" s="99">
        <v>3524</v>
      </c>
      <c r="AW41" s="109">
        <f t="shared" si="6"/>
        <v>-7.1164997364259408E-2</v>
      </c>
      <c r="AX41" s="99">
        <v>3808</v>
      </c>
      <c r="AY41" s="13">
        <f t="shared" si="7"/>
        <v>8.0590238365493727E-2</v>
      </c>
      <c r="AZ41" s="99">
        <v>3632</v>
      </c>
      <c r="BA41" s="13">
        <f t="shared" si="8"/>
        <v>-4.621848739495793E-2</v>
      </c>
      <c r="BB41" s="99">
        <v>3131</v>
      </c>
      <c r="BC41" s="13">
        <f t="shared" si="9"/>
        <v>-0.13794052863436124</v>
      </c>
      <c r="BD41" s="99">
        <v>3500</v>
      </c>
      <c r="BE41" s="13">
        <f t="shared" si="10"/>
        <v>0.11785372085595647</v>
      </c>
      <c r="BF41" s="54">
        <v>4008</v>
      </c>
      <c r="BG41" s="13">
        <f t="shared" si="11"/>
        <v>0.14514285714285724</v>
      </c>
      <c r="BH41" s="54">
        <v>4259</v>
      </c>
      <c r="BI41" s="13">
        <f t="shared" si="20"/>
        <v>6.2624750499002069E-2</v>
      </c>
      <c r="BJ41">
        <v>4356</v>
      </c>
      <c r="BK41" s="13">
        <f t="shared" si="21"/>
        <v>2.2775299366048385E-2</v>
      </c>
      <c r="BL41">
        <v>4848</v>
      </c>
      <c r="BM41" s="13">
        <f t="shared" si="22"/>
        <v>0.11294765840220378</v>
      </c>
      <c r="BN41">
        <v>5071</v>
      </c>
      <c r="BO41" s="13">
        <f t="shared" si="23"/>
        <v>4.599834983498341E-2</v>
      </c>
      <c r="BP41">
        <v>4985</v>
      </c>
      <c r="BQ41" s="13">
        <f t="shared" si="24"/>
        <v>-1.6959179648984413E-2</v>
      </c>
      <c r="BR41">
        <v>4728</v>
      </c>
      <c r="BS41" s="13">
        <f t="shared" si="25"/>
        <v>-5.1554663991975946E-2</v>
      </c>
      <c r="BT41">
        <v>4540</v>
      </c>
      <c r="BU41" s="20">
        <f t="shared" si="26"/>
        <v>-3.9763113367174308E-2</v>
      </c>
      <c r="BV41">
        <v>4691</v>
      </c>
      <c r="BW41" s="20">
        <f t="shared" si="27"/>
        <v>3.3259911894273131E-2</v>
      </c>
      <c r="BX41">
        <v>5008</v>
      </c>
      <c r="BY41" s="20">
        <f t="shared" si="28"/>
        <v>6.7576209763376749E-2</v>
      </c>
      <c r="BZ41">
        <v>4709</v>
      </c>
      <c r="CA41" s="20">
        <f t="shared" si="29"/>
        <v>-5.9704472843450485E-2</v>
      </c>
    </row>
    <row r="42" spans="1:79" x14ac:dyDescent="0.3">
      <c r="A42" s="92" t="s">
        <v>12</v>
      </c>
      <c r="B42" s="100">
        <v>3139</v>
      </c>
      <c r="C42" s="101" t="s">
        <v>18</v>
      </c>
      <c r="D42" s="100">
        <v>3084</v>
      </c>
      <c r="E42" s="102">
        <f t="shared" si="12"/>
        <v>-1.7521503663587179E-2</v>
      </c>
      <c r="F42" s="100">
        <v>2134</v>
      </c>
      <c r="G42" s="102">
        <f t="shared" si="12"/>
        <v>-0.30804150453955903</v>
      </c>
      <c r="H42" s="100">
        <v>2384</v>
      </c>
      <c r="I42" s="102">
        <f t="shared" si="12"/>
        <v>0.11715089034676662</v>
      </c>
      <c r="J42" s="103">
        <v>2802</v>
      </c>
      <c r="K42" s="102">
        <f t="shared" si="12"/>
        <v>0.17533557046979875</v>
      </c>
      <c r="L42" s="103">
        <v>2834</v>
      </c>
      <c r="M42" s="102">
        <f t="shared" si="12"/>
        <v>1.142041399000715E-2</v>
      </c>
      <c r="N42" s="103">
        <v>2681</v>
      </c>
      <c r="O42" s="53">
        <f t="shared" si="13"/>
        <v>-5.3987297106563137E-2</v>
      </c>
      <c r="P42" s="54">
        <v>2541</v>
      </c>
      <c r="Q42" s="53">
        <f t="shared" si="14"/>
        <v>-5.2219321148825104E-2</v>
      </c>
      <c r="R42" s="54">
        <v>2408</v>
      </c>
      <c r="S42" s="53">
        <f t="shared" si="14"/>
        <v>-5.2341597796143224E-2</v>
      </c>
      <c r="T42" s="54">
        <v>2275</v>
      </c>
      <c r="U42" s="53">
        <f t="shared" si="14"/>
        <v>-5.5232558139534871E-2</v>
      </c>
      <c r="V42" s="54">
        <v>2059</v>
      </c>
      <c r="W42" s="53">
        <f t="shared" si="14"/>
        <v>-9.4945054945054896E-2</v>
      </c>
      <c r="X42" s="104">
        <v>2011</v>
      </c>
      <c r="Y42" s="105">
        <f t="shared" si="30"/>
        <v>-2.3312287518212682E-2</v>
      </c>
      <c r="Z42" s="54">
        <v>2316</v>
      </c>
      <c r="AA42" s="105">
        <f t="shared" si="15"/>
        <v>0.15166583789159627</v>
      </c>
      <c r="AB42" s="98">
        <v>2399.6999999999998</v>
      </c>
      <c r="AC42" s="106">
        <f t="shared" si="16"/>
        <v>3.6139896373056812E-2</v>
      </c>
      <c r="AD42" s="99">
        <v>2340</v>
      </c>
      <c r="AE42" s="107">
        <f t="shared" si="0"/>
        <v>-2.4878109763720402E-2</v>
      </c>
      <c r="AF42" s="99">
        <v>2330</v>
      </c>
      <c r="AG42" s="105">
        <f t="shared" si="1"/>
        <v>-4.2735042735042583E-3</v>
      </c>
      <c r="AH42" s="113">
        <v>2457</v>
      </c>
      <c r="AI42" s="117">
        <f t="shared" si="2"/>
        <v>5.4506437768240268E-2</v>
      </c>
      <c r="AJ42" s="99">
        <v>2411</v>
      </c>
      <c r="AK42" s="115">
        <f t="shared" si="3"/>
        <v>-1.872201872201873E-2</v>
      </c>
      <c r="AL42">
        <v>2442</v>
      </c>
      <c r="AM42" s="13">
        <f t="shared" si="4"/>
        <v>1.2857735379510515E-2</v>
      </c>
      <c r="AN42" s="1">
        <v>2514</v>
      </c>
      <c r="AO42" s="13">
        <f t="shared" si="17"/>
        <v>2.9484029484029506E-2</v>
      </c>
      <c r="AP42">
        <v>2540</v>
      </c>
      <c r="AQ42" s="13">
        <f t="shared" si="18"/>
        <v>1.0342084327764622E-2</v>
      </c>
      <c r="AR42" s="1">
        <v>2434</v>
      </c>
      <c r="AS42" s="13">
        <f t="shared" si="19"/>
        <v>-4.1732283464566922E-2</v>
      </c>
      <c r="AT42">
        <v>2334</v>
      </c>
      <c r="AU42" s="13">
        <f t="shared" si="5"/>
        <v>-4.1084634346754356E-2</v>
      </c>
      <c r="AV42" s="99">
        <v>2076</v>
      </c>
      <c r="AW42" s="109">
        <f t="shared" si="6"/>
        <v>-0.11053984575835474</v>
      </c>
      <c r="AX42" s="99">
        <v>2350</v>
      </c>
      <c r="AY42" s="13">
        <f t="shared" si="7"/>
        <v>0.13198458574181116</v>
      </c>
      <c r="AZ42" s="99">
        <v>2221</v>
      </c>
      <c r="BA42" s="13">
        <f t="shared" si="8"/>
        <v>-5.4893617021276597E-2</v>
      </c>
      <c r="BB42" s="99">
        <v>2045</v>
      </c>
      <c r="BC42" s="13">
        <f t="shared" si="9"/>
        <v>-7.9243583971184139E-2</v>
      </c>
      <c r="BD42" s="99">
        <v>2324</v>
      </c>
      <c r="BE42" s="13">
        <f t="shared" si="10"/>
        <v>0.13643031784841075</v>
      </c>
      <c r="BF42" s="54">
        <v>2578</v>
      </c>
      <c r="BG42" s="13">
        <f t="shared" si="11"/>
        <v>0.10929432013769369</v>
      </c>
      <c r="BH42" s="54">
        <v>2799</v>
      </c>
      <c r="BI42" s="13">
        <f t="shared" si="20"/>
        <v>8.5725368502715282E-2</v>
      </c>
      <c r="BJ42">
        <v>2901</v>
      </c>
      <c r="BK42" s="13">
        <f t="shared" si="21"/>
        <v>3.6441586280814509E-2</v>
      </c>
      <c r="BL42">
        <v>3264</v>
      </c>
      <c r="BM42" s="13">
        <f t="shared" si="22"/>
        <v>0.12512926577042394</v>
      </c>
      <c r="BN42">
        <v>3390</v>
      </c>
      <c r="BO42" s="13">
        <f t="shared" si="23"/>
        <v>3.8602941176470562E-2</v>
      </c>
      <c r="BP42">
        <v>3374</v>
      </c>
      <c r="BQ42" s="13">
        <f t="shared" si="24"/>
        <v>-4.71976401179941E-3</v>
      </c>
      <c r="BR42">
        <v>3261</v>
      </c>
      <c r="BS42" s="13">
        <f t="shared" si="25"/>
        <v>-3.3491404860699459E-2</v>
      </c>
      <c r="BT42">
        <v>3060</v>
      </c>
      <c r="BU42" s="20">
        <f t="shared" si="26"/>
        <v>-6.1637534498620083E-2</v>
      </c>
      <c r="BV42">
        <v>3207</v>
      </c>
      <c r="BW42" s="20">
        <f t="shared" si="27"/>
        <v>4.8039215686274561E-2</v>
      </c>
      <c r="BX42">
        <v>3337</v>
      </c>
      <c r="BY42" s="20">
        <f t="shared" si="28"/>
        <v>4.0536326785157506E-2</v>
      </c>
      <c r="BZ42">
        <v>3148</v>
      </c>
      <c r="CA42" s="20">
        <f t="shared" si="29"/>
        <v>-5.6637698531615266E-2</v>
      </c>
    </row>
    <row r="43" spans="1:79" x14ac:dyDescent="0.3">
      <c r="A43" s="92" t="s">
        <v>13</v>
      </c>
      <c r="B43" s="100">
        <v>183</v>
      </c>
      <c r="C43" s="101" t="s">
        <v>18</v>
      </c>
      <c r="D43" s="100">
        <v>152</v>
      </c>
      <c r="E43" s="102">
        <f t="shared" si="12"/>
        <v>-0.1693989071038251</v>
      </c>
      <c r="F43" s="100">
        <v>101</v>
      </c>
      <c r="G43" s="102">
        <f t="shared" si="12"/>
        <v>-0.33552631578947367</v>
      </c>
      <c r="H43" s="100">
        <v>108</v>
      </c>
      <c r="I43" s="102">
        <f t="shared" si="12"/>
        <v>6.9306930693069368E-2</v>
      </c>
      <c r="J43" s="103">
        <v>133</v>
      </c>
      <c r="K43" s="102">
        <f t="shared" si="12"/>
        <v>0.2314814814814814</v>
      </c>
      <c r="L43" s="103">
        <v>153</v>
      </c>
      <c r="M43" s="102">
        <f t="shared" si="12"/>
        <v>0.15037593984962405</v>
      </c>
      <c r="N43" s="103">
        <v>155</v>
      </c>
      <c r="O43" s="53">
        <f t="shared" si="13"/>
        <v>1.3071895424836555E-2</v>
      </c>
      <c r="P43" s="54">
        <v>152</v>
      </c>
      <c r="Q43" s="53">
        <f t="shared" si="14"/>
        <v>-1.9354838709677469E-2</v>
      </c>
      <c r="R43" s="54">
        <v>143</v>
      </c>
      <c r="S43" s="53">
        <f t="shared" si="14"/>
        <v>-5.9210526315789491E-2</v>
      </c>
      <c r="T43" s="54">
        <v>128</v>
      </c>
      <c r="U43" s="53">
        <f t="shared" si="14"/>
        <v>-0.1048951048951049</v>
      </c>
      <c r="V43" s="108" t="s">
        <v>18</v>
      </c>
      <c r="W43" s="53" t="e">
        <f t="shared" si="14"/>
        <v>#VALUE!</v>
      </c>
      <c r="X43" s="104">
        <v>366</v>
      </c>
      <c r="Y43" s="105"/>
      <c r="Z43" s="54">
        <v>395</v>
      </c>
      <c r="AA43" s="105">
        <f t="shared" si="15"/>
        <v>7.9234972677595605E-2</v>
      </c>
      <c r="AB43" s="98">
        <v>413.25</v>
      </c>
      <c r="AC43" s="106">
        <f t="shared" si="16"/>
        <v>4.6202531645569644E-2</v>
      </c>
      <c r="AD43" s="99">
        <v>422</v>
      </c>
      <c r="AE43" s="107">
        <f t="shared" si="0"/>
        <v>2.1173623714458634E-2</v>
      </c>
      <c r="AF43" s="99">
        <v>473</v>
      </c>
      <c r="AG43" s="105">
        <f t="shared" si="1"/>
        <v>0.12085308056872046</v>
      </c>
      <c r="AH43" s="113">
        <v>490</v>
      </c>
      <c r="AI43" s="117">
        <f t="shared" si="2"/>
        <v>3.5940803382663811E-2</v>
      </c>
      <c r="AJ43" s="99">
        <v>480</v>
      </c>
      <c r="AK43" s="115">
        <f t="shared" si="3"/>
        <v>-2.0408163265306145E-2</v>
      </c>
      <c r="AL43">
        <v>477</v>
      </c>
      <c r="AM43" s="13">
        <f t="shared" si="4"/>
        <v>-6.2499999999999778E-3</v>
      </c>
      <c r="AN43" s="1">
        <v>528</v>
      </c>
      <c r="AO43" s="13">
        <f t="shared" si="17"/>
        <v>0.10691823899371067</v>
      </c>
      <c r="AP43">
        <v>530</v>
      </c>
      <c r="AQ43" s="13">
        <f t="shared" si="18"/>
        <v>3.7878787878788955E-3</v>
      </c>
      <c r="AR43" s="1">
        <v>476</v>
      </c>
      <c r="AS43" s="13">
        <f t="shared" si="19"/>
        <v>-0.10188679245283017</v>
      </c>
      <c r="AT43">
        <v>465</v>
      </c>
      <c r="AU43" s="13">
        <f t="shared" si="5"/>
        <v>-2.3109243697479021E-2</v>
      </c>
      <c r="AV43" s="99">
        <v>435</v>
      </c>
      <c r="AW43" s="109">
        <f t="shared" si="6"/>
        <v>-6.4516129032258118E-2</v>
      </c>
      <c r="AX43" s="99">
        <v>462</v>
      </c>
      <c r="AY43" s="13">
        <f t="shared" si="7"/>
        <v>6.2068965517241281E-2</v>
      </c>
      <c r="AZ43" s="99">
        <v>491</v>
      </c>
      <c r="BA43" s="13">
        <f t="shared" si="8"/>
        <v>6.277056277056281E-2</v>
      </c>
      <c r="BB43" s="99">
        <v>430</v>
      </c>
      <c r="BC43" s="13">
        <f t="shared" si="9"/>
        <v>-0.12423625254582482</v>
      </c>
      <c r="BD43" s="99">
        <v>505</v>
      </c>
      <c r="BE43" s="13">
        <f t="shared" si="10"/>
        <v>0.17441860465116288</v>
      </c>
      <c r="BF43" s="54">
        <v>558</v>
      </c>
      <c r="BG43" s="13">
        <f t="shared" si="11"/>
        <v>0.10495049504950504</v>
      </c>
      <c r="BH43" s="54">
        <v>597</v>
      </c>
      <c r="BI43" s="13">
        <f t="shared" si="20"/>
        <v>6.9892473118279508E-2</v>
      </c>
      <c r="BJ43">
        <v>613</v>
      </c>
      <c r="BK43" s="13">
        <f t="shared" si="21"/>
        <v>2.6800670016750461E-2</v>
      </c>
      <c r="BL43">
        <v>649</v>
      </c>
      <c r="BM43" s="13">
        <f t="shared" si="22"/>
        <v>5.8727569331158191E-2</v>
      </c>
      <c r="BN43">
        <v>653</v>
      </c>
      <c r="BO43" s="13">
        <f t="shared" si="23"/>
        <v>6.1633281972264253E-3</v>
      </c>
      <c r="BP43">
        <v>652</v>
      </c>
      <c r="BQ43" s="13">
        <f t="shared" si="24"/>
        <v>-1.5313935681470214E-3</v>
      </c>
      <c r="BR43">
        <v>632</v>
      </c>
      <c r="BS43" s="13">
        <f t="shared" si="25"/>
        <v>-3.0674846625766916E-2</v>
      </c>
      <c r="BT43">
        <v>590</v>
      </c>
      <c r="BU43" s="20">
        <f t="shared" si="26"/>
        <v>-6.6455696202531667E-2</v>
      </c>
      <c r="BV43">
        <v>639</v>
      </c>
      <c r="BW43" s="20">
        <f t="shared" si="27"/>
        <v>8.3050847457627031E-2</v>
      </c>
      <c r="BX43">
        <v>677</v>
      </c>
      <c r="BY43" s="20">
        <f t="shared" si="28"/>
        <v>5.946791862284817E-2</v>
      </c>
      <c r="BZ43">
        <v>632</v>
      </c>
      <c r="CA43" s="20">
        <f t="shared" si="29"/>
        <v>-6.6469719350073841E-2</v>
      </c>
    </row>
    <row r="44" spans="1:79" x14ac:dyDescent="0.3">
      <c r="A44" s="92" t="s">
        <v>14</v>
      </c>
      <c r="B44" s="100">
        <v>8180</v>
      </c>
      <c r="C44" s="101" t="s">
        <v>18</v>
      </c>
      <c r="D44" s="100">
        <v>8128</v>
      </c>
      <c r="E44" s="102">
        <f t="shared" si="12"/>
        <v>-6.3569682151589646E-3</v>
      </c>
      <c r="F44" s="100">
        <v>7125</v>
      </c>
      <c r="G44" s="102">
        <f t="shared" si="12"/>
        <v>-0.12340059055118113</v>
      </c>
      <c r="H44" s="100">
        <v>7471</v>
      </c>
      <c r="I44" s="102">
        <f t="shared" si="12"/>
        <v>4.8561403508772027E-2</v>
      </c>
      <c r="J44" s="103">
        <v>7449</v>
      </c>
      <c r="K44" s="102">
        <f t="shared" si="12"/>
        <v>-2.9447195823851802E-3</v>
      </c>
      <c r="L44" s="103">
        <v>7266</v>
      </c>
      <c r="M44" s="102">
        <f t="shared" si="12"/>
        <v>-2.4567055980668551E-2</v>
      </c>
      <c r="N44" s="103">
        <v>7104</v>
      </c>
      <c r="O44" s="53">
        <f t="shared" si="13"/>
        <v>-2.2295623451692781E-2</v>
      </c>
      <c r="P44" s="54">
        <v>7049</v>
      </c>
      <c r="Q44" s="53">
        <f t="shared" si="14"/>
        <v>-7.7421171171171421E-3</v>
      </c>
      <c r="R44" s="54">
        <v>6784</v>
      </c>
      <c r="S44" s="53">
        <f t="shared" si="14"/>
        <v>-3.7593984962406068E-2</v>
      </c>
      <c r="T44" s="54">
        <v>6356</v>
      </c>
      <c r="U44" s="53">
        <f t="shared" si="14"/>
        <v>-6.3089622641509413E-2</v>
      </c>
      <c r="V44" s="54">
        <v>6021</v>
      </c>
      <c r="W44" s="53">
        <f t="shared" si="14"/>
        <v>-5.2706104468218995E-2</v>
      </c>
      <c r="X44" s="104">
        <v>5911</v>
      </c>
      <c r="Y44" s="105">
        <f t="shared" si="30"/>
        <v>-1.8269390466699842E-2</v>
      </c>
      <c r="Z44" s="54">
        <v>6167</v>
      </c>
      <c r="AA44" s="105">
        <f t="shared" si="15"/>
        <v>4.3309084757232386E-2</v>
      </c>
      <c r="AB44" s="98">
        <v>6806.7</v>
      </c>
      <c r="AC44" s="106">
        <f t="shared" si="16"/>
        <v>0.10372952813361436</v>
      </c>
      <c r="AD44" s="99">
        <v>6750</v>
      </c>
      <c r="AE44" s="107">
        <f t="shared" si="0"/>
        <v>-8.3300277667591738E-3</v>
      </c>
      <c r="AF44" s="99">
        <v>6427</v>
      </c>
      <c r="AG44" s="105">
        <f t="shared" si="1"/>
        <v>-4.7851851851851812E-2</v>
      </c>
      <c r="AH44" s="113">
        <v>6281</v>
      </c>
      <c r="AI44" s="117">
        <f t="shared" si="2"/>
        <v>-2.2716664073440196E-2</v>
      </c>
      <c r="AJ44" s="99">
        <v>6230</v>
      </c>
      <c r="AK44" s="115">
        <f t="shared" si="3"/>
        <v>-8.1197261582550695E-3</v>
      </c>
      <c r="AL44">
        <v>5895</v>
      </c>
      <c r="AM44" s="13">
        <f t="shared" si="4"/>
        <v>-5.3772070626003199E-2</v>
      </c>
      <c r="AN44" s="1">
        <v>6071.85</v>
      </c>
      <c r="AO44" s="13">
        <f t="shared" si="17"/>
        <v>3.0000000000000027E-2</v>
      </c>
      <c r="AP44">
        <v>5722</v>
      </c>
      <c r="AQ44" s="13">
        <f t="shared" si="18"/>
        <v>-5.7618353549577228E-2</v>
      </c>
      <c r="AR44" s="1">
        <v>5276</v>
      </c>
      <c r="AS44" s="13">
        <f t="shared" si="19"/>
        <v>-7.794477455435167E-2</v>
      </c>
      <c r="AT44">
        <v>5051</v>
      </c>
      <c r="AU44" s="13">
        <f t="shared" si="5"/>
        <v>-4.264594389689158E-2</v>
      </c>
      <c r="AV44" s="99">
        <v>4645</v>
      </c>
      <c r="AW44" s="109">
        <f t="shared" si="6"/>
        <v>-8.0380122747970684E-2</v>
      </c>
      <c r="AX44" s="99">
        <v>4969</v>
      </c>
      <c r="AY44" s="13">
        <f t="shared" si="7"/>
        <v>6.9752421959095701E-2</v>
      </c>
      <c r="AZ44" s="99">
        <v>4989</v>
      </c>
      <c r="BA44" s="13">
        <f t="shared" si="8"/>
        <v>4.0249547192594548E-3</v>
      </c>
      <c r="BB44" s="99">
        <v>4684</v>
      </c>
      <c r="BC44" s="13">
        <f t="shared" si="9"/>
        <v>-6.1134495890960094E-2</v>
      </c>
      <c r="BD44" s="99">
        <v>5078</v>
      </c>
      <c r="BE44" s="13">
        <f t="shared" si="10"/>
        <v>8.4116140051238242E-2</v>
      </c>
      <c r="BF44" s="54">
        <v>5504</v>
      </c>
      <c r="BG44" s="13">
        <f t="shared" si="11"/>
        <v>8.3891295785742503E-2</v>
      </c>
      <c r="BH44" s="54">
        <v>5763</v>
      </c>
      <c r="BI44" s="13">
        <f t="shared" si="20"/>
        <v>4.7056686046511587E-2</v>
      </c>
      <c r="BJ44">
        <v>5700</v>
      </c>
      <c r="BK44" s="13">
        <f t="shared" si="21"/>
        <v>-1.0931806350858886E-2</v>
      </c>
      <c r="BL44">
        <v>6098</v>
      </c>
      <c r="BM44" s="13">
        <f t="shared" si="22"/>
        <v>6.9824561403508678E-2</v>
      </c>
      <c r="BN44">
        <v>6450</v>
      </c>
      <c r="BO44" s="13">
        <f t="shared" si="23"/>
        <v>5.7723843883240367E-2</v>
      </c>
      <c r="BP44">
        <v>6518</v>
      </c>
      <c r="BQ44" s="13">
        <f t="shared" si="24"/>
        <v>1.0542635658914667E-2</v>
      </c>
      <c r="BR44">
        <v>6326</v>
      </c>
      <c r="BS44" s="13">
        <f t="shared" si="25"/>
        <v>-2.9456888616139931E-2</v>
      </c>
      <c r="BT44">
        <v>6012</v>
      </c>
      <c r="BU44" s="20">
        <f t="shared" si="26"/>
        <v>-4.9636421119190643E-2</v>
      </c>
      <c r="BV44">
        <v>6277</v>
      </c>
      <c r="BW44" s="20">
        <f t="shared" si="27"/>
        <v>4.4078509647371922E-2</v>
      </c>
      <c r="BX44">
        <v>6617</v>
      </c>
      <c r="BY44" s="20">
        <f t="shared" si="28"/>
        <v>5.4166002867611862E-2</v>
      </c>
      <c r="BZ44">
        <v>6266</v>
      </c>
      <c r="CA44" s="20">
        <f t="shared" si="29"/>
        <v>-5.3045186640471531E-2</v>
      </c>
    </row>
    <row r="45" spans="1:79" x14ac:dyDescent="0.3">
      <c r="A45" s="92" t="s">
        <v>15</v>
      </c>
      <c r="B45" s="100">
        <v>5183</v>
      </c>
      <c r="C45" s="101" t="s">
        <v>18</v>
      </c>
      <c r="D45" s="100">
        <v>5066</v>
      </c>
      <c r="E45" s="102">
        <f t="shared" si="12"/>
        <v>-2.2573798958132385E-2</v>
      </c>
      <c r="F45" s="100">
        <v>3358</v>
      </c>
      <c r="G45" s="102">
        <f t="shared" si="12"/>
        <v>-0.33714962495065137</v>
      </c>
      <c r="H45" s="100">
        <v>3793</v>
      </c>
      <c r="I45" s="102">
        <f t="shared" si="12"/>
        <v>0.12954139368671824</v>
      </c>
      <c r="J45" s="103">
        <v>4640</v>
      </c>
      <c r="K45" s="102">
        <f t="shared" si="12"/>
        <v>0.22330609016609548</v>
      </c>
      <c r="L45" s="103">
        <v>4622</v>
      </c>
      <c r="M45" s="102">
        <f t="shared" si="12"/>
        <v>-3.8793103448275801E-3</v>
      </c>
      <c r="N45" s="103">
        <v>4602</v>
      </c>
      <c r="O45" s="53">
        <f t="shared" si="13"/>
        <v>-4.3271311120727241E-3</v>
      </c>
      <c r="P45" s="54">
        <v>4600</v>
      </c>
      <c r="Q45" s="53">
        <f t="shared" si="14"/>
        <v>-4.3459365493259128E-4</v>
      </c>
      <c r="R45" s="54">
        <v>4215</v>
      </c>
      <c r="S45" s="53">
        <f t="shared" si="14"/>
        <v>-8.369565217391306E-2</v>
      </c>
      <c r="T45" s="54">
        <v>3865</v>
      </c>
      <c r="U45" s="53">
        <f t="shared" si="14"/>
        <v>-8.3036773428232458E-2</v>
      </c>
      <c r="V45" s="54">
        <v>3549</v>
      </c>
      <c r="W45" s="53">
        <f t="shared" si="14"/>
        <v>-8.1759379042690816E-2</v>
      </c>
      <c r="X45" s="104">
        <v>3518</v>
      </c>
      <c r="Y45" s="105">
        <f t="shared" si="30"/>
        <v>-8.7348548887010713E-3</v>
      </c>
      <c r="Z45" s="54">
        <v>3842</v>
      </c>
      <c r="AA45" s="105">
        <f t="shared" si="15"/>
        <v>9.2097782831153996E-2</v>
      </c>
      <c r="AB45" s="98">
        <v>4237.5200000000004</v>
      </c>
      <c r="AC45" s="106">
        <f t="shared" si="16"/>
        <v>0.10294638209266016</v>
      </c>
      <c r="AD45" s="99">
        <v>4121</v>
      </c>
      <c r="AE45" s="107">
        <f t="shared" si="0"/>
        <v>-2.7497215352376037E-2</v>
      </c>
      <c r="AF45" s="99">
        <v>4149</v>
      </c>
      <c r="AG45" s="105">
        <f t="shared" si="1"/>
        <v>6.7944673622906127E-3</v>
      </c>
      <c r="AH45" s="113">
        <v>4061</v>
      </c>
      <c r="AI45" s="117">
        <f t="shared" si="2"/>
        <v>-2.1209930103639474E-2</v>
      </c>
      <c r="AJ45" s="99">
        <v>4012</v>
      </c>
      <c r="AK45" s="115">
        <f t="shared" si="3"/>
        <v>-1.2065993597636049E-2</v>
      </c>
      <c r="AL45">
        <v>3774</v>
      </c>
      <c r="AM45" s="13">
        <f t="shared" si="4"/>
        <v>-5.9322033898305038E-2</v>
      </c>
      <c r="AN45" s="1">
        <v>3827</v>
      </c>
      <c r="AO45" s="13">
        <f t="shared" si="17"/>
        <v>1.4043455219925782E-2</v>
      </c>
      <c r="AP45">
        <v>4050</v>
      </c>
      <c r="AQ45" s="13">
        <f t="shared" si="18"/>
        <v>5.8270185523909168E-2</v>
      </c>
      <c r="AR45" s="1">
        <v>3936</v>
      </c>
      <c r="AS45" s="13">
        <f t="shared" si="19"/>
        <v>-2.8148148148148144E-2</v>
      </c>
      <c r="AT45">
        <v>3787</v>
      </c>
      <c r="AU45" s="13">
        <f t="shared" si="5"/>
        <v>-3.7855691056910556E-2</v>
      </c>
      <c r="AV45" s="99">
        <v>3421</v>
      </c>
      <c r="AW45" s="109">
        <f t="shared" si="6"/>
        <v>-9.6646421969897034E-2</v>
      </c>
      <c r="AX45" s="99">
        <v>3763</v>
      </c>
      <c r="AY45" s="13">
        <f t="shared" si="7"/>
        <v>9.9970768781058261E-2</v>
      </c>
      <c r="AZ45" s="99">
        <v>3548</v>
      </c>
      <c r="BA45" s="13">
        <f t="shared" si="8"/>
        <v>-5.7135264416688814E-2</v>
      </c>
      <c r="BB45" s="99">
        <v>3190</v>
      </c>
      <c r="BC45" s="13">
        <f t="shared" si="9"/>
        <v>-0.10090191657271708</v>
      </c>
      <c r="BD45" s="99">
        <v>3566</v>
      </c>
      <c r="BE45" s="13">
        <f t="shared" si="10"/>
        <v>0.11786833855799372</v>
      </c>
      <c r="BF45" s="54">
        <v>4048</v>
      </c>
      <c r="BG45" s="13">
        <f t="shared" si="11"/>
        <v>0.13516545148625903</v>
      </c>
      <c r="BH45" s="54">
        <v>4381</v>
      </c>
      <c r="BI45" s="13">
        <f t="shared" si="20"/>
        <v>8.2262845849802479E-2</v>
      </c>
      <c r="BJ45">
        <v>4489</v>
      </c>
      <c r="BK45" s="13">
        <f t="shared" si="21"/>
        <v>2.4651905957543851E-2</v>
      </c>
      <c r="BL45">
        <v>4962</v>
      </c>
      <c r="BM45" s="13">
        <f t="shared" si="22"/>
        <v>0.10536867899309432</v>
      </c>
      <c r="BN45">
        <v>5129</v>
      </c>
      <c r="BO45" s="13">
        <f t="shared" si="23"/>
        <v>3.3655783958081331E-2</v>
      </c>
      <c r="BP45">
        <v>5121</v>
      </c>
      <c r="BQ45" s="13">
        <f t="shared" si="24"/>
        <v>-1.5597582374732299E-3</v>
      </c>
      <c r="BR45">
        <v>4901</v>
      </c>
      <c r="BS45" s="13">
        <f t="shared" si="25"/>
        <v>-4.2960359304823226E-2</v>
      </c>
      <c r="BT45">
        <v>4681</v>
      </c>
      <c r="BU45" s="20">
        <f t="shared" si="26"/>
        <v>-4.4888798204448022E-2</v>
      </c>
      <c r="BV45">
        <v>5084</v>
      </c>
      <c r="BW45" s="20">
        <f t="shared" si="27"/>
        <v>8.6092715231788075E-2</v>
      </c>
      <c r="BX45">
        <v>5343</v>
      </c>
      <c r="BY45" s="20">
        <f t="shared" si="28"/>
        <v>5.0944138473642875E-2</v>
      </c>
      <c r="BZ45">
        <v>5061</v>
      </c>
      <c r="CA45" s="20">
        <f t="shared" si="29"/>
        <v>-5.2779337450870267E-2</v>
      </c>
    </row>
    <row r="46" spans="1:79" x14ac:dyDescent="0.3">
      <c r="A46" s="92" t="s">
        <v>16</v>
      </c>
      <c r="B46" s="100">
        <v>5809</v>
      </c>
      <c r="C46" s="101" t="s">
        <v>18</v>
      </c>
      <c r="D46" s="100">
        <v>5714</v>
      </c>
      <c r="E46" s="102">
        <f t="shared" si="12"/>
        <v>-1.6353933551385813E-2</v>
      </c>
      <c r="F46" s="100">
        <v>3932</v>
      </c>
      <c r="G46" s="102">
        <f t="shared" si="12"/>
        <v>-0.31186559327966401</v>
      </c>
      <c r="H46" s="100">
        <v>4502</v>
      </c>
      <c r="I46" s="102">
        <f t="shared" si="12"/>
        <v>0.14496439471007116</v>
      </c>
      <c r="J46" s="103">
        <v>5189</v>
      </c>
      <c r="K46" s="102">
        <f t="shared" si="12"/>
        <v>0.15259884495779663</v>
      </c>
      <c r="L46" s="103">
        <v>5336</v>
      </c>
      <c r="M46" s="102">
        <f t="shared" si="12"/>
        <v>2.8329157833879348E-2</v>
      </c>
      <c r="N46" s="103">
        <v>5215</v>
      </c>
      <c r="O46" s="53">
        <f t="shared" si="13"/>
        <v>-2.2676161919040427E-2</v>
      </c>
      <c r="P46" s="54">
        <v>4872</v>
      </c>
      <c r="Q46" s="53">
        <f t="shared" si="14"/>
        <v>-6.5771812080536951E-2</v>
      </c>
      <c r="R46" s="54">
        <v>4439</v>
      </c>
      <c r="S46" s="53">
        <f t="shared" si="14"/>
        <v>-8.8875205254515643E-2</v>
      </c>
      <c r="T46" s="54">
        <v>4055</v>
      </c>
      <c r="U46" s="53">
        <f t="shared" si="14"/>
        <v>-8.6505969813020944E-2</v>
      </c>
      <c r="V46" s="54">
        <v>3613</v>
      </c>
      <c r="W46" s="53">
        <f t="shared" si="14"/>
        <v>-0.1090012330456227</v>
      </c>
      <c r="X46" s="104">
        <v>3637</v>
      </c>
      <c r="Y46" s="105">
        <f t="shared" si="30"/>
        <v>6.642679213949565E-3</v>
      </c>
      <c r="Z46" s="54">
        <v>4153</v>
      </c>
      <c r="AA46" s="105">
        <f t="shared" si="15"/>
        <v>0.14187517184492715</v>
      </c>
      <c r="AB46" s="98">
        <v>4542.12</v>
      </c>
      <c r="AC46" s="106">
        <f t="shared" si="16"/>
        <v>9.3696123284372712E-2</v>
      </c>
      <c r="AD46" s="99">
        <v>4442</v>
      </c>
      <c r="AE46" s="107">
        <f t="shared" si="0"/>
        <v>-2.2042570429667174E-2</v>
      </c>
      <c r="AF46" s="99">
        <v>4379</v>
      </c>
      <c r="AG46" s="105">
        <f t="shared" si="1"/>
        <v>-1.4182800540297191E-2</v>
      </c>
      <c r="AH46" s="113">
        <v>4293</v>
      </c>
      <c r="AI46" s="117">
        <f t="shared" si="2"/>
        <v>-1.9639187029002025E-2</v>
      </c>
      <c r="AJ46" s="99">
        <v>4190</v>
      </c>
      <c r="AK46" s="115">
        <f t="shared" si="3"/>
        <v>-2.3992546005124571E-2</v>
      </c>
      <c r="AL46">
        <v>3973</v>
      </c>
      <c r="AM46" s="13">
        <f t="shared" si="4"/>
        <v>-5.178997613365155E-2</v>
      </c>
      <c r="AN46" s="1">
        <v>4204</v>
      </c>
      <c r="AO46" s="13">
        <f t="shared" si="17"/>
        <v>5.8142461615907415E-2</v>
      </c>
      <c r="AP46">
        <v>4348</v>
      </c>
      <c r="AQ46" s="13">
        <f t="shared" si="18"/>
        <v>3.4253092293054177E-2</v>
      </c>
      <c r="AR46" s="1">
        <v>4211</v>
      </c>
      <c r="AS46" s="13">
        <f t="shared" si="19"/>
        <v>-3.1508739650414008E-2</v>
      </c>
      <c r="AT46">
        <v>4120</v>
      </c>
      <c r="AU46" s="13">
        <f t="shared" si="5"/>
        <v>-2.1610068867252474E-2</v>
      </c>
      <c r="AV46" s="99">
        <v>3707</v>
      </c>
      <c r="AW46" s="109">
        <f t="shared" si="6"/>
        <v>-0.10024271844660193</v>
      </c>
      <c r="AX46" s="99">
        <v>3960</v>
      </c>
      <c r="AY46" s="13">
        <f t="shared" si="7"/>
        <v>6.8249258160237414E-2</v>
      </c>
      <c r="AZ46" s="99">
        <v>3645</v>
      </c>
      <c r="BA46" s="13">
        <f t="shared" si="8"/>
        <v>-7.9545454545454586E-2</v>
      </c>
      <c r="BB46" s="99">
        <v>3243</v>
      </c>
      <c r="BC46" s="13">
        <f t="shared" si="9"/>
        <v>-0.11028806584362139</v>
      </c>
      <c r="BD46" s="99">
        <v>3657</v>
      </c>
      <c r="BE46" s="13">
        <f t="shared" si="10"/>
        <v>0.12765957446808507</v>
      </c>
      <c r="BF46" s="54">
        <v>4314</v>
      </c>
      <c r="BG46" s="13">
        <f t="shared" si="11"/>
        <v>0.1796554552912224</v>
      </c>
      <c r="BH46" s="54">
        <v>4756</v>
      </c>
      <c r="BI46" s="13">
        <f t="shared" si="20"/>
        <v>0.10245711636532229</v>
      </c>
      <c r="BJ46">
        <v>4923</v>
      </c>
      <c r="BK46" s="13">
        <f t="shared" si="21"/>
        <v>3.5113540790580267E-2</v>
      </c>
      <c r="BL46">
        <v>5460</v>
      </c>
      <c r="BM46" s="13">
        <f t="shared" si="22"/>
        <v>0.10907982937233385</v>
      </c>
      <c r="BN46">
        <v>5771</v>
      </c>
      <c r="BO46" s="13">
        <f t="shared" si="23"/>
        <v>5.6959706959706979E-2</v>
      </c>
      <c r="BP46">
        <v>5673</v>
      </c>
      <c r="BQ46" s="13">
        <f t="shared" si="24"/>
        <v>-1.6981459019234091E-2</v>
      </c>
      <c r="BR46">
        <v>5370</v>
      </c>
      <c r="BS46" s="13">
        <f t="shared" si="25"/>
        <v>-5.3410893707033336E-2</v>
      </c>
      <c r="BT46">
        <v>5119</v>
      </c>
      <c r="BU46" s="20">
        <f t="shared" si="26"/>
        <v>-4.6741154562383591E-2</v>
      </c>
      <c r="BV46">
        <v>5405</v>
      </c>
      <c r="BW46" s="20">
        <f t="shared" si="27"/>
        <v>5.587028716546194E-2</v>
      </c>
      <c r="BX46">
        <v>5717</v>
      </c>
      <c r="BY46" s="20">
        <f t="shared" si="28"/>
        <v>5.7724329324699397E-2</v>
      </c>
      <c r="BZ46">
        <v>5388</v>
      </c>
      <c r="CA46" s="20">
        <f t="shared" si="29"/>
        <v>-5.7547664859191938E-2</v>
      </c>
    </row>
    <row r="47" spans="1:79" x14ac:dyDescent="0.3">
      <c r="A47" s="92" t="s">
        <v>17</v>
      </c>
      <c r="B47" s="100">
        <v>5316</v>
      </c>
      <c r="C47" s="101" t="s">
        <v>18</v>
      </c>
      <c r="D47" s="100">
        <v>5279</v>
      </c>
      <c r="E47" s="102">
        <f t="shared" si="12"/>
        <v>-6.9601203912715848E-3</v>
      </c>
      <c r="F47" s="100">
        <v>3709</v>
      </c>
      <c r="G47" s="102">
        <f t="shared" si="12"/>
        <v>-0.29740481151733278</v>
      </c>
      <c r="H47" s="100">
        <v>4080</v>
      </c>
      <c r="I47" s="102">
        <f t="shared" si="12"/>
        <v>0.10002696144513346</v>
      </c>
      <c r="J47" s="103">
        <v>4808</v>
      </c>
      <c r="K47" s="102">
        <f t="shared" si="12"/>
        <v>0.17843137254901964</v>
      </c>
      <c r="L47" s="103">
        <v>4750</v>
      </c>
      <c r="M47" s="102">
        <f t="shared" si="12"/>
        <v>-1.2063227953410971E-2</v>
      </c>
      <c r="N47" s="103">
        <v>4644</v>
      </c>
      <c r="O47" s="53">
        <f t="shared" si="13"/>
        <v>-2.2315789473684178E-2</v>
      </c>
      <c r="P47" s="54">
        <v>4584</v>
      </c>
      <c r="Q47" s="53">
        <f t="shared" si="14"/>
        <v>-1.2919896640826822E-2</v>
      </c>
      <c r="R47" s="54">
        <v>4262</v>
      </c>
      <c r="S47" s="53">
        <f t="shared" si="14"/>
        <v>-7.024432809773129E-2</v>
      </c>
      <c r="T47" s="54">
        <v>3817</v>
      </c>
      <c r="U47" s="53">
        <f t="shared" si="14"/>
        <v>-0.10441107461285781</v>
      </c>
      <c r="V47" s="54">
        <v>3383</v>
      </c>
      <c r="W47" s="53">
        <f t="shared" si="14"/>
        <v>-0.11370186009955463</v>
      </c>
      <c r="X47" s="104">
        <v>3273</v>
      </c>
      <c r="Y47" s="105">
        <f t="shared" si="30"/>
        <v>-3.2515518770322216E-2</v>
      </c>
      <c r="Z47" s="54">
        <v>3613</v>
      </c>
      <c r="AA47" s="105">
        <f t="shared" si="15"/>
        <v>0.10388023220287201</v>
      </c>
      <c r="AB47" s="98">
        <v>4056.3</v>
      </c>
      <c r="AC47" s="106">
        <f t="shared" si="16"/>
        <v>0.12269582064766138</v>
      </c>
      <c r="AD47" s="99">
        <v>4012</v>
      </c>
      <c r="AE47" s="107">
        <f t="shared" si="0"/>
        <v>-1.092128294258321E-2</v>
      </c>
      <c r="AF47" s="99">
        <v>4106</v>
      </c>
      <c r="AG47" s="105">
        <f t="shared" si="1"/>
        <v>2.3429710867397757E-2</v>
      </c>
      <c r="AH47" s="113">
        <v>4265</v>
      </c>
      <c r="AI47" s="117">
        <f t="shared" si="2"/>
        <v>3.8723818801753573E-2</v>
      </c>
      <c r="AJ47" s="99">
        <v>4278</v>
      </c>
      <c r="AK47" s="115">
        <f t="shared" si="3"/>
        <v>3.04806565064486E-3</v>
      </c>
      <c r="AL47">
        <v>4053</v>
      </c>
      <c r="AM47" s="13">
        <f t="shared" si="4"/>
        <v>-5.2594670406732158E-2</v>
      </c>
      <c r="AN47" s="1">
        <v>4134.0600000000004</v>
      </c>
      <c r="AO47" s="13">
        <f t="shared" si="17"/>
        <v>2.0000000000000018E-2</v>
      </c>
      <c r="AP47">
        <v>4258</v>
      </c>
      <c r="AQ47" s="13">
        <f t="shared" si="18"/>
        <v>2.998021315607402E-2</v>
      </c>
      <c r="AR47" s="1">
        <v>3965</v>
      </c>
      <c r="AS47" s="13">
        <f t="shared" si="19"/>
        <v>-6.8811648661343372E-2</v>
      </c>
      <c r="AT47">
        <v>3864</v>
      </c>
      <c r="AU47" s="13">
        <f t="shared" si="5"/>
        <v>-2.5472887767969743E-2</v>
      </c>
      <c r="AV47" s="99">
        <v>3497</v>
      </c>
      <c r="AW47" s="109">
        <f t="shared" si="6"/>
        <v>-9.497929606625255E-2</v>
      </c>
      <c r="AX47" s="99">
        <v>4004</v>
      </c>
      <c r="AY47" s="13">
        <f t="shared" si="7"/>
        <v>0.14498141263940512</v>
      </c>
      <c r="AZ47" s="99">
        <v>3818</v>
      </c>
      <c r="BA47" s="13">
        <f t="shared" si="8"/>
        <v>-4.645354645354649E-2</v>
      </c>
      <c r="BB47" s="99">
        <v>3297</v>
      </c>
      <c r="BC47" s="13">
        <f t="shared" si="9"/>
        <v>-0.13645887899423781</v>
      </c>
      <c r="BD47" s="99">
        <v>3710</v>
      </c>
      <c r="BE47" s="13">
        <f t="shared" si="10"/>
        <v>0.12526539278131632</v>
      </c>
      <c r="BF47" s="54">
        <v>4269</v>
      </c>
      <c r="BG47" s="13">
        <f t="shared" si="11"/>
        <v>0.1506738544474393</v>
      </c>
      <c r="BH47" s="54">
        <v>4581</v>
      </c>
      <c r="BI47" s="13">
        <f t="shared" si="20"/>
        <v>7.3085031623330909E-2</v>
      </c>
      <c r="BJ47">
        <v>4833</v>
      </c>
      <c r="BK47" s="13">
        <f t="shared" si="21"/>
        <v>5.5009823182711193E-2</v>
      </c>
      <c r="BL47">
        <v>5354</v>
      </c>
      <c r="BM47" s="13">
        <f t="shared" si="22"/>
        <v>0.10780053796813571</v>
      </c>
      <c r="BN47">
        <v>5459</v>
      </c>
      <c r="BO47" s="13">
        <f t="shared" si="23"/>
        <v>1.961150541651091E-2</v>
      </c>
      <c r="BP47">
        <v>5331</v>
      </c>
      <c r="BQ47" s="13">
        <f t="shared" si="24"/>
        <v>-2.3447517860413991E-2</v>
      </c>
      <c r="BR47">
        <v>5019</v>
      </c>
      <c r="BS47" s="13">
        <f t="shared" si="25"/>
        <v>-5.8525604952166521E-2</v>
      </c>
      <c r="BT47">
        <v>4865</v>
      </c>
      <c r="BU47" s="20">
        <f t="shared" si="26"/>
        <v>-3.0683403068340276E-2</v>
      </c>
      <c r="BV47">
        <v>5112</v>
      </c>
      <c r="BW47" s="20">
        <f t="shared" si="27"/>
        <v>5.0770811921891035E-2</v>
      </c>
      <c r="BX47">
        <v>5483</v>
      </c>
      <c r="BY47" s="20">
        <f t="shared" si="28"/>
        <v>7.2574334898278581E-2</v>
      </c>
      <c r="BZ47">
        <v>5270</v>
      </c>
      <c r="CA47" s="20">
        <f t="shared" si="29"/>
        <v>-3.8847346343242717E-2</v>
      </c>
    </row>
    <row r="48" spans="1:79" x14ac:dyDescent="0.3">
      <c r="A48" s="132" t="s">
        <v>175</v>
      </c>
      <c r="B48" s="18"/>
      <c r="C48" s="19"/>
      <c r="D48" s="18"/>
      <c r="E48" s="20"/>
      <c r="F48" s="18"/>
      <c r="G48" s="20"/>
      <c r="H48" s="18"/>
      <c r="I48" s="20"/>
      <c r="J48" s="21"/>
      <c r="K48" s="20"/>
      <c r="L48" s="21"/>
      <c r="M48" s="20"/>
      <c r="N48" s="21"/>
      <c r="O48" s="16"/>
      <c r="Q48" s="16"/>
      <c r="S48" s="16"/>
      <c r="U48" s="16"/>
      <c r="W48" s="16"/>
      <c r="X48" s="139"/>
      <c r="Y48" s="109"/>
      <c r="AA48" s="109"/>
      <c r="AB48" s="35"/>
      <c r="AC48" s="140"/>
      <c r="AD48" s="61"/>
      <c r="AE48" s="141"/>
      <c r="AF48" s="61"/>
      <c r="AG48" s="109"/>
      <c r="AH48" s="142"/>
      <c r="AI48" s="143"/>
      <c r="AJ48" s="61"/>
      <c r="AK48" s="144"/>
      <c r="AM48" s="13"/>
      <c r="AN48">
        <v>442</v>
      </c>
      <c r="AO48" s="1"/>
      <c r="AP48">
        <v>467</v>
      </c>
      <c r="AR48" s="1">
        <v>455</v>
      </c>
      <c r="AS48" s="13">
        <f t="shared" si="19"/>
        <v>-2.5695931477516032E-2</v>
      </c>
      <c r="AU48" s="13"/>
      <c r="AV48" s="99">
        <v>458</v>
      </c>
      <c r="AW48" s="109"/>
      <c r="AX48" s="99">
        <v>518</v>
      </c>
      <c r="AY48" s="13">
        <f t="shared" si="7"/>
        <v>0.13100436681222716</v>
      </c>
      <c r="AZ48" s="99">
        <v>542</v>
      </c>
      <c r="BA48" s="13">
        <f t="shared" si="8"/>
        <v>4.6332046332046239E-2</v>
      </c>
      <c r="BB48" s="99">
        <v>494</v>
      </c>
      <c r="BC48" s="13">
        <f t="shared" si="9"/>
        <v>-8.856088560885611E-2</v>
      </c>
      <c r="BD48" s="99">
        <v>501</v>
      </c>
      <c r="BE48" s="13">
        <f t="shared" si="10"/>
        <v>1.4170040485830038E-2</v>
      </c>
      <c r="BF48" s="54">
        <v>605</v>
      </c>
      <c r="BG48" s="13">
        <f>BF48/BD48-1</f>
        <v>0.20758483033932129</v>
      </c>
      <c r="BH48" s="54">
        <v>664</v>
      </c>
      <c r="BI48" s="13">
        <f>BH48/BF48-1</f>
        <v>9.7520661157024735E-2</v>
      </c>
      <c r="BJ48">
        <v>703</v>
      </c>
      <c r="BK48" s="13">
        <f t="shared" si="21"/>
        <v>5.8734939759036209E-2</v>
      </c>
      <c r="BL48">
        <v>752</v>
      </c>
      <c r="BM48" s="13">
        <f t="shared" si="22"/>
        <v>6.970128022759603E-2</v>
      </c>
      <c r="BN48">
        <v>772</v>
      </c>
      <c r="BO48" s="13">
        <f t="shared" si="23"/>
        <v>2.659574468085113E-2</v>
      </c>
      <c r="BP48">
        <v>739</v>
      </c>
      <c r="BQ48" s="13">
        <f t="shared" si="24"/>
        <v>-4.2746113989637347E-2</v>
      </c>
      <c r="BR48">
        <v>691</v>
      </c>
      <c r="BS48" s="13">
        <f t="shared" si="25"/>
        <v>-6.4952638700947252E-2</v>
      </c>
      <c r="BT48">
        <v>686</v>
      </c>
      <c r="BU48" s="20">
        <f t="shared" si="26"/>
        <v>-7.2358900144717797E-3</v>
      </c>
      <c r="BV48">
        <v>737</v>
      </c>
      <c r="BW48" s="20">
        <f t="shared" si="27"/>
        <v>7.4344023323615227E-2</v>
      </c>
      <c r="BX48">
        <v>755</v>
      </c>
      <c r="BY48" s="20">
        <f t="shared" si="28"/>
        <v>2.4423337856173788E-2</v>
      </c>
      <c r="BZ48">
        <v>697</v>
      </c>
      <c r="CA48" s="20">
        <f t="shared" si="29"/>
        <v>-7.6821192052980103E-2</v>
      </c>
    </row>
    <row r="49" spans="1:88" x14ac:dyDescent="0.3">
      <c r="B49" s="18">
        <f>SUM(B37:B47)</f>
        <v>51138</v>
      </c>
      <c r="C49" s="18">
        <f t="shared" ref="C49:AJ49" si="31">SUM(C37:C47)</f>
        <v>0</v>
      </c>
      <c r="D49" s="18">
        <f t="shared" si="31"/>
        <v>49623</v>
      </c>
      <c r="E49" s="18">
        <f t="shared" si="31"/>
        <v>-0.51750537923077944</v>
      </c>
      <c r="F49" s="18">
        <f t="shared" si="31"/>
        <v>35935</v>
      </c>
      <c r="G49" s="18">
        <f t="shared" si="31"/>
        <v>-3.1716175249212939</v>
      </c>
      <c r="H49" s="18">
        <f t="shared" si="31"/>
        <v>40051</v>
      </c>
      <c r="I49" s="18">
        <f t="shared" si="31"/>
        <v>1.3332512197494351</v>
      </c>
      <c r="J49" s="18">
        <f t="shared" si="31"/>
        <v>45138</v>
      </c>
      <c r="K49" s="18">
        <f t="shared" si="31"/>
        <v>1.6633072737035883</v>
      </c>
      <c r="L49" s="18">
        <f t="shared" si="31"/>
        <v>44816</v>
      </c>
      <c r="M49" s="18">
        <f t="shared" si="31"/>
        <v>-3.2461657948785749E-3</v>
      </c>
      <c r="N49" s="18">
        <f t="shared" si="31"/>
        <v>43874</v>
      </c>
      <c r="O49" s="18">
        <f t="shared" si="31"/>
        <v>-0.24520415458547407</v>
      </c>
      <c r="P49" s="18">
        <f t="shared" si="31"/>
        <v>42617</v>
      </c>
      <c r="Q49" s="18">
        <f t="shared" si="31"/>
        <v>-0.28771014170037423</v>
      </c>
      <c r="R49" s="18">
        <f t="shared" si="31"/>
        <v>40044</v>
      </c>
      <c r="S49" s="18">
        <f t="shared" si="31"/>
        <v>-0.64699276004491546</v>
      </c>
      <c r="T49" s="18">
        <f t="shared" si="31"/>
        <v>36531</v>
      </c>
      <c r="U49" s="18">
        <f t="shared" si="31"/>
        <v>-1.0518011810760899</v>
      </c>
      <c r="V49" s="18">
        <f t="shared" si="31"/>
        <v>33045</v>
      </c>
      <c r="W49" s="18" t="e">
        <f t="shared" si="31"/>
        <v>#VALUE!</v>
      </c>
      <c r="X49" s="18">
        <f t="shared" si="31"/>
        <v>33696</v>
      </c>
      <c r="Y49" s="18">
        <f t="shared" si="31"/>
        <v>1.4051127707588598</v>
      </c>
      <c r="Z49" s="18">
        <f t="shared" si="31"/>
        <v>36928</v>
      </c>
      <c r="AA49" s="18">
        <f t="shared" si="31"/>
        <v>1.0706138445821343</v>
      </c>
      <c r="AB49" s="18">
        <f t="shared" si="31"/>
        <v>40098.840000000004</v>
      </c>
      <c r="AC49" s="18">
        <f t="shared" si="31"/>
        <v>0.87037632677774335</v>
      </c>
      <c r="AD49" s="18">
        <f t="shared" si="31"/>
        <v>39674</v>
      </c>
      <c r="AE49" s="18">
        <f t="shared" si="31"/>
        <v>-6.6006881129411887E-2</v>
      </c>
      <c r="AF49" s="18">
        <f t="shared" si="31"/>
        <v>39139</v>
      </c>
      <c r="AG49" s="18">
        <f t="shared" si="31"/>
        <v>-8.1559150083237442E-2</v>
      </c>
      <c r="AH49" s="18">
        <f t="shared" si="31"/>
        <v>39250</v>
      </c>
      <c r="AI49" s="18">
        <f t="shared" si="31"/>
        <v>0.13489772832389035</v>
      </c>
      <c r="AJ49" s="18">
        <f t="shared" si="31"/>
        <v>38946</v>
      </c>
      <c r="AL49">
        <f>SUM(AL37:AL47)</f>
        <v>37677</v>
      </c>
      <c r="AN49" s="35">
        <f>SUM(AN37:AN48)</f>
        <v>39371.869999999995</v>
      </c>
      <c r="AO49" s="35"/>
      <c r="AP49" s="35">
        <f t="shared" ref="AP49" si="32">SUM(AP37:AP48)</f>
        <v>40320</v>
      </c>
      <c r="AQ49" s="35"/>
      <c r="AR49" s="35">
        <f t="shared" ref="AR49" si="33">SUM(AR37:AR48)</f>
        <v>38654</v>
      </c>
      <c r="AS49" s="1"/>
      <c r="AT49">
        <f>SUM(AT37:AT47)</f>
        <v>36939</v>
      </c>
      <c r="AV49" s="35">
        <f>SUM(AV37:AV48)</f>
        <v>34055</v>
      </c>
      <c r="AX49" s="35">
        <f>SUM(AX37:AX48)</f>
        <v>37351</v>
      </c>
      <c r="AZ49" s="35">
        <f>SUM(AZ37:AZ48)</f>
        <v>35749</v>
      </c>
      <c r="BB49" s="35">
        <f>SUM(BB37:BB48)</f>
        <v>32227</v>
      </c>
      <c r="BC49" s="13">
        <f t="shared" si="9"/>
        <v>-9.8520238328344889E-2</v>
      </c>
      <c r="BD49" s="35">
        <f>SUM(BD37:BD48)</f>
        <v>35606</v>
      </c>
      <c r="BE49" s="13">
        <f t="shared" si="10"/>
        <v>0.10484997052161238</v>
      </c>
      <c r="BF49">
        <f>SUM(BF37:BF48)</f>
        <v>40367</v>
      </c>
      <c r="BG49" s="13">
        <f>BF49/BD49-1</f>
        <v>0.13371341908667089</v>
      </c>
      <c r="BH49">
        <f>SUM(BH37:BH48)</f>
        <v>43364</v>
      </c>
      <c r="BI49" s="13">
        <f>BH49/BF49-1</f>
        <v>7.4243813015582028E-2</v>
      </c>
      <c r="BJ49">
        <f>SUM(BJ37:BJ48)</f>
        <v>44486</v>
      </c>
      <c r="BK49" s="13">
        <f t="shared" si="21"/>
        <v>2.587399686375802E-2</v>
      </c>
      <c r="BL49">
        <f>SUM(BL37:BL48)</f>
        <v>49091</v>
      </c>
      <c r="BM49" s="13">
        <f t="shared" si="22"/>
        <v>0.10351571280852401</v>
      </c>
      <c r="BN49" s="148">
        <f>SUM(BN37:BN48)</f>
        <v>50851</v>
      </c>
      <c r="BO49" s="13">
        <f t="shared" si="23"/>
        <v>3.5851785459656504E-2</v>
      </c>
      <c r="BP49">
        <f>SUM(BP37:BP48)</f>
        <v>50186</v>
      </c>
      <c r="BQ49" s="13">
        <f t="shared" si="24"/>
        <v>-1.3077422272914974E-2</v>
      </c>
      <c r="BR49">
        <f>SUM(BR37:BR48)</f>
        <v>48354</v>
      </c>
      <c r="BS49" s="13">
        <f t="shared" si="25"/>
        <v>-3.6504204359781633E-2</v>
      </c>
      <c r="BT49" s="3">
        <f>SUM(BT37:BT48)</f>
        <v>46290</v>
      </c>
      <c r="BU49" s="13">
        <f>BT49/BR49-1</f>
        <v>-4.2685196674525416E-2</v>
      </c>
      <c r="BV49" s="3">
        <f>SUM(BV37:BV48)</f>
        <v>48705</v>
      </c>
      <c r="BW49" s="13">
        <f t="shared" si="27"/>
        <v>5.2171095268956469E-2</v>
      </c>
      <c r="BX49" s="3">
        <f>SUM(BX37:BX48)</f>
        <v>51354</v>
      </c>
      <c r="BY49" s="13">
        <f>BX49/BV49-1</f>
        <v>5.4388666461348878E-2</v>
      </c>
      <c r="BZ49" s="3">
        <f>SUM(BZ37:BZ48)</f>
        <v>48817</v>
      </c>
      <c r="CA49" s="13">
        <f t="shared" si="29"/>
        <v>-4.940218872921287E-2</v>
      </c>
    </row>
    <row r="50" spans="1:88" x14ac:dyDescent="0.3">
      <c r="A50" s="14"/>
      <c r="B50" s="82"/>
      <c r="C50" s="82"/>
      <c r="D50" s="82"/>
      <c r="E50" s="82"/>
      <c r="F50" s="82"/>
      <c r="G50" s="82"/>
      <c r="H50" s="82"/>
      <c r="I50" s="82"/>
      <c r="J50" s="82"/>
      <c r="K50" s="82"/>
      <c r="L50" s="82"/>
      <c r="M50" s="82"/>
      <c r="N50" s="82"/>
      <c r="O50" s="16"/>
      <c r="P50" s="5"/>
      <c r="Q50" s="5"/>
      <c r="T50" s="13"/>
      <c r="AB50" s="2"/>
      <c r="AJ50" s="2"/>
      <c r="AK50" s="1"/>
      <c r="AL50" s="1"/>
      <c r="AM50" s="1"/>
      <c r="AN50" s="1"/>
      <c r="AO50" s="1"/>
      <c r="AR50" s="35"/>
      <c r="AS50" s="35"/>
      <c r="BK50" s="77"/>
    </row>
    <row r="51" spans="1:88" x14ac:dyDescent="0.3">
      <c r="A51" s="14"/>
      <c r="B51" s="18"/>
      <c r="C51" s="18"/>
      <c r="D51" s="18"/>
      <c r="E51" s="18"/>
      <c r="F51" s="18"/>
      <c r="G51" s="18"/>
      <c r="H51" s="18"/>
      <c r="I51" s="18"/>
      <c r="J51" s="18"/>
      <c r="K51" s="18"/>
      <c r="L51" s="18"/>
      <c r="M51" s="18"/>
      <c r="N51" s="18"/>
      <c r="X51" s="2"/>
      <c r="Y51" s="1"/>
      <c r="Z51" s="1"/>
      <c r="AA51" s="1"/>
      <c r="AB51" s="1"/>
      <c r="AC51" s="1"/>
      <c r="AD51" s="13"/>
      <c r="AE51" s="1"/>
      <c r="BM51" s="148"/>
    </row>
    <row r="52" spans="1:88" x14ac:dyDescent="0.3">
      <c r="A52" s="14"/>
      <c r="B52" s="18"/>
      <c r="C52" s="19"/>
      <c r="D52" s="18"/>
      <c r="E52" s="20"/>
      <c r="F52" s="18"/>
      <c r="G52" s="20"/>
      <c r="H52" s="18"/>
      <c r="I52" s="20"/>
      <c r="J52" s="21"/>
      <c r="K52" s="20"/>
      <c r="L52" s="21"/>
      <c r="M52" s="20"/>
      <c r="N52" s="21"/>
      <c r="O52" s="16"/>
      <c r="P52" s="5"/>
      <c r="Q52" s="5"/>
      <c r="R52" s="34"/>
      <c r="U52" s="13"/>
      <c r="AK52" s="2"/>
      <c r="AL52" s="1"/>
      <c r="AM52" s="111"/>
      <c r="AP52" s="1"/>
      <c r="AQ52" s="1"/>
      <c r="AR52" s="1"/>
      <c r="AS52" s="1"/>
      <c r="AT52" s="1"/>
      <c r="AU52" s="1"/>
      <c r="BS52" s="35"/>
    </row>
    <row r="53" spans="1:88" x14ac:dyDescent="0.3">
      <c r="A53" s="5"/>
      <c r="B53" s="5"/>
      <c r="C53" s="5"/>
      <c r="D53" s="5"/>
      <c r="E53" s="5"/>
      <c r="F53" s="5"/>
      <c r="G53" s="5"/>
      <c r="H53" s="5"/>
      <c r="I53" s="5"/>
      <c r="J53" s="5"/>
      <c r="K53" s="5"/>
      <c r="L53" s="5"/>
      <c r="M53" s="5"/>
      <c r="N53" s="5"/>
      <c r="O53" s="5"/>
      <c r="P53" s="5"/>
      <c r="Q53" s="5"/>
      <c r="U53" s="13"/>
      <c r="AG53" s="110"/>
      <c r="AK53" s="2"/>
      <c r="AL53" s="1"/>
      <c r="AM53" s="1"/>
      <c r="AN53" s="1"/>
      <c r="AO53" s="1"/>
      <c r="AP53" s="1"/>
      <c r="AQ53" s="1"/>
      <c r="AR53" s="1"/>
      <c r="AS53" s="1"/>
      <c r="AT53" s="1"/>
      <c r="AU53" s="1"/>
    </row>
    <row r="54" spans="1:88" x14ac:dyDescent="0.3">
      <c r="A54" s="5"/>
      <c r="B54" s="5"/>
      <c r="C54" s="5"/>
      <c r="D54" s="5"/>
      <c r="E54" s="5"/>
      <c r="F54" s="5"/>
      <c r="G54" s="5"/>
      <c r="H54" s="5"/>
      <c r="I54" s="17"/>
      <c r="J54" s="5"/>
      <c r="K54" s="5"/>
      <c r="L54" s="5"/>
      <c r="M54" s="5"/>
      <c r="N54" s="5"/>
      <c r="O54" s="5"/>
      <c r="U54" s="13"/>
      <c r="V54" s="13"/>
      <c r="AG54" s="110"/>
    </row>
    <row r="55" spans="1:88" x14ac:dyDescent="0.3">
      <c r="A55" s="5"/>
      <c r="B55" s="5"/>
      <c r="C55" s="5"/>
      <c r="D55" s="5"/>
      <c r="E55" s="5"/>
      <c r="F55" s="5"/>
      <c r="G55" s="5"/>
      <c r="H55" s="5"/>
      <c r="I55" s="5"/>
      <c r="J55" s="5"/>
      <c r="K55" s="5"/>
      <c r="L55" s="5"/>
      <c r="M55" s="5"/>
      <c r="N55" s="5"/>
      <c r="O55" s="5"/>
      <c r="U55" s="13"/>
      <c r="AG55" s="110"/>
    </row>
    <row r="56" spans="1:88" x14ac:dyDescent="0.3">
      <c r="A56" s="5"/>
      <c r="B56" s="5"/>
      <c r="C56" s="5"/>
      <c r="D56" s="5"/>
      <c r="E56" s="5"/>
      <c r="F56" s="5"/>
      <c r="G56" s="5"/>
      <c r="H56" s="5"/>
      <c r="I56" s="5"/>
      <c r="J56" s="5"/>
      <c r="K56" s="5"/>
      <c r="L56" s="5"/>
      <c r="M56" s="5"/>
      <c r="N56" s="5"/>
      <c r="O56" s="5"/>
      <c r="U56" s="13"/>
      <c r="AB56" s="35"/>
    </row>
    <row r="57" spans="1:88" x14ac:dyDescent="0.3">
      <c r="A57" s="5"/>
      <c r="B57" s="5"/>
      <c r="C57" s="5"/>
      <c r="D57" s="5"/>
      <c r="E57" s="5"/>
      <c r="F57" s="5"/>
      <c r="G57" s="5"/>
      <c r="H57" s="5"/>
      <c r="I57" s="5"/>
      <c r="J57" s="5"/>
      <c r="K57" s="5"/>
      <c r="L57" s="5"/>
      <c r="M57" s="5"/>
      <c r="N57" s="5"/>
      <c r="O57" s="5"/>
      <c r="U57" s="13"/>
      <c r="AG57" s="77"/>
    </row>
    <row r="58" spans="1:88" x14ac:dyDescent="0.3">
      <c r="A58" s="5"/>
      <c r="B58" s="5"/>
      <c r="C58" s="6" t="s">
        <v>176</v>
      </c>
      <c r="D58" s="5"/>
      <c r="E58" s="5"/>
      <c r="F58" s="5"/>
      <c r="G58" s="5"/>
      <c r="H58" s="5"/>
      <c r="I58" s="5"/>
      <c r="J58" s="5"/>
      <c r="K58" s="5"/>
      <c r="L58" s="5"/>
      <c r="M58" s="5"/>
      <c r="N58" s="5"/>
      <c r="O58" s="5"/>
      <c r="U58" s="13"/>
    </row>
    <row r="59" spans="1:88" ht="15" thickBot="1" x14ac:dyDescent="0.35">
      <c r="A59" s="5">
        <v>1</v>
      </c>
      <c r="B59" s="5">
        <v>2</v>
      </c>
      <c r="C59" s="5">
        <v>3</v>
      </c>
      <c r="D59" s="5">
        <v>4</v>
      </c>
      <c r="E59" s="5">
        <v>5</v>
      </c>
      <c r="F59" s="5">
        <v>6</v>
      </c>
      <c r="G59" s="5">
        <v>7</v>
      </c>
      <c r="H59" s="5">
        <v>8</v>
      </c>
      <c r="I59" s="5">
        <v>9</v>
      </c>
      <c r="J59" s="5">
        <v>10</v>
      </c>
      <c r="K59" s="5">
        <v>11</v>
      </c>
      <c r="L59" s="5">
        <v>12</v>
      </c>
      <c r="M59" s="5">
        <v>13</v>
      </c>
      <c r="N59" s="5">
        <v>14</v>
      </c>
      <c r="O59" s="5">
        <v>15</v>
      </c>
      <c r="P59" s="5">
        <v>16</v>
      </c>
      <c r="Q59" s="5">
        <v>17</v>
      </c>
      <c r="R59" s="5">
        <v>18</v>
      </c>
      <c r="S59" s="5">
        <v>19</v>
      </c>
      <c r="T59" s="5">
        <v>20</v>
      </c>
      <c r="U59" s="5">
        <v>21</v>
      </c>
      <c r="V59" s="5">
        <v>22</v>
      </c>
      <c r="W59" s="5">
        <v>23</v>
      </c>
      <c r="X59" s="5">
        <v>24</v>
      </c>
      <c r="Y59" s="5">
        <v>25</v>
      </c>
      <c r="Z59" s="5">
        <v>26</v>
      </c>
      <c r="AA59" s="5">
        <v>27</v>
      </c>
      <c r="AB59" s="5">
        <v>28</v>
      </c>
      <c r="AC59" s="5">
        <v>29</v>
      </c>
      <c r="AD59" s="5">
        <v>30</v>
      </c>
      <c r="AE59" s="5">
        <v>31</v>
      </c>
      <c r="AF59" s="5">
        <v>32</v>
      </c>
      <c r="AG59" s="5">
        <v>33</v>
      </c>
      <c r="AH59" s="5">
        <v>34</v>
      </c>
      <c r="AI59" s="5">
        <v>35</v>
      </c>
      <c r="AJ59" s="5">
        <v>36</v>
      </c>
      <c r="AK59" s="5">
        <v>37</v>
      </c>
      <c r="AL59" s="5">
        <v>38</v>
      </c>
      <c r="AM59" s="5">
        <v>39</v>
      </c>
      <c r="AN59" s="5">
        <v>40</v>
      </c>
      <c r="AO59" s="5">
        <v>41</v>
      </c>
      <c r="AP59" s="5">
        <v>42</v>
      </c>
      <c r="AQ59" s="5">
        <v>43</v>
      </c>
      <c r="AR59" s="5">
        <v>44</v>
      </c>
      <c r="AS59" s="5">
        <v>45</v>
      </c>
      <c r="AT59" s="5">
        <v>46</v>
      </c>
      <c r="AU59" s="5">
        <v>47</v>
      </c>
      <c r="AV59" s="5">
        <v>48</v>
      </c>
      <c r="AW59" s="5">
        <v>49</v>
      </c>
      <c r="AX59" s="5">
        <v>50</v>
      </c>
      <c r="AY59" s="5">
        <v>51</v>
      </c>
      <c r="AZ59" s="5">
        <v>52</v>
      </c>
      <c r="BA59" s="5">
        <v>53</v>
      </c>
      <c r="BB59" s="5">
        <v>54</v>
      </c>
      <c r="BC59" s="5">
        <v>55</v>
      </c>
      <c r="BD59" s="5">
        <v>56</v>
      </c>
      <c r="BE59" s="5">
        <v>57</v>
      </c>
      <c r="BF59" s="5">
        <v>58</v>
      </c>
      <c r="BG59" s="5">
        <v>59</v>
      </c>
      <c r="BH59" s="5">
        <v>60</v>
      </c>
      <c r="BI59" s="5">
        <v>61</v>
      </c>
      <c r="BJ59" s="5">
        <v>62</v>
      </c>
      <c r="BK59" s="5">
        <v>63</v>
      </c>
      <c r="BL59" s="5">
        <v>64</v>
      </c>
      <c r="BM59" s="5">
        <v>65</v>
      </c>
      <c r="BN59" s="5">
        <v>66</v>
      </c>
      <c r="BO59" s="5">
        <v>67</v>
      </c>
      <c r="BP59" s="5">
        <v>68</v>
      </c>
      <c r="BQ59" s="5">
        <v>69</v>
      </c>
      <c r="BR59" s="5">
        <v>70</v>
      </c>
      <c r="BS59" s="5">
        <v>71</v>
      </c>
      <c r="BT59" s="5"/>
      <c r="BU59" s="5"/>
      <c r="BV59" s="5"/>
      <c r="BW59" s="5"/>
      <c r="BX59" s="5"/>
      <c r="BY59" s="5"/>
      <c r="BZ59" s="5"/>
      <c r="CA59" s="5"/>
      <c r="CB59" s="5"/>
      <c r="CC59" s="5"/>
      <c r="CD59" s="5"/>
      <c r="CE59" s="5"/>
      <c r="CF59" s="5"/>
      <c r="CG59" s="5"/>
      <c r="CH59" s="5"/>
      <c r="CI59" s="5"/>
      <c r="CJ59" s="5"/>
    </row>
    <row r="60" spans="1:88" x14ac:dyDescent="0.3">
      <c r="A60" s="7"/>
      <c r="B60" s="8" t="s">
        <v>0</v>
      </c>
      <c r="C60" s="8"/>
      <c r="D60" s="8" t="s">
        <v>1</v>
      </c>
      <c r="E60" s="8"/>
      <c r="F60" s="8" t="s">
        <v>2</v>
      </c>
      <c r="G60" s="8"/>
      <c r="H60" s="8" t="s">
        <v>3</v>
      </c>
      <c r="I60" s="8"/>
      <c r="J60" s="8" t="s">
        <v>4</v>
      </c>
      <c r="K60" s="8"/>
      <c r="L60" s="8" t="s">
        <v>5</v>
      </c>
      <c r="M60" s="8"/>
      <c r="N60" s="8" t="s">
        <v>6</v>
      </c>
      <c r="O60" s="7"/>
      <c r="P60" s="8" t="s">
        <v>171</v>
      </c>
      <c r="Q60" s="41"/>
      <c r="R60" s="8" t="s">
        <v>172</v>
      </c>
      <c r="T60" s="3" t="s">
        <v>173</v>
      </c>
      <c r="U60" s="13"/>
      <c r="V60" s="3" t="s">
        <v>174</v>
      </c>
      <c r="X60" s="60">
        <v>44197</v>
      </c>
      <c r="Z60" s="60">
        <v>44228</v>
      </c>
      <c r="AB60" s="60">
        <v>44256</v>
      </c>
      <c r="AD60" s="60">
        <v>44287</v>
      </c>
      <c r="AG60" s="60">
        <v>44317</v>
      </c>
      <c r="AI60" s="60">
        <v>44348</v>
      </c>
      <c r="AK60" s="60">
        <v>44378</v>
      </c>
      <c r="AP60" s="60">
        <v>44409</v>
      </c>
      <c r="AQ60" s="60"/>
      <c r="AT60" s="60">
        <v>44440</v>
      </c>
      <c r="AV60" s="60">
        <v>44470</v>
      </c>
      <c r="AX60" s="60">
        <v>44501</v>
      </c>
      <c r="BC60" t="s">
        <v>174</v>
      </c>
      <c r="BE60" s="129" t="s">
        <v>181</v>
      </c>
      <c r="BG60" s="129" t="s">
        <v>0</v>
      </c>
      <c r="BH60" s="138"/>
      <c r="BI60" s="129">
        <v>44621</v>
      </c>
      <c r="BK60" s="129">
        <v>44652</v>
      </c>
      <c r="BM60" s="129">
        <v>44682</v>
      </c>
      <c r="BO60" s="129">
        <v>44713</v>
      </c>
      <c r="BQ60" s="129">
        <v>44743</v>
      </c>
      <c r="BS60" s="129">
        <v>44774</v>
      </c>
      <c r="BU60" s="129">
        <v>44805</v>
      </c>
      <c r="BW60" s="129">
        <v>44835</v>
      </c>
      <c r="BY60" s="129">
        <v>44866</v>
      </c>
      <c r="CA60" s="129">
        <v>44896</v>
      </c>
      <c r="CC60" s="159">
        <v>44927</v>
      </c>
      <c r="CD60" s="160"/>
      <c r="CE60" s="159">
        <v>44958</v>
      </c>
      <c r="CG60" s="159">
        <v>44986</v>
      </c>
      <c r="CI60" s="159">
        <v>45017</v>
      </c>
    </row>
    <row r="61" spans="1:88" x14ac:dyDescent="0.3">
      <c r="A61" s="147" t="s">
        <v>7</v>
      </c>
      <c r="B61" s="10">
        <v>186881.59883597228</v>
      </c>
      <c r="C61" s="10" t="s">
        <v>18</v>
      </c>
      <c r="D61" s="10">
        <v>189676.16829017893</v>
      </c>
      <c r="E61" s="11">
        <f>D61/B61-1</f>
        <v>1.495368977798317E-2</v>
      </c>
      <c r="F61" s="10">
        <v>193065.69226812199</v>
      </c>
      <c r="G61" s="11">
        <f>F61/D61-1</f>
        <v>1.7870057205908729E-2</v>
      </c>
      <c r="H61" s="10">
        <v>193645.07519025946</v>
      </c>
      <c r="I61" s="11">
        <f>H61/F61-1</f>
        <v>3.0009626015421453E-3</v>
      </c>
      <c r="J61" s="10">
        <v>193154.90732988881</v>
      </c>
      <c r="K61" s="11">
        <f>J61/H61-1</f>
        <v>-2.5312694365661192E-3</v>
      </c>
      <c r="L61" s="10">
        <v>193771.53174194237</v>
      </c>
      <c r="M61" s="11">
        <f>L61/J61-1</f>
        <v>3.1923828422355527E-3</v>
      </c>
      <c r="N61" s="10">
        <v>196359.50406855665</v>
      </c>
      <c r="O61" s="11">
        <f>N61/L61-1</f>
        <v>1.3355792274279299E-2</v>
      </c>
      <c r="P61" s="42">
        <v>201082.52304088447</v>
      </c>
      <c r="Q61" s="11">
        <f>P61/N61-1</f>
        <v>2.4052917605041468E-2</v>
      </c>
      <c r="R61" s="1">
        <v>207111.72337321992</v>
      </c>
      <c r="S61" s="11">
        <f>R61/P61-1</f>
        <v>2.998371136963307E-2</v>
      </c>
      <c r="T61" s="35">
        <v>213064</v>
      </c>
      <c r="U61" s="11">
        <f>T61/R61-1</f>
        <v>2.873944810962703E-2</v>
      </c>
      <c r="V61" s="1">
        <v>217457.92610578501</v>
      </c>
      <c r="W61" s="11">
        <f>V61/T61-1</f>
        <v>2.0622564608685723E-2</v>
      </c>
      <c r="X61" s="1">
        <v>222408.36348782439</v>
      </c>
      <c r="Y61" s="13">
        <f>X61/V61-1</f>
        <v>2.2765035382666055E-2</v>
      </c>
      <c r="Z61" s="80">
        <v>224060</v>
      </c>
      <c r="AA61" s="13">
        <f t="shared" ref="AA61:AA71" si="34">Z61/X61-1</f>
        <v>7.4261439015805841E-3</v>
      </c>
      <c r="AB61" s="1">
        <v>229760.2050391048</v>
      </c>
      <c r="AC61" s="83">
        <f>AB61/Z61-1</f>
        <v>2.5440529497031239E-2</v>
      </c>
      <c r="AD61" s="1">
        <v>231824.103198336</v>
      </c>
      <c r="AE61" s="13">
        <f>AD61/AB61-1</f>
        <v>8.9828356432739564E-3</v>
      </c>
      <c r="AF61">
        <v>3810</v>
      </c>
      <c r="AG61" s="1">
        <v>236146.7532297835</v>
      </c>
      <c r="AH61" s="109">
        <f>AG61/AD61-1</f>
        <v>1.8646249340817045E-2</v>
      </c>
      <c r="AI61" s="1">
        <v>230983.15311796564</v>
      </c>
      <c r="AJ61" s="13">
        <f t="shared" ref="AJ61:AJ72" si="35">AI61/AG61-1</f>
        <v>-2.1866064390872242E-2</v>
      </c>
      <c r="AK61" s="1">
        <v>239462</v>
      </c>
      <c r="AL61" s="13">
        <f t="shared" ref="AL61:AL71" si="36">AK61/AI61-1</f>
        <v>3.6707641953887871E-2</v>
      </c>
      <c r="AM61" s="35">
        <f t="shared" ref="AM61:AM71" si="37">AK61-L61</f>
        <v>45690.468258057634</v>
      </c>
      <c r="AN61" s="109">
        <f t="shared" ref="AN61:AN71" si="38">AK61/L61-1</f>
        <v>0.23579556732258533</v>
      </c>
      <c r="AO61" s="109"/>
      <c r="AP61" s="1">
        <v>243817.904226457</v>
      </c>
      <c r="AQ61" s="1"/>
      <c r="AR61" s="13">
        <v>0.02</v>
      </c>
      <c r="AS61" s="13"/>
      <c r="AT61" s="1">
        <v>249485.8436743115</v>
      </c>
      <c r="AU61" s="13">
        <f t="shared" ref="AU61:AU71" si="39">AT61/AP61-1</f>
        <v>2.3246608840465477E-2</v>
      </c>
      <c r="AV61" s="1">
        <v>253346.3276842862</v>
      </c>
      <c r="AW61" s="13">
        <f t="shared" ref="AW61:AW71" si="40">AV61/AT61-1</f>
        <v>1.5473759765761708E-2</v>
      </c>
      <c r="AX61" s="1">
        <v>256232</v>
      </c>
      <c r="AY61" s="13">
        <f t="shared" ref="AY61:AY71" si="41">AX61/AV61-1</f>
        <v>1.1390227528025765E-2</v>
      </c>
      <c r="AZ61" s="13">
        <f t="shared" ref="AZ61:AZ71" si="42">AX61/T61-1</f>
        <v>0.20260578980963473</v>
      </c>
      <c r="BA61" s="13">
        <f t="shared" ref="BA61:BA71" si="43">AV61/R61-1</f>
        <v>0.22323509050113244</v>
      </c>
      <c r="BB61" s="13">
        <f t="shared" ref="BB61:BB71" si="44">AX61/T61-1</f>
        <v>0.20260578980963473</v>
      </c>
      <c r="BC61" s="1">
        <v>258976.40443368099</v>
      </c>
      <c r="BD61" s="13">
        <f t="shared" ref="BD61:BD71" si="45">BC61/AX61-1</f>
        <v>1.0710623316685597E-2</v>
      </c>
      <c r="BE61" s="130">
        <v>267946.63172765332</v>
      </c>
      <c r="BF61" s="13">
        <f t="shared" ref="BF61:BF72" si="46">BE61/BC61-1</f>
        <v>3.4637237757578987E-2</v>
      </c>
      <c r="BG61" s="130">
        <v>270974.11240620178</v>
      </c>
      <c r="BH61" s="13">
        <f t="shared" ref="BH61:BH72" si="47">BG61/BE61-1</f>
        <v>1.1298819690428674E-2</v>
      </c>
      <c r="BI61" s="130">
        <v>278463.86159667029</v>
      </c>
      <c r="BJ61" s="13">
        <f t="shared" ref="BJ61:BJ72" si="48">BI61/BG61-1</f>
        <v>2.7640091239568454E-2</v>
      </c>
      <c r="BK61" s="130">
        <v>280226.01933808258</v>
      </c>
      <c r="BL61" s="13">
        <f t="shared" ref="BL61:BL72" si="49">BK61/BI61-1</f>
        <v>6.3281379900010926E-3</v>
      </c>
      <c r="BM61" s="130">
        <v>275858.12621868192</v>
      </c>
      <c r="BN61" s="13">
        <f t="shared" ref="BN61:BN72" si="50">BM61/BK61-1</f>
        <v>-1.5587036242094787E-2</v>
      </c>
      <c r="BO61" s="130">
        <v>272522.22327429499</v>
      </c>
      <c r="BP61" s="13">
        <f t="shared" ref="BP61:BP72" si="51">BO61/BM61-1</f>
        <v>-1.2092821009530241E-2</v>
      </c>
      <c r="BQ61" s="130">
        <v>269980.5322232318</v>
      </c>
      <c r="BR61" s="13">
        <f>BQ61/BO61-1</f>
        <v>-9.3265459988008947E-3</v>
      </c>
      <c r="BS61" s="130">
        <v>268038.24546257441</v>
      </c>
      <c r="BT61" s="13">
        <f>BS61/BQ61-1</f>
        <v>-7.1941733896998539E-3</v>
      </c>
      <c r="BU61" s="130">
        <v>266117.43562820752</v>
      </c>
      <c r="BV61" s="13">
        <f>BU61/BS61-1</f>
        <v>-7.1661782110683525E-3</v>
      </c>
      <c r="BW61" s="130">
        <v>261889.18829567861</v>
      </c>
      <c r="BX61" s="13">
        <f>BW61/BU61-1</f>
        <v>-1.5888652025176531E-2</v>
      </c>
      <c r="BY61" s="130">
        <v>258588.9765727123</v>
      </c>
      <c r="BZ61" s="13">
        <f>BY61/BW61-1</f>
        <v>-1.2601557721582224E-2</v>
      </c>
      <c r="CA61" s="130">
        <v>258297.76694470219</v>
      </c>
      <c r="CB61" s="13">
        <f>CA61/BY61-1</f>
        <v>-1.1261486544003052E-3</v>
      </c>
      <c r="CC61" s="130">
        <v>259332.9226559925</v>
      </c>
      <c r="CD61" s="13">
        <f>CC61/CA61-1</f>
        <v>4.0076061188401013E-3</v>
      </c>
      <c r="CE61" s="130">
        <v>259473.58519021151</v>
      </c>
      <c r="CF61" s="13">
        <f>CE61/CC61-1</f>
        <v>5.4240137649474995E-4</v>
      </c>
      <c r="CG61" s="130">
        <v>259217.51369044819</v>
      </c>
      <c r="CH61" s="13">
        <f>CG61/CE61-1</f>
        <v>-9.8688850957839858E-4</v>
      </c>
      <c r="CI61" s="130">
        <v>260149.9673409111</v>
      </c>
      <c r="CJ61" s="13">
        <f>CI61/CG61-1</f>
        <v>3.5971861514589865E-3</v>
      </c>
    </row>
    <row r="62" spans="1:88" x14ac:dyDescent="0.3">
      <c r="A62" s="147" t="s">
        <v>8</v>
      </c>
      <c r="B62" s="10">
        <v>250628.75470015861</v>
      </c>
      <c r="C62" s="10" t="s">
        <v>18</v>
      </c>
      <c r="D62" s="10">
        <v>253823.23408582856</v>
      </c>
      <c r="E62" s="11">
        <f t="shared" ref="E62:M71" si="52">D62/B62-1</f>
        <v>1.274586146147394E-2</v>
      </c>
      <c r="F62" s="10">
        <v>271405.14032733499</v>
      </c>
      <c r="G62" s="11">
        <f t="shared" si="52"/>
        <v>6.9268309123983629E-2</v>
      </c>
      <c r="H62" s="10">
        <v>262902.16734731762</v>
      </c>
      <c r="I62" s="11">
        <f t="shared" si="52"/>
        <v>-3.1329447075918115E-2</v>
      </c>
      <c r="J62" s="10">
        <v>258806.72312859545</v>
      </c>
      <c r="K62" s="11">
        <f t="shared" si="52"/>
        <v>-1.5577826002901363E-2</v>
      </c>
      <c r="L62" s="10">
        <v>259270.84422783839</v>
      </c>
      <c r="M62" s="11">
        <f t="shared" si="52"/>
        <v>1.7933116019259732E-3</v>
      </c>
      <c r="N62" s="10">
        <v>261062.05807217854</v>
      </c>
      <c r="O62" s="11">
        <f t="shared" ref="O62:O71" si="53">N62/L62-1</f>
        <v>6.9086589727231917E-3</v>
      </c>
      <c r="P62" s="42">
        <v>267512.7984425716</v>
      </c>
      <c r="Q62" s="11">
        <f>P62/N62-1</f>
        <v>2.4709605133847345E-2</v>
      </c>
      <c r="R62" s="1">
        <v>274968.23374355608</v>
      </c>
      <c r="S62" s="11">
        <f t="shared" ref="S62:S71" si="54">R62/P62-1</f>
        <v>2.786945276782693E-2</v>
      </c>
      <c r="T62" s="35">
        <v>284145.07223511301</v>
      </c>
      <c r="U62" s="11">
        <f t="shared" ref="U62:W70" si="55">T62/R62-1</f>
        <v>3.3374176960803137E-2</v>
      </c>
      <c r="V62" s="1">
        <v>285015.17727373273</v>
      </c>
      <c r="W62" s="11">
        <f t="shared" si="55"/>
        <v>3.0621859171280352E-3</v>
      </c>
      <c r="X62" s="1">
        <v>288669.41646255122</v>
      </c>
      <c r="Y62" s="13">
        <f t="shared" ref="Y62:Y71" si="56">X62/V62-1</f>
        <v>1.2821209115151389E-2</v>
      </c>
      <c r="Z62" s="80">
        <v>290704</v>
      </c>
      <c r="AA62" s="13">
        <f t="shared" si="34"/>
        <v>7.0481437291876059E-3</v>
      </c>
      <c r="AB62" s="1">
        <v>294686.30042326043</v>
      </c>
      <c r="AC62" s="83">
        <f t="shared" ref="AC62:AC71" si="57">AB62/Z62-1</f>
        <v>1.3698815369793449E-2</v>
      </c>
      <c r="AD62" s="1">
        <v>299003.19790890749</v>
      </c>
      <c r="AE62" s="13">
        <f t="shared" ref="AE62:AE71" si="58">AD62/AB62-1</f>
        <v>1.4649128512070897E-2</v>
      </c>
      <c r="AF62">
        <v>4469</v>
      </c>
      <c r="AG62" s="1">
        <v>303562.77174101147</v>
      </c>
      <c r="AH62" s="109">
        <f>AG62/AD62-1</f>
        <v>1.5249247713708725E-2</v>
      </c>
      <c r="AI62" s="1">
        <v>307644.74547330698</v>
      </c>
      <c r="AJ62" s="13">
        <f t="shared" si="35"/>
        <v>1.3446885166070732E-2</v>
      </c>
      <c r="AK62" s="1">
        <v>307365.87509837101</v>
      </c>
      <c r="AL62" s="13">
        <f t="shared" si="36"/>
        <v>-9.0646883796741129E-4</v>
      </c>
      <c r="AM62" s="35">
        <f t="shared" si="37"/>
        <v>48095.030870532617</v>
      </c>
      <c r="AN62" s="109">
        <f t="shared" si="38"/>
        <v>0.18550111569146721</v>
      </c>
      <c r="AO62" s="109"/>
      <c r="AP62" s="1">
        <v>313986.35700671421</v>
      </c>
      <c r="AQ62" s="1"/>
      <c r="AR62" s="13">
        <f t="shared" ref="AR62:AR71" si="59">AP62/AK62-1</f>
        <v>2.1539417497874025E-2</v>
      </c>
      <c r="AS62" s="13"/>
      <c r="AT62" s="1">
        <v>318405.32816914219</v>
      </c>
      <c r="AU62" s="13">
        <f t="shared" si="39"/>
        <v>1.407376805971694E-2</v>
      </c>
      <c r="AV62" s="1">
        <v>321496.05009821663</v>
      </c>
      <c r="AW62" s="13">
        <f t="shared" si="40"/>
        <v>9.7068787976832827E-3</v>
      </c>
      <c r="AX62" s="1">
        <v>326170</v>
      </c>
      <c r="AY62" s="13">
        <f t="shared" si="41"/>
        <v>1.4538125430640481E-2</v>
      </c>
      <c r="AZ62" s="13">
        <f t="shared" si="42"/>
        <v>0.14789954805239014</v>
      </c>
      <c r="BA62" s="13">
        <f t="shared" si="43"/>
        <v>0.16921160572334992</v>
      </c>
      <c r="BB62" s="13">
        <f t="shared" si="44"/>
        <v>0.14789954805239014</v>
      </c>
      <c r="BC62" s="1">
        <v>330302.86080593202</v>
      </c>
      <c r="BD62" s="13">
        <f t="shared" si="45"/>
        <v>1.2670879620848119E-2</v>
      </c>
      <c r="BE62" s="130">
        <v>340527.33672739542</v>
      </c>
      <c r="BF62" s="13">
        <f t="shared" si="46"/>
        <v>3.095485124323738E-2</v>
      </c>
      <c r="BG62" s="130">
        <v>346948.1862733243</v>
      </c>
      <c r="BH62" s="13">
        <f t="shared" si="47"/>
        <v>1.8855606741108755E-2</v>
      </c>
      <c r="BI62" s="130">
        <v>363085.50828029233</v>
      </c>
      <c r="BJ62" s="13">
        <f t="shared" si="48"/>
        <v>4.6512195899635289E-2</v>
      </c>
      <c r="BK62" s="130">
        <v>367420.52702621918</v>
      </c>
      <c r="BL62" s="13">
        <f t="shared" si="49"/>
        <v>1.1939387959764902E-2</v>
      </c>
      <c r="BM62" s="130">
        <v>359294.42630135908</v>
      </c>
      <c r="BN62" s="13">
        <f t="shared" si="50"/>
        <v>-2.2116621492626165E-2</v>
      </c>
      <c r="BO62" s="130">
        <v>348500.65509742312</v>
      </c>
      <c r="BP62" s="13">
        <f t="shared" si="51"/>
        <v>-3.0041577084980009E-2</v>
      </c>
      <c r="BQ62" s="130">
        <v>343912.83252685261</v>
      </c>
      <c r="BR62" s="13">
        <f t="shared" ref="BR62:BR72" si="60">BQ62/BO62-1</f>
        <v>-1.3164458957151681E-2</v>
      </c>
      <c r="BS62" s="130">
        <v>340004.22844694433</v>
      </c>
      <c r="BT62" s="13">
        <f t="shared" ref="BT62:BT72" si="61">BS62/BQ62-1</f>
        <v>-1.1365101008852574E-2</v>
      </c>
      <c r="BU62" s="130">
        <v>336424.29970319528</v>
      </c>
      <c r="BV62" s="13">
        <f t="shared" ref="BV62:BV72" si="62">BU62/BS62-1</f>
        <v>-1.0529071241558552E-2</v>
      </c>
      <c r="BW62" s="130">
        <v>330306.84382925881</v>
      </c>
      <c r="BX62" s="13">
        <f t="shared" ref="BX62:BX72" si="63">BW62/BU62-1</f>
        <v>-1.8183751528452308E-2</v>
      </c>
      <c r="BY62" s="130">
        <v>326518.66673538182</v>
      </c>
      <c r="BZ62" s="13">
        <f t="shared" ref="BZ62:BZ72" si="64">BY62/BW62-1</f>
        <v>-1.1468660624649907E-2</v>
      </c>
      <c r="CA62" s="130">
        <v>324768.07093273278</v>
      </c>
      <c r="CB62" s="13">
        <f t="shared" ref="CB62:CB72" si="65">CA62/BY62-1</f>
        <v>-5.3613957822135072E-3</v>
      </c>
      <c r="CC62" s="130">
        <v>326279.82855966821</v>
      </c>
      <c r="CD62" s="13">
        <f t="shared" ref="CD62:CD72" si="66">CC62/CA62-1</f>
        <v>4.6548837839681667E-3</v>
      </c>
      <c r="CE62" s="130">
        <v>322496.14762979379</v>
      </c>
      <c r="CF62" s="13">
        <f t="shared" ref="CF62:CF72" si="67">CE62/CC62-1</f>
        <v>-1.1596429195691038E-2</v>
      </c>
      <c r="CG62" s="130">
        <v>325831.62776930293</v>
      </c>
      <c r="CH62" s="13">
        <f t="shared" ref="CH62:CH72" si="68">CG62/CE62-1</f>
        <v>1.0342697622974573E-2</v>
      </c>
      <c r="CI62" s="130">
        <v>326518.58120994607</v>
      </c>
      <c r="CJ62" s="13">
        <f t="shared" ref="CJ62:CJ72" si="69">CI62/CG62-1</f>
        <v>2.1083080404016297E-3</v>
      </c>
    </row>
    <row r="63" spans="1:88" x14ac:dyDescent="0.3">
      <c r="A63" s="147" t="s">
        <v>9</v>
      </c>
      <c r="B63" s="10">
        <v>149719.01674303104</v>
      </c>
      <c r="C63" s="10" t="s">
        <v>18</v>
      </c>
      <c r="D63" s="10">
        <v>149130.44940832927</v>
      </c>
      <c r="E63" s="11">
        <f t="shared" si="52"/>
        <v>-3.931146139651398E-3</v>
      </c>
      <c r="F63" s="10">
        <v>149242.48659631106</v>
      </c>
      <c r="G63" s="11">
        <f t="shared" si="52"/>
        <v>7.5126969995942261E-4</v>
      </c>
      <c r="H63" s="10">
        <v>149825.17636999988</v>
      </c>
      <c r="I63" s="11">
        <f t="shared" si="52"/>
        <v>3.9043156340925478E-3</v>
      </c>
      <c r="J63" s="10">
        <v>150412.72032249469</v>
      </c>
      <c r="K63" s="11">
        <f t="shared" si="52"/>
        <v>3.9215301909194533E-3</v>
      </c>
      <c r="L63" s="10">
        <v>152758.76944807201</v>
      </c>
      <c r="M63" s="11">
        <f t="shared" si="52"/>
        <v>1.559741171190332E-2</v>
      </c>
      <c r="N63" s="10">
        <v>154507.01946795025</v>
      </c>
      <c r="O63" s="11">
        <f t="shared" si="53"/>
        <v>1.1444514944672468E-2</v>
      </c>
      <c r="P63" s="42">
        <v>159503.01647369939</v>
      </c>
      <c r="Q63" s="11">
        <f t="shared" ref="Q63:Q71" si="70">P63/N63-1</f>
        <v>3.2335081104748697E-2</v>
      </c>
      <c r="R63" s="1">
        <v>163550.63416633816</v>
      </c>
      <c r="S63" s="11">
        <f t="shared" si="54"/>
        <v>2.5376433512818153E-2</v>
      </c>
      <c r="T63" s="35">
        <v>166987.00442482485</v>
      </c>
      <c r="U63" s="11">
        <f t="shared" si="55"/>
        <v>2.101104820536337E-2</v>
      </c>
      <c r="V63" s="1">
        <v>168456</v>
      </c>
      <c r="W63" s="11">
        <f t="shared" si="55"/>
        <v>8.797065258072001E-3</v>
      </c>
      <c r="X63" s="1">
        <v>169893.75244082001</v>
      </c>
      <c r="Y63" s="13">
        <f t="shared" si="56"/>
        <v>8.5348841289121236E-3</v>
      </c>
      <c r="Z63" s="80">
        <v>166469</v>
      </c>
      <c r="AA63" s="13">
        <f t="shared" si="34"/>
        <v>-2.0158201179369284E-2</v>
      </c>
      <c r="AB63" s="1">
        <v>170101.71363001299</v>
      </c>
      <c r="AC63" s="83">
        <f t="shared" si="57"/>
        <v>2.1822162865236194E-2</v>
      </c>
      <c r="AD63" s="1">
        <v>171331.37824459199</v>
      </c>
      <c r="AE63" s="13">
        <f t="shared" si="58"/>
        <v>7.2289960420601762E-3</v>
      </c>
      <c r="AF63">
        <v>965</v>
      </c>
      <c r="AG63" s="1">
        <v>185143.76767959961</v>
      </c>
      <c r="AH63" s="109">
        <f>AG63/AD63-1</f>
        <v>8.0617978892862929E-2</v>
      </c>
      <c r="AI63" s="1">
        <v>185631.433362765</v>
      </c>
      <c r="AJ63" s="13">
        <f t="shared" si="35"/>
        <v>2.6339837915005937E-3</v>
      </c>
      <c r="AK63" s="1">
        <v>189270</v>
      </c>
      <c r="AL63" s="13">
        <f t="shared" si="36"/>
        <v>1.9601026460450921E-2</v>
      </c>
      <c r="AM63" s="35">
        <f t="shared" si="37"/>
        <v>36511.230551927991</v>
      </c>
      <c r="AN63" s="109">
        <f t="shared" si="38"/>
        <v>0.23901233745103867</v>
      </c>
      <c r="AO63" s="109"/>
      <c r="AP63" s="1">
        <v>190978.5946016557</v>
      </c>
      <c r="AQ63" s="1"/>
      <c r="AR63" s="13">
        <f t="shared" si="59"/>
        <v>9.0272869533243316E-3</v>
      </c>
      <c r="AS63" s="13"/>
      <c r="AT63" s="1">
        <v>191949.76357757431</v>
      </c>
      <c r="AU63" s="13">
        <f t="shared" si="39"/>
        <v>5.0852242260148728E-3</v>
      </c>
      <c r="AV63" s="1">
        <v>199505.4179037796</v>
      </c>
      <c r="AW63" s="13">
        <f t="shared" si="40"/>
        <v>3.9362665446325273E-2</v>
      </c>
      <c r="AX63" s="1">
        <v>204239.18979340579</v>
      </c>
      <c r="AY63" s="13">
        <f t="shared" si="41"/>
        <v>2.3727535519407539E-2</v>
      </c>
      <c r="AZ63" s="13">
        <f t="shared" si="42"/>
        <v>0.22308433819082807</v>
      </c>
      <c r="BA63" s="13">
        <f t="shared" si="43"/>
        <v>0.2198388524796171</v>
      </c>
      <c r="BB63" s="13">
        <f t="shared" si="44"/>
        <v>0.22308433819082807</v>
      </c>
      <c r="BC63" s="1">
        <v>207782.7273838</v>
      </c>
      <c r="BD63" s="13">
        <f t="shared" si="45"/>
        <v>1.7349939519338164E-2</v>
      </c>
      <c r="BE63" s="130">
        <v>209952.13364457179</v>
      </c>
      <c r="BF63" s="13">
        <f t="shared" si="46"/>
        <v>1.0440743983327616E-2</v>
      </c>
      <c r="BG63" s="130">
        <v>212581.93896508319</v>
      </c>
      <c r="BH63" s="13">
        <f t="shared" si="47"/>
        <v>1.2525737532933956E-2</v>
      </c>
      <c r="BI63" s="130">
        <v>221724.66943999371</v>
      </c>
      <c r="BJ63" s="13">
        <f t="shared" si="48"/>
        <v>4.3008030312547962E-2</v>
      </c>
      <c r="BK63" s="130">
        <v>224159.74462695079</v>
      </c>
      <c r="BL63" s="13">
        <f t="shared" si="49"/>
        <v>1.0982427860225519E-2</v>
      </c>
      <c r="BM63" s="130">
        <v>224950.51592621111</v>
      </c>
      <c r="BN63" s="13">
        <f t="shared" si="50"/>
        <v>3.527713241181285E-3</v>
      </c>
      <c r="BO63" s="130">
        <v>223068.0169433133</v>
      </c>
      <c r="BP63" s="13">
        <f t="shared" si="51"/>
        <v>-8.3685026244407767E-3</v>
      </c>
      <c r="BQ63" s="130">
        <v>218829.20562310121</v>
      </c>
      <c r="BR63" s="13">
        <f t="shared" si="60"/>
        <v>-1.9002326636943456E-2</v>
      </c>
      <c r="BS63" s="130">
        <v>217394.79671944631</v>
      </c>
      <c r="BT63" s="13">
        <f t="shared" si="61"/>
        <v>-6.5549244195742817E-3</v>
      </c>
      <c r="BU63" s="130">
        <v>219142.34026592321</v>
      </c>
      <c r="BV63" s="13">
        <f t="shared" si="62"/>
        <v>8.0385711748756083E-3</v>
      </c>
      <c r="BW63" s="130">
        <v>218235.13738975261</v>
      </c>
      <c r="BX63" s="13">
        <f t="shared" si="63"/>
        <v>-4.1397882082929716E-3</v>
      </c>
      <c r="BY63" s="130">
        <v>213383.53864553969</v>
      </c>
      <c r="BZ63" s="13">
        <f t="shared" si="64"/>
        <v>-2.2231061424120235E-2</v>
      </c>
      <c r="CA63" s="130">
        <v>213351.93392868809</v>
      </c>
      <c r="CB63" s="13">
        <f t="shared" si="65"/>
        <v>-1.4811225388899896E-4</v>
      </c>
      <c r="CC63" s="130">
        <v>214267.87892695851</v>
      </c>
      <c r="CD63" s="13">
        <f t="shared" si="66"/>
        <v>4.2931178611982368E-3</v>
      </c>
      <c r="CE63" s="130">
        <v>215088.57304761501</v>
      </c>
      <c r="CF63" s="13">
        <f t="shared" si="67"/>
        <v>3.8302246924106775E-3</v>
      </c>
      <c r="CG63" s="130">
        <v>216997.25024225019</v>
      </c>
      <c r="CH63" s="13">
        <f t="shared" si="68"/>
        <v>8.8739125821093445E-3</v>
      </c>
      <c r="CI63" s="130">
        <v>216056.46931929531</v>
      </c>
      <c r="CJ63" s="13">
        <f t="shared" si="69"/>
        <v>-4.3354508958275417E-3</v>
      </c>
    </row>
    <row r="64" spans="1:88" x14ac:dyDescent="0.3">
      <c r="A64" s="147" t="s">
        <v>10</v>
      </c>
      <c r="B64" s="10">
        <v>219881.54225453085</v>
      </c>
      <c r="C64" s="10" t="s">
        <v>18</v>
      </c>
      <c r="D64" s="10">
        <v>221727.08693223004</v>
      </c>
      <c r="E64" s="11">
        <f t="shared" si="52"/>
        <v>8.3933588002709225E-3</v>
      </c>
      <c r="F64" s="10">
        <v>231120.57598146616</v>
      </c>
      <c r="G64" s="11">
        <f t="shared" si="52"/>
        <v>4.2365094762225386E-2</v>
      </c>
      <c r="H64" s="10">
        <v>226815.92159930311</v>
      </c>
      <c r="I64" s="11">
        <f t="shared" si="52"/>
        <v>-1.8625145614504901E-2</v>
      </c>
      <c r="J64" s="10">
        <v>226938.57650398079</v>
      </c>
      <c r="K64" s="11">
        <f t="shared" si="52"/>
        <v>5.4076849549544725E-4</v>
      </c>
      <c r="L64" s="10">
        <v>225564.80501194787</v>
      </c>
      <c r="M64" s="11">
        <f t="shared" si="52"/>
        <v>-6.053494796680492E-3</v>
      </c>
      <c r="N64" s="10">
        <v>228416.83481290759</v>
      </c>
      <c r="O64" s="11">
        <f t="shared" si="53"/>
        <v>1.2643948601860355E-2</v>
      </c>
      <c r="P64" s="42">
        <v>233369.73369604201</v>
      </c>
      <c r="Q64" s="11">
        <f t="shared" si="70"/>
        <v>2.1683598265387349E-2</v>
      </c>
      <c r="R64" s="1">
        <v>240481.15474768801</v>
      </c>
      <c r="S64" s="11">
        <f t="shared" si="54"/>
        <v>3.0472764994060597E-2</v>
      </c>
      <c r="T64" s="35">
        <v>248660.81808217699</v>
      </c>
      <c r="U64" s="11">
        <f t="shared" si="55"/>
        <v>3.4013739426156153E-2</v>
      </c>
      <c r="V64" s="1">
        <v>249103.2130907815</v>
      </c>
      <c r="W64" s="11">
        <f t="shared" si="55"/>
        <v>1.7791102434896455E-3</v>
      </c>
      <c r="X64" s="1">
        <v>254214.55851797509</v>
      </c>
      <c r="Y64" s="13">
        <f t="shared" si="56"/>
        <v>2.0518986342142664E-2</v>
      </c>
      <c r="Z64" s="80">
        <v>250175</v>
      </c>
      <c r="AA64" s="13">
        <f t="shared" si="34"/>
        <v>-1.5890350818320464E-2</v>
      </c>
      <c r="AB64" s="1">
        <v>255178.5</v>
      </c>
      <c r="AC64" s="83">
        <f t="shared" si="57"/>
        <v>2.0000000000000018E-2</v>
      </c>
      <c r="AD64" s="1">
        <v>262834</v>
      </c>
      <c r="AE64" s="13">
        <f t="shared" si="58"/>
        <v>3.0000568229690217E-2</v>
      </c>
      <c r="AF64">
        <v>3848</v>
      </c>
      <c r="AG64" s="1">
        <v>270519.52216606628</v>
      </c>
      <c r="AH64" s="109">
        <f t="shared" ref="AH64:AH71" si="71">AG64/AD64-1</f>
        <v>2.9240974021877975E-2</v>
      </c>
      <c r="AI64" s="1">
        <v>271639.90676165489</v>
      </c>
      <c r="AJ64" s="13">
        <f t="shared" si="35"/>
        <v>4.1416034843533289E-3</v>
      </c>
      <c r="AK64" s="1">
        <v>279829.87249036401</v>
      </c>
      <c r="AL64" s="13">
        <f t="shared" si="36"/>
        <v>3.0150082976929005E-2</v>
      </c>
      <c r="AM64" s="35">
        <f t="shared" si="37"/>
        <v>54265.067478416138</v>
      </c>
      <c r="AN64" s="109">
        <f t="shared" si="38"/>
        <v>0.24057417767608635</v>
      </c>
      <c r="AO64" s="109"/>
      <c r="AP64" s="1">
        <v>285267.26389235689</v>
      </c>
      <c r="AQ64" s="1"/>
      <c r="AR64" s="13">
        <f t="shared" si="59"/>
        <v>1.94310612859252E-2</v>
      </c>
      <c r="AS64" s="13"/>
      <c r="AT64" s="1">
        <v>288234.28745723149</v>
      </c>
      <c r="AU64" s="13">
        <f t="shared" si="39"/>
        <v>1.0400855409733234E-2</v>
      </c>
      <c r="AV64" s="1">
        <v>290471.21689291118</v>
      </c>
      <c r="AW64" s="13">
        <f t="shared" si="40"/>
        <v>7.7608026977415978E-3</v>
      </c>
      <c r="AX64" s="1">
        <v>293787</v>
      </c>
      <c r="AY64" s="13">
        <f t="shared" si="41"/>
        <v>1.1415186477189865E-2</v>
      </c>
      <c r="AZ64" s="13">
        <f t="shared" si="42"/>
        <v>0.18147684973396094</v>
      </c>
      <c r="BA64" s="13">
        <f t="shared" si="43"/>
        <v>0.20787517507420716</v>
      </c>
      <c r="BB64" s="13">
        <f t="shared" si="44"/>
        <v>0.18147684973396094</v>
      </c>
      <c r="BC64" s="1">
        <v>298124.974818199</v>
      </c>
      <c r="BD64" s="13">
        <f t="shared" si="45"/>
        <v>1.4765713997552554E-2</v>
      </c>
      <c r="BE64" s="130">
        <v>301307.60404216993</v>
      </c>
      <c r="BF64" s="13">
        <f t="shared" si="46"/>
        <v>1.0675486768298326E-2</v>
      </c>
      <c r="BG64" s="130">
        <v>306540.32746884797</v>
      </c>
      <c r="BH64" s="13">
        <f t="shared" si="47"/>
        <v>1.7366715464458338E-2</v>
      </c>
      <c r="BI64" s="130">
        <v>320968.52090053831</v>
      </c>
      <c r="BJ64" s="13">
        <f t="shared" si="48"/>
        <v>4.7067847649365557E-2</v>
      </c>
      <c r="BK64" s="130">
        <v>327258.34607007517</v>
      </c>
      <c r="BL64" s="13">
        <f t="shared" si="49"/>
        <v>1.9596392667696971E-2</v>
      </c>
      <c r="BM64" s="130">
        <v>321220.19261946628</v>
      </c>
      <c r="BN64" s="13">
        <f t="shared" si="50"/>
        <v>-1.8450724093422965E-2</v>
      </c>
      <c r="BO64" s="130">
        <v>314573.90563794709</v>
      </c>
      <c r="BP64" s="13">
        <f t="shared" si="51"/>
        <v>-2.0690750875032027E-2</v>
      </c>
      <c r="BQ64" s="130">
        <v>308423.61822482687</v>
      </c>
      <c r="BR64" s="13">
        <f t="shared" si="60"/>
        <v>-1.9551168430984811E-2</v>
      </c>
      <c r="BS64" s="130">
        <v>308092.55807605002</v>
      </c>
      <c r="BT64" s="13">
        <f t="shared" si="61"/>
        <v>-1.0733942837527488E-3</v>
      </c>
      <c r="BU64" s="130">
        <v>307037.0851852576</v>
      </c>
      <c r="BV64" s="13">
        <f t="shared" si="62"/>
        <v>-3.4258305276295697E-3</v>
      </c>
      <c r="BW64" s="130">
        <v>301857.90412314358</v>
      </c>
      <c r="BX64" s="13">
        <f t="shared" si="63"/>
        <v>-1.686825895637023E-2</v>
      </c>
      <c r="BY64" s="130">
        <v>298853.75503415312</v>
      </c>
      <c r="BZ64" s="13">
        <f t="shared" si="64"/>
        <v>-9.9521962087331106E-3</v>
      </c>
      <c r="CA64" s="130">
        <v>296416.32505120052</v>
      </c>
      <c r="CB64" s="13">
        <f t="shared" si="65"/>
        <v>-8.1559289180557215E-3</v>
      </c>
      <c r="CC64" s="130">
        <v>296895.23621274339</v>
      </c>
      <c r="CD64" s="13">
        <f t="shared" si="66"/>
        <v>1.6156706667898035E-3</v>
      </c>
      <c r="CE64" s="130">
        <v>297406.94574075512</v>
      </c>
      <c r="CF64" s="13">
        <f t="shared" si="67"/>
        <v>1.7235356637552712E-3</v>
      </c>
      <c r="CG64" s="130">
        <v>298460.60393010598</v>
      </c>
      <c r="CH64" s="13">
        <f t="shared" si="68"/>
        <v>3.5428163479049868E-3</v>
      </c>
      <c r="CI64" s="130">
        <v>299938.94214565807</v>
      </c>
      <c r="CJ64" s="13">
        <f t="shared" si="69"/>
        <v>4.9532105614122912E-3</v>
      </c>
    </row>
    <row r="65" spans="1:88" x14ac:dyDescent="0.3">
      <c r="A65" s="147" t="s">
        <v>11</v>
      </c>
      <c r="B65" s="10">
        <v>195689.13369485462</v>
      </c>
      <c r="C65" s="10" t="s">
        <v>18</v>
      </c>
      <c r="D65" s="10">
        <v>199279.43185268046</v>
      </c>
      <c r="E65" s="11">
        <f t="shared" si="52"/>
        <v>1.8346946966530719E-2</v>
      </c>
      <c r="F65" s="10">
        <v>203485.70774147296</v>
      </c>
      <c r="G65" s="11">
        <f t="shared" si="52"/>
        <v>2.1107426138699648E-2</v>
      </c>
      <c r="H65" s="10">
        <v>204127.9181143186</v>
      </c>
      <c r="I65" s="11">
        <f t="shared" si="52"/>
        <v>3.1560465841737884E-3</v>
      </c>
      <c r="J65" s="10">
        <v>204628.71519037255</v>
      </c>
      <c r="K65" s="11">
        <f t="shared" si="52"/>
        <v>2.4533492560947501E-3</v>
      </c>
      <c r="L65" s="10">
        <v>205183.89669872029</v>
      </c>
      <c r="M65" s="11">
        <f t="shared" si="52"/>
        <v>2.7131163279368042E-3</v>
      </c>
      <c r="N65" s="10">
        <v>208545.5849842903</v>
      </c>
      <c r="O65" s="11">
        <f t="shared" si="53"/>
        <v>1.6383782254150825E-2</v>
      </c>
      <c r="P65" s="42">
        <v>212295.60668226599</v>
      </c>
      <c r="Q65" s="11">
        <f t="shared" si="70"/>
        <v>1.7981784166076542E-2</v>
      </c>
      <c r="R65" s="1">
        <v>218383.82581986193</v>
      </c>
      <c r="S65" s="11">
        <f t="shared" si="54"/>
        <v>2.8678026986719063E-2</v>
      </c>
      <c r="T65" s="35">
        <v>224126.573099884</v>
      </c>
      <c r="U65" s="11">
        <f t="shared" si="55"/>
        <v>2.6296577864512116E-2</v>
      </c>
      <c r="V65" s="1">
        <v>227430.00151716819</v>
      </c>
      <c r="W65" s="11">
        <f t="shared" si="55"/>
        <v>1.4739119826777447E-2</v>
      </c>
      <c r="X65" s="1">
        <v>226980.94736958799</v>
      </c>
      <c r="Y65" s="13">
        <f t="shared" si="56"/>
        <v>-1.9744719016162593E-3</v>
      </c>
      <c r="Z65" s="80">
        <v>227817</v>
      </c>
      <c r="AA65" s="13">
        <f t="shared" si="34"/>
        <v>3.6833603881769594E-3</v>
      </c>
      <c r="AB65" s="1">
        <v>230654</v>
      </c>
      <c r="AC65" s="83">
        <f t="shared" si="57"/>
        <v>1.2452977609221483E-2</v>
      </c>
      <c r="AD65" s="1">
        <v>232671</v>
      </c>
      <c r="AE65" s="13">
        <f t="shared" si="58"/>
        <v>8.7446998534601583E-3</v>
      </c>
      <c r="AF65">
        <v>3482</v>
      </c>
      <c r="AG65" s="1">
        <v>242760</v>
      </c>
      <c r="AH65" s="109">
        <f t="shared" si="71"/>
        <v>4.3361656588057906E-2</v>
      </c>
      <c r="AI65" s="1">
        <v>250087.87851045234</v>
      </c>
      <c r="AJ65" s="13">
        <f t="shared" si="35"/>
        <v>3.0185691672649284E-2</v>
      </c>
      <c r="AK65" s="1">
        <v>258704</v>
      </c>
      <c r="AL65" s="13">
        <f t="shared" si="36"/>
        <v>3.4452375464441243E-2</v>
      </c>
      <c r="AM65" s="35">
        <f t="shared" si="37"/>
        <v>53520.103301279712</v>
      </c>
      <c r="AN65" s="109">
        <f t="shared" si="38"/>
        <v>0.26083968655622813</v>
      </c>
      <c r="AO65" s="109"/>
      <c r="AP65" s="1">
        <v>262066.97207549991</v>
      </c>
      <c r="AQ65" s="1"/>
      <c r="AR65" s="13">
        <f t="shared" si="59"/>
        <v>1.2999304515971533E-2</v>
      </c>
      <c r="AS65" s="13"/>
      <c r="AT65" s="1">
        <v>267543.33263386798</v>
      </c>
      <c r="AU65" s="13">
        <f t="shared" si="39"/>
        <v>2.089679792534227E-2</v>
      </c>
      <c r="AV65" s="1">
        <v>271461.21226723271</v>
      </c>
      <c r="AW65" s="13">
        <f t="shared" si="40"/>
        <v>1.4643906819858277E-2</v>
      </c>
      <c r="AX65" s="1">
        <v>275176.24553046102</v>
      </c>
      <c r="AY65" s="13">
        <f t="shared" si="41"/>
        <v>1.3685318916100364E-2</v>
      </c>
      <c r="AZ65" s="13">
        <f t="shared" si="42"/>
        <v>0.22777161906556387</v>
      </c>
      <c r="BA65" s="13">
        <f t="shared" si="43"/>
        <v>0.24304632565212358</v>
      </c>
      <c r="BB65" s="13">
        <f t="shared" si="44"/>
        <v>0.22777161906556387</v>
      </c>
      <c r="BC65" s="1">
        <v>279581.36686801759</v>
      </c>
      <c r="BD65" s="13">
        <f t="shared" si="45"/>
        <v>1.6008363400208392E-2</v>
      </c>
      <c r="BE65" s="130">
        <v>283948.77177602582</v>
      </c>
      <c r="BF65" s="13">
        <f t="shared" si="46"/>
        <v>1.5621230259132313E-2</v>
      </c>
      <c r="BG65" s="130">
        <v>287890.35994628642</v>
      </c>
      <c r="BH65" s="13">
        <f t="shared" si="47"/>
        <v>1.3881335515582682E-2</v>
      </c>
      <c r="BI65" s="130">
        <v>296364.80183482671</v>
      </c>
      <c r="BJ65" s="13">
        <f t="shared" si="48"/>
        <v>2.9436351707370134E-2</v>
      </c>
      <c r="BK65" s="130">
        <v>297827.46372484748</v>
      </c>
      <c r="BL65" s="13">
        <f t="shared" si="49"/>
        <v>4.9353427970031394E-3</v>
      </c>
      <c r="BM65" s="130">
        <v>293393.42577519623</v>
      </c>
      <c r="BN65" s="13">
        <f t="shared" si="50"/>
        <v>-1.4887941810993288E-2</v>
      </c>
      <c r="BO65" s="130">
        <v>294060.66383427603</v>
      </c>
      <c r="BP65" s="13">
        <f t="shared" si="51"/>
        <v>2.2742093055316825E-3</v>
      </c>
      <c r="BQ65" s="130">
        <v>288945.80174840608</v>
      </c>
      <c r="BR65" s="13">
        <f t="shared" si="60"/>
        <v>-1.7393901037891069E-2</v>
      </c>
      <c r="BS65" s="130">
        <v>286930.18072477228</v>
      </c>
      <c r="BT65" s="13">
        <f t="shared" si="61"/>
        <v>-6.9757754272161687E-3</v>
      </c>
      <c r="BU65" s="130">
        <v>285504.26702068438</v>
      </c>
      <c r="BV65" s="13">
        <f t="shared" si="62"/>
        <v>-4.9695493882383479E-3</v>
      </c>
      <c r="BW65" s="130">
        <v>281794.19893284788</v>
      </c>
      <c r="BX65" s="13">
        <f t="shared" si="63"/>
        <v>-1.2994790328537231E-2</v>
      </c>
      <c r="BY65" s="130">
        <v>278597.23265815148</v>
      </c>
      <c r="BZ65" s="13">
        <f t="shared" si="64"/>
        <v>-1.1345039347166463E-2</v>
      </c>
      <c r="CA65" s="130">
        <v>275840.2238329539</v>
      </c>
      <c r="CB65" s="13">
        <f t="shared" si="65"/>
        <v>-9.8960380865682485E-3</v>
      </c>
      <c r="CC65" s="130">
        <v>275615.10457874852</v>
      </c>
      <c r="CD65" s="13">
        <f t="shared" si="66"/>
        <v>-8.1612192405156048E-4</v>
      </c>
      <c r="CE65" s="130">
        <v>276820.27551149769</v>
      </c>
      <c r="CF65" s="13">
        <f t="shared" si="67"/>
        <v>4.3726592364781158E-3</v>
      </c>
      <c r="CG65" s="130">
        <v>277437.93456249143</v>
      </c>
      <c r="CH65" s="13">
        <f t="shared" si="68"/>
        <v>2.2312637679897662E-3</v>
      </c>
      <c r="CI65" s="130">
        <v>277858.91699838708</v>
      </c>
      <c r="CJ65" s="13">
        <f t="shared" si="69"/>
        <v>1.5173932020491332E-3</v>
      </c>
    </row>
    <row r="66" spans="1:88" x14ac:dyDescent="0.3">
      <c r="A66" s="147" t="s">
        <v>12</v>
      </c>
      <c r="B66" s="10">
        <v>211922.92506207706</v>
      </c>
      <c r="C66" s="10" t="s">
        <v>18</v>
      </c>
      <c r="D66" s="10">
        <v>214557.84009216924</v>
      </c>
      <c r="E66" s="11">
        <f t="shared" si="52"/>
        <v>1.2433364768442923E-2</v>
      </c>
      <c r="F66" s="10">
        <v>223078.79281268976</v>
      </c>
      <c r="G66" s="11">
        <f t="shared" si="52"/>
        <v>3.9714012393395226E-2</v>
      </c>
      <c r="H66" s="10">
        <v>219803.99452767361</v>
      </c>
      <c r="I66" s="11">
        <f t="shared" si="52"/>
        <v>-1.4680007201607337E-2</v>
      </c>
      <c r="J66" s="10">
        <v>216294.95157286353</v>
      </c>
      <c r="K66" s="11">
        <f t="shared" si="52"/>
        <v>-1.5964418491804411E-2</v>
      </c>
      <c r="L66" s="10">
        <v>216240.63454763751</v>
      </c>
      <c r="M66" s="11">
        <f t="shared" si="52"/>
        <v>-2.5112479431921297E-4</v>
      </c>
      <c r="N66" s="10">
        <v>218489.12762679125</v>
      </c>
      <c r="O66" s="11">
        <f t="shared" si="53"/>
        <v>1.0398106183222344E-2</v>
      </c>
      <c r="P66" s="42">
        <v>223895.59241500843</v>
      </c>
      <c r="Q66" s="11">
        <f t="shared" si="70"/>
        <v>2.4744777220458092E-2</v>
      </c>
      <c r="R66" s="1">
        <v>232284.88158100072</v>
      </c>
      <c r="S66" s="11">
        <f t="shared" si="54"/>
        <v>3.7469648578173365E-2</v>
      </c>
      <c r="T66" s="35">
        <v>240315.44433147885</v>
      </c>
      <c r="U66" s="11">
        <f t="shared" si="55"/>
        <v>3.4572042294873873E-2</v>
      </c>
      <c r="V66" s="1">
        <v>248499.86160222249</v>
      </c>
      <c r="W66" s="11">
        <f t="shared" si="55"/>
        <v>3.4056975794924282E-2</v>
      </c>
      <c r="X66" s="1">
        <v>252079.08210971011</v>
      </c>
      <c r="Y66" s="13">
        <f t="shared" si="56"/>
        <v>1.4403309862670799E-2</v>
      </c>
      <c r="Z66" s="80">
        <v>249379</v>
      </c>
      <c r="AA66" s="13">
        <f t="shared" si="34"/>
        <v>-1.0711250164482045E-2</v>
      </c>
      <c r="AB66" s="1">
        <v>256057.22500537531</v>
      </c>
      <c r="AC66" s="83">
        <f t="shared" si="57"/>
        <v>2.6779420101032292E-2</v>
      </c>
      <c r="AD66" s="1">
        <v>259971.7770430946</v>
      </c>
      <c r="AE66" s="13">
        <f t="shared" si="58"/>
        <v>1.5287801535915024E-2</v>
      </c>
      <c r="AF66">
        <v>2247</v>
      </c>
      <c r="AG66" s="1">
        <v>264259.30843595619</v>
      </c>
      <c r="AH66" s="109">
        <f t="shared" si="71"/>
        <v>1.6492295593113049E-2</v>
      </c>
      <c r="AI66" s="1">
        <v>263638.9330597294</v>
      </c>
      <c r="AJ66" s="13">
        <f t="shared" si="35"/>
        <v>-2.3476008466779552E-3</v>
      </c>
      <c r="AK66" s="1">
        <v>270586.86449560802</v>
      </c>
      <c r="AL66" s="13">
        <f t="shared" si="36"/>
        <v>2.635396583972871E-2</v>
      </c>
      <c r="AM66" s="35">
        <f t="shared" si="37"/>
        <v>54346.229947970511</v>
      </c>
      <c r="AN66" s="109">
        <f t="shared" si="38"/>
        <v>0.25132293040879938</v>
      </c>
      <c r="AO66" s="109"/>
      <c r="AP66" s="1">
        <v>273464.63700159639</v>
      </c>
      <c r="AQ66" s="1"/>
      <c r="AR66" s="13">
        <f t="shared" si="59"/>
        <v>1.0635300096154765E-2</v>
      </c>
      <c r="AS66" s="13"/>
      <c r="AT66" s="1">
        <v>278765.98798666633</v>
      </c>
      <c r="AU66" s="13">
        <f t="shared" si="39"/>
        <v>1.9385873958682964E-2</v>
      </c>
      <c r="AV66" s="1">
        <v>285228.90836500551</v>
      </c>
      <c r="AW66" s="13">
        <f t="shared" si="40"/>
        <v>2.3184034842329115E-2</v>
      </c>
      <c r="AX66" s="1">
        <v>289711.73171745968</v>
      </c>
      <c r="AY66" s="13">
        <f t="shared" si="41"/>
        <v>1.5716581387737572E-2</v>
      </c>
      <c r="AZ66" s="13">
        <f t="shared" si="42"/>
        <v>0.20554770220196961</v>
      </c>
      <c r="BA66" s="13">
        <f t="shared" si="43"/>
        <v>0.22792713164822365</v>
      </c>
      <c r="BB66" s="13">
        <f t="shared" si="44"/>
        <v>0.20554770220196961</v>
      </c>
      <c r="BC66" s="1">
        <v>292388.12739667401</v>
      </c>
      <c r="BD66" s="13">
        <f t="shared" si="45"/>
        <v>9.2381335866111858E-3</v>
      </c>
      <c r="BE66" s="130">
        <v>301531.94290582743</v>
      </c>
      <c r="BF66" s="13">
        <f t="shared" si="46"/>
        <v>3.1272868671402332E-2</v>
      </c>
      <c r="BG66" s="130">
        <v>306505.3299040483</v>
      </c>
      <c r="BH66" s="13">
        <f t="shared" si="47"/>
        <v>1.6493731809283485E-2</v>
      </c>
      <c r="BI66" s="130">
        <v>317477.79596749821</v>
      </c>
      <c r="BJ66" s="13">
        <f t="shared" si="48"/>
        <v>3.579861422600672E-2</v>
      </c>
      <c r="BK66" s="130">
        <v>317865.33061718981</v>
      </c>
      <c r="BL66" s="13">
        <f t="shared" si="49"/>
        <v>1.2206669399055237E-3</v>
      </c>
      <c r="BM66" s="130">
        <v>314491.06933455681</v>
      </c>
      <c r="BN66" s="13">
        <f t="shared" si="50"/>
        <v>-1.06153800292762E-2</v>
      </c>
      <c r="BO66" s="130">
        <v>306747.44519740611</v>
      </c>
      <c r="BP66" s="13">
        <f t="shared" si="51"/>
        <v>-2.4622715530637218E-2</v>
      </c>
      <c r="BQ66" s="130">
        <v>302028.76333584398</v>
      </c>
      <c r="BR66" s="13">
        <f t="shared" si="60"/>
        <v>-1.5382954073261956E-2</v>
      </c>
      <c r="BS66" s="130">
        <v>301502.58819331578</v>
      </c>
      <c r="BT66" s="13">
        <f t="shared" si="61"/>
        <v>-1.7421358704936551E-3</v>
      </c>
      <c r="BU66" s="130">
        <v>299742.17782187578</v>
      </c>
      <c r="BV66" s="13">
        <f t="shared" si="62"/>
        <v>-5.838790247171155E-3</v>
      </c>
      <c r="BW66" s="130">
        <v>295218.10880760069</v>
      </c>
      <c r="BX66" s="13">
        <f t="shared" si="63"/>
        <v>-1.5093201254324562E-2</v>
      </c>
      <c r="BY66" s="130">
        <v>290013.10981768259</v>
      </c>
      <c r="BZ66" s="13">
        <f t="shared" si="64"/>
        <v>-1.7631028838106633E-2</v>
      </c>
      <c r="CA66" s="130">
        <v>289305.56698198023</v>
      </c>
      <c r="CB66" s="13">
        <f t="shared" si="65"/>
        <v>-2.4396925923354518E-3</v>
      </c>
      <c r="CC66" s="130">
        <v>290651.04610973608</v>
      </c>
      <c r="CD66" s="13">
        <f t="shared" si="66"/>
        <v>4.6507197970360181E-3</v>
      </c>
      <c r="CE66" s="130">
        <v>289313.35217759508</v>
      </c>
      <c r="CF66" s="13">
        <f t="shared" si="67"/>
        <v>-4.6024053587474523E-3</v>
      </c>
      <c r="CG66" s="130">
        <v>291927.00474655448</v>
      </c>
      <c r="CH66" s="13">
        <f t="shared" si="68"/>
        <v>9.0339852941008214E-3</v>
      </c>
      <c r="CI66" s="130">
        <v>294542.43336894322</v>
      </c>
      <c r="CJ66" s="13">
        <f t="shared" si="69"/>
        <v>8.9591869880603081E-3</v>
      </c>
    </row>
    <row r="67" spans="1:88" x14ac:dyDescent="0.3">
      <c r="A67" s="147" t="s">
        <v>13</v>
      </c>
      <c r="B67" s="10">
        <v>107661.93485617486</v>
      </c>
      <c r="C67" s="10" t="s">
        <v>18</v>
      </c>
      <c r="D67" s="10">
        <v>109808.94645375002</v>
      </c>
      <c r="E67" s="11">
        <f t="shared" si="52"/>
        <v>1.9942160620123994E-2</v>
      </c>
      <c r="F67" s="10">
        <v>110007.16171009434</v>
      </c>
      <c r="G67" s="11">
        <f t="shared" si="52"/>
        <v>1.8050920507448609E-3</v>
      </c>
      <c r="H67" s="10">
        <v>114759.13339828324</v>
      </c>
      <c r="I67" s="11">
        <f t="shared" si="52"/>
        <v>4.3196930220888108E-2</v>
      </c>
      <c r="J67" s="10">
        <v>119193.28772187616</v>
      </c>
      <c r="K67" s="11">
        <f t="shared" si="52"/>
        <v>3.8638792332142513E-2</v>
      </c>
      <c r="L67" s="10">
        <v>118866.70313547953</v>
      </c>
      <c r="M67" s="11">
        <f t="shared" si="52"/>
        <v>-2.7399578670794789E-3</v>
      </c>
      <c r="N67" s="10">
        <v>122283.18840027084</v>
      </c>
      <c r="O67" s="11">
        <f t="shared" si="53"/>
        <v>2.8742155495785404E-2</v>
      </c>
      <c r="P67" s="42">
        <v>124611.10201898518</v>
      </c>
      <c r="Q67" s="11">
        <f t="shared" si="70"/>
        <v>1.9037070010755386E-2</v>
      </c>
      <c r="R67" s="1">
        <v>129934.95857910582</v>
      </c>
      <c r="S67" s="11">
        <f t="shared" si="54"/>
        <v>4.2723773996553804E-2</v>
      </c>
      <c r="T67" s="35">
        <v>129043</v>
      </c>
      <c r="U67" s="11">
        <f t="shared" si="55"/>
        <v>-6.8646543536841076E-3</v>
      </c>
      <c r="V67" s="1">
        <v>129358</v>
      </c>
      <c r="W67" s="11">
        <f t="shared" si="55"/>
        <v>2.4410467828552829E-3</v>
      </c>
      <c r="X67" s="1">
        <v>129570.29291170731</v>
      </c>
      <c r="Y67" s="13">
        <f t="shared" si="56"/>
        <v>1.6411270405178868E-3</v>
      </c>
      <c r="Z67" s="80">
        <v>130229</v>
      </c>
      <c r="AA67" s="13">
        <f t="shared" si="34"/>
        <v>5.0837817333757584E-3</v>
      </c>
      <c r="AB67" s="1">
        <v>132518.89463728989</v>
      </c>
      <c r="AC67" s="83">
        <f t="shared" si="57"/>
        <v>1.7583599945403039E-2</v>
      </c>
      <c r="AD67" s="1">
        <v>139459.01967022661</v>
      </c>
      <c r="AE67" s="13">
        <f t="shared" si="58"/>
        <v>5.2370834000178945E-2</v>
      </c>
      <c r="AF67">
        <v>460</v>
      </c>
      <c r="AG67" s="1">
        <v>142362.58756016791</v>
      </c>
      <c r="AH67" s="109">
        <f t="shared" si="71"/>
        <v>2.0820223007498972E-2</v>
      </c>
      <c r="AI67" s="1">
        <v>143498.26577306702</v>
      </c>
      <c r="AJ67" s="13">
        <f t="shared" si="35"/>
        <v>7.9773642244254095E-3</v>
      </c>
      <c r="AK67" s="1">
        <v>147506.88143227229</v>
      </c>
      <c r="AL67" s="13">
        <f t="shared" si="36"/>
        <v>2.7934941496398524E-2</v>
      </c>
      <c r="AM67" s="35">
        <f t="shared" si="37"/>
        <v>28640.178296792757</v>
      </c>
      <c r="AN67" s="109">
        <f t="shared" si="38"/>
        <v>0.24094365824338393</v>
      </c>
      <c r="AO67" s="109"/>
      <c r="AP67" s="1">
        <v>151436.4457790372</v>
      </c>
      <c r="AQ67" s="1"/>
      <c r="AR67" s="13">
        <f t="shared" si="59"/>
        <v>2.6639871364707579E-2</v>
      </c>
      <c r="AS67" s="13"/>
      <c r="AT67" s="1">
        <v>155868.4950546629</v>
      </c>
      <c r="AU67" s="13">
        <f t="shared" si="39"/>
        <v>2.9266728051003943E-2</v>
      </c>
      <c r="AV67" s="1">
        <v>157390.60041545649</v>
      </c>
      <c r="AW67" s="13">
        <f t="shared" si="40"/>
        <v>9.7653176176479839E-3</v>
      </c>
      <c r="AX67" s="1">
        <v>159785.937546264</v>
      </c>
      <c r="AY67" s="13">
        <f t="shared" si="41"/>
        <v>1.5219060887274427E-2</v>
      </c>
      <c r="AZ67" s="13">
        <f t="shared" si="42"/>
        <v>0.23823793267565074</v>
      </c>
      <c r="BA67" s="13">
        <f t="shared" si="43"/>
        <v>0.21130296370268487</v>
      </c>
      <c r="BB67" s="13">
        <f t="shared" si="44"/>
        <v>0.23823793267565074</v>
      </c>
      <c r="BC67" s="1">
        <v>161645.5357903064</v>
      </c>
      <c r="BD67" s="13">
        <f t="shared" si="45"/>
        <v>1.1638059472561357E-2</v>
      </c>
      <c r="BE67" s="130">
        <v>170210.68660550661</v>
      </c>
      <c r="BF67" s="13">
        <f t="shared" si="46"/>
        <v>5.2987240094964916E-2</v>
      </c>
      <c r="BG67" s="130">
        <v>174859.56953524469</v>
      </c>
      <c r="BH67" s="13">
        <f t="shared" si="47"/>
        <v>2.7312520867227796E-2</v>
      </c>
      <c r="BI67" s="130">
        <v>179453.84332747641</v>
      </c>
      <c r="BJ67" s="13">
        <f t="shared" si="48"/>
        <v>2.6274076988995976E-2</v>
      </c>
      <c r="BK67" s="130">
        <v>179428.2809239756</v>
      </c>
      <c r="BL67" s="13">
        <f t="shared" si="49"/>
        <v>-1.4244556163756084E-4</v>
      </c>
      <c r="BM67" s="130">
        <v>177505.728807262</v>
      </c>
      <c r="BN67" s="13">
        <f t="shared" si="50"/>
        <v>-1.0714877871054185E-2</v>
      </c>
      <c r="BO67" s="130">
        <v>172695.16443705879</v>
      </c>
      <c r="BP67" s="13">
        <f t="shared" si="51"/>
        <v>-2.7100896419104181E-2</v>
      </c>
      <c r="BQ67" s="130">
        <v>173119.69770832741</v>
      </c>
      <c r="BR67" s="13">
        <f t="shared" si="60"/>
        <v>2.4582811722173581E-3</v>
      </c>
      <c r="BS67" s="130">
        <v>173425.58342890229</v>
      </c>
      <c r="BT67" s="13">
        <f t="shared" si="61"/>
        <v>1.7669030423692611E-3</v>
      </c>
      <c r="BU67" s="130">
        <v>172950.42462868241</v>
      </c>
      <c r="BV67" s="13">
        <f t="shared" si="62"/>
        <v>-2.7398425931470793E-3</v>
      </c>
      <c r="BW67" s="130">
        <v>171117.59397983059</v>
      </c>
      <c r="BX67" s="13">
        <f t="shared" si="63"/>
        <v>-1.0597433644854215E-2</v>
      </c>
      <c r="BY67" s="130">
        <v>169378.69014830299</v>
      </c>
      <c r="BZ67" s="13">
        <f t="shared" si="64"/>
        <v>-1.016203998130405E-2</v>
      </c>
      <c r="CA67" s="130">
        <v>166884.05761793401</v>
      </c>
      <c r="CB67" s="13">
        <f t="shared" si="65"/>
        <v>-1.4728136864116448E-2</v>
      </c>
      <c r="CC67" s="130">
        <v>166417.40270443531</v>
      </c>
      <c r="CD67" s="13">
        <f t="shared" si="66"/>
        <v>-2.7962821623565004E-3</v>
      </c>
      <c r="CE67" s="130">
        <v>167266.13257967349</v>
      </c>
      <c r="CF67" s="13">
        <f t="shared" si="67"/>
        <v>5.1000067387516612E-3</v>
      </c>
      <c r="CG67" s="130">
        <v>167153.23560872281</v>
      </c>
      <c r="CH67" s="13">
        <f t="shared" si="68"/>
        <v>-6.7495415365625977E-4</v>
      </c>
      <c r="CI67" s="130">
        <v>169292.30333286771</v>
      </c>
      <c r="CJ67" s="13">
        <f t="shared" si="69"/>
        <v>1.2797046472687423E-2</v>
      </c>
    </row>
    <row r="68" spans="1:88" ht="15" customHeight="1" x14ac:dyDescent="0.3">
      <c r="A68" s="147" t="s">
        <v>14</v>
      </c>
      <c r="B68" s="10">
        <v>435844.15611544129</v>
      </c>
      <c r="C68" s="10" t="s">
        <v>18</v>
      </c>
      <c r="D68" s="10">
        <v>454712.7449541252</v>
      </c>
      <c r="E68" s="11">
        <f t="shared" si="52"/>
        <v>4.3292054221523601E-2</v>
      </c>
      <c r="F68" s="10">
        <v>506845.22688288271</v>
      </c>
      <c r="G68" s="11">
        <f t="shared" si="52"/>
        <v>0.1146492648540498</v>
      </c>
      <c r="H68" s="10">
        <v>476637.9608552499</v>
      </c>
      <c r="I68" s="11">
        <f t="shared" si="52"/>
        <v>-5.9598600175064576E-2</v>
      </c>
      <c r="J68" s="10">
        <v>473423.35592662328</v>
      </c>
      <c r="K68" s="11">
        <f t="shared" si="52"/>
        <v>-6.7443325807674537E-3</v>
      </c>
      <c r="L68" s="10">
        <v>470411.8491181531</v>
      </c>
      <c r="M68" s="11">
        <f t="shared" si="52"/>
        <v>-6.3611285137713525E-3</v>
      </c>
      <c r="N68" s="10">
        <v>473782.59513865499</v>
      </c>
      <c r="O68" s="11">
        <f t="shared" si="53"/>
        <v>7.165521078647874E-3</v>
      </c>
      <c r="P68" s="42">
        <v>480526.8372177697</v>
      </c>
      <c r="Q68" s="11">
        <f t="shared" si="70"/>
        <v>1.4234887790973039E-2</v>
      </c>
      <c r="R68" s="1">
        <v>485369.39769288228</v>
      </c>
      <c r="S68" s="11">
        <f t="shared" si="54"/>
        <v>1.0077606701741848E-2</v>
      </c>
      <c r="T68" s="35">
        <v>492923.83831749501</v>
      </c>
      <c r="U68" s="11">
        <f t="shared" si="55"/>
        <v>1.5564311760324134E-2</v>
      </c>
      <c r="V68" s="1">
        <v>492266.94837677892</v>
      </c>
      <c r="W68" s="11">
        <f t="shared" si="55"/>
        <v>-1.3326398312532017E-3</v>
      </c>
      <c r="X68" s="1">
        <v>496551.37231304799</v>
      </c>
      <c r="Y68" s="13">
        <f t="shared" si="56"/>
        <v>8.703456428258427E-3</v>
      </c>
      <c r="Z68" s="80">
        <v>485358</v>
      </c>
      <c r="AA68" s="13">
        <f t="shared" si="34"/>
        <v>-2.2542224102426234E-2</v>
      </c>
      <c r="AB68" s="1">
        <v>506384.34900950472</v>
      </c>
      <c r="AC68" s="83">
        <f t="shared" si="57"/>
        <v>4.3321319540431391E-2</v>
      </c>
      <c r="AD68" s="1">
        <v>506551.61429924797</v>
      </c>
      <c r="AE68" s="13">
        <f t="shared" si="58"/>
        <v>3.3031291364049586E-4</v>
      </c>
      <c r="AF68">
        <v>5654</v>
      </c>
      <c r="AG68" s="1">
        <v>517047.08268324181</v>
      </c>
      <c r="AH68" s="109">
        <f t="shared" si="71"/>
        <v>2.0719445141859971E-2</v>
      </c>
      <c r="AI68" s="1">
        <v>523622.43571524927</v>
      </c>
      <c r="AJ68" s="13">
        <f t="shared" si="35"/>
        <v>1.27171262583754E-2</v>
      </c>
      <c r="AK68" s="1">
        <v>537692.18327814108</v>
      </c>
      <c r="AL68" s="13">
        <f t="shared" si="36"/>
        <v>2.6870024283189853E-2</v>
      </c>
      <c r="AM68" s="35">
        <f t="shared" si="37"/>
        <v>67280.334159987979</v>
      </c>
      <c r="AN68" s="109">
        <f t="shared" si="38"/>
        <v>0.14302431855429143</v>
      </c>
      <c r="AO68" s="109"/>
      <c r="AP68" s="1">
        <v>542877.9800446697</v>
      </c>
      <c r="AQ68" s="1"/>
      <c r="AR68" s="13">
        <f t="shared" si="59"/>
        <v>9.6445455742213415E-3</v>
      </c>
      <c r="AS68" s="13"/>
      <c r="AT68" s="1">
        <v>543264.80966320937</v>
      </c>
      <c r="AU68" s="13">
        <f t="shared" si="39"/>
        <v>7.1255352539401073E-4</v>
      </c>
      <c r="AV68" s="1">
        <v>542715.61971284903</v>
      </c>
      <c r="AW68" s="13">
        <f t="shared" si="40"/>
        <v>-1.0109065424296348E-3</v>
      </c>
      <c r="AX68" s="1">
        <v>555672.40852921503</v>
      </c>
      <c r="AY68" s="13">
        <f t="shared" si="41"/>
        <v>2.3873992834813729E-2</v>
      </c>
      <c r="AZ68" s="13">
        <f t="shared" si="42"/>
        <v>0.12729871297338891</v>
      </c>
      <c r="BA68" s="13">
        <f t="shared" si="43"/>
        <v>0.11814964497669589</v>
      </c>
      <c r="BB68" s="13">
        <f t="shared" si="44"/>
        <v>0.12729871297338891</v>
      </c>
      <c r="BC68" s="1">
        <v>556712.36456874479</v>
      </c>
      <c r="BD68" s="13">
        <f t="shared" si="45"/>
        <v>1.8715272228153612E-3</v>
      </c>
      <c r="BE68" s="130">
        <v>566412.42145575269</v>
      </c>
      <c r="BF68" s="13">
        <f t="shared" si="46"/>
        <v>1.7423821535780037E-2</v>
      </c>
      <c r="BG68" s="130">
        <v>581480.31554015295</v>
      </c>
      <c r="BH68" s="13">
        <f t="shared" si="47"/>
        <v>2.6602336943236216E-2</v>
      </c>
      <c r="BI68" s="130">
        <v>614649.65555774572</v>
      </c>
      <c r="BJ68" s="13">
        <f t="shared" si="48"/>
        <v>5.7042928421026318E-2</v>
      </c>
      <c r="BK68" s="130">
        <v>611145.75765048899</v>
      </c>
      <c r="BL68" s="13">
        <f t="shared" si="49"/>
        <v>-5.7006424319513416E-3</v>
      </c>
      <c r="BM68" s="130">
        <v>582476.15835085395</v>
      </c>
      <c r="BN68" s="13">
        <f t="shared" si="50"/>
        <v>-4.6911230161939543E-2</v>
      </c>
      <c r="BO68" s="130">
        <v>561015.95666451391</v>
      </c>
      <c r="BP68" s="13">
        <f t="shared" si="51"/>
        <v>-3.68430559408639E-2</v>
      </c>
      <c r="BQ68" s="130">
        <v>560227.79481246381</v>
      </c>
      <c r="BR68" s="13">
        <f t="shared" si="60"/>
        <v>-1.4048831279881435E-3</v>
      </c>
      <c r="BS68" s="130">
        <v>556845.13157476194</v>
      </c>
      <c r="BT68" s="13">
        <f t="shared" si="61"/>
        <v>-6.0380139454420112E-3</v>
      </c>
      <c r="BU68" s="130">
        <v>546331.8309059419</v>
      </c>
      <c r="BV68" s="13">
        <f t="shared" si="62"/>
        <v>-1.8880115983214818E-2</v>
      </c>
      <c r="BW68" s="130">
        <v>540294.95933754591</v>
      </c>
      <c r="BX68" s="13">
        <f t="shared" si="63"/>
        <v>-1.1049825814442249E-2</v>
      </c>
      <c r="BY68" s="130">
        <v>537600.66520599893</v>
      </c>
      <c r="BZ68" s="13">
        <f t="shared" si="64"/>
        <v>-4.9867097313853748E-3</v>
      </c>
      <c r="CA68" s="130">
        <v>536836.10728846374</v>
      </c>
      <c r="CB68" s="13">
        <f t="shared" si="65"/>
        <v>-1.4221669856793184E-3</v>
      </c>
      <c r="CC68" s="130">
        <v>538747.59144121234</v>
      </c>
      <c r="CD68" s="13">
        <f t="shared" si="66"/>
        <v>3.560647517551363E-3</v>
      </c>
      <c r="CE68" s="130">
        <v>536305.76087202888</v>
      </c>
      <c r="CF68" s="13">
        <f t="shared" si="67"/>
        <v>-4.5324203912471273E-3</v>
      </c>
      <c r="CG68" s="130">
        <v>536010.63663105911</v>
      </c>
      <c r="CH68" s="13">
        <f t="shared" si="68"/>
        <v>-5.5029101401016245E-4</v>
      </c>
      <c r="CI68" s="130">
        <v>543077.44689871592</v>
      </c>
      <c r="CJ68" s="13">
        <f t="shared" si="69"/>
        <v>1.3184085883207963E-2</v>
      </c>
    </row>
    <row r="69" spans="1:88" x14ac:dyDescent="0.3">
      <c r="A69" s="9" t="s">
        <v>15</v>
      </c>
      <c r="B69" s="10">
        <v>177566.66483721207</v>
      </c>
      <c r="C69" s="10" t="s">
        <v>18</v>
      </c>
      <c r="D69" s="10">
        <v>178792.0863051303</v>
      </c>
      <c r="E69" s="11">
        <f t="shared" si="52"/>
        <v>6.9011909923615278E-3</v>
      </c>
      <c r="F69" s="10">
        <v>179632.39860105398</v>
      </c>
      <c r="G69" s="11">
        <f t="shared" si="52"/>
        <v>4.6999412182571199E-3</v>
      </c>
      <c r="H69" s="10">
        <v>180106.2554264222</v>
      </c>
      <c r="I69" s="11">
        <f t="shared" si="52"/>
        <v>2.6379251686139416E-3</v>
      </c>
      <c r="J69" s="10">
        <v>180518.92279830819</v>
      </c>
      <c r="K69" s="11">
        <f t="shared" si="52"/>
        <v>2.2912439710045529E-3</v>
      </c>
      <c r="L69" s="10">
        <v>181588.45967409431</v>
      </c>
      <c r="M69" s="11">
        <f t="shared" si="52"/>
        <v>5.9247909261075371E-3</v>
      </c>
      <c r="N69" s="10">
        <v>183216.8568633195</v>
      </c>
      <c r="O69" s="11">
        <f t="shared" si="53"/>
        <v>8.9675147426644397E-3</v>
      </c>
      <c r="P69" s="42">
        <v>187103.08992856898</v>
      </c>
      <c r="Q69" s="11">
        <f t="shared" si="70"/>
        <v>2.121111087583305E-2</v>
      </c>
      <c r="R69" s="1">
        <v>193257.30812112009</v>
      </c>
      <c r="S69" s="11">
        <f t="shared" si="54"/>
        <v>3.2892124843585613E-2</v>
      </c>
      <c r="T69" s="35">
        <v>198357.59282107299</v>
      </c>
      <c r="U69" s="11">
        <f t="shared" si="55"/>
        <v>2.639116082873505E-2</v>
      </c>
      <c r="V69" s="1">
        <v>204423.53773625591</v>
      </c>
      <c r="W69" s="11">
        <f t="shared" si="55"/>
        <v>3.0580855660285566E-2</v>
      </c>
      <c r="X69" s="1">
        <v>207722.82884056869</v>
      </c>
      <c r="Y69" s="13">
        <f t="shared" si="56"/>
        <v>1.6139487364559058E-2</v>
      </c>
      <c r="Z69" s="80">
        <v>208923</v>
      </c>
      <c r="AA69" s="13">
        <f t="shared" si="34"/>
        <v>5.7777528167231029E-3</v>
      </c>
      <c r="AB69" s="1">
        <v>214923.24614204169</v>
      </c>
      <c r="AC69" s="83">
        <f t="shared" si="57"/>
        <v>2.8719892697509186E-2</v>
      </c>
      <c r="AD69" s="1">
        <v>214656</v>
      </c>
      <c r="AE69" s="13">
        <f t="shared" si="58"/>
        <v>-1.2434492165871447E-3</v>
      </c>
      <c r="AF69">
        <v>3941</v>
      </c>
      <c r="AG69" s="1">
        <v>223160.25658915259</v>
      </c>
      <c r="AH69" s="109">
        <f t="shared" si="71"/>
        <v>3.961807072316903E-2</v>
      </c>
      <c r="AI69" s="1">
        <v>221907.45513157058</v>
      </c>
      <c r="AJ69" s="13">
        <f t="shared" si="35"/>
        <v>-5.6139093794307371E-3</v>
      </c>
      <c r="AK69" s="1">
        <v>231525.01908459191</v>
      </c>
      <c r="AL69" s="13">
        <f t="shared" si="36"/>
        <v>4.3340427419705341E-2</v>
      </c>
      <c r="AM69" s="35">
        <f t="shared" si="37"/>
        <v>49936.559410497604</v>
      </c>
      <c r="AN69" s="109">
        <f t="shared" si="38"/>
        <v>0.27499852964291449</v>
      </c>
      <c r="AO69" s="109"/>
      <c r="AP69" s="1">
        <v>236217.4435711597</v>
      </c>
      <c r="AQ69" s="1"/>
      <c r="AR69" s="13">
        <f t="shared" si="59"/>
        <v>2.0267461828189504E-2</v>
      </c>
      <c r="AS69" s="13"/>
      <c r="AT69" s="1">
        <v>240456.28294197639</v>
      </c>
      <c r="AU69" s="13">
        <f t="shared" si="39"/>
        <v>1.7944650093293157E-2</v>
      </c>
      <c r="AV69" s="1">
        <v>244291.873544584</v>
      </c>
      <c r="AW69" s="13">
        <f t="shared" si="40"/>
        <v>1.5951301233135817E-2</v>
      </c>
      <c r="AX69" s="1">
        <v>248434.6984776</v>
      </c>
      <c r="AY69" s="13">
        <f t="shared" si="41"/>
        <v>1.6958504893777926E-2</v>
      </c>
      <c r="AZ69" s="13">
        <f t="shared" si="42"/>
        <v>0.2524587284223534</v>
      </c>
      <c r="BA69" s="13">
        <f t="shared" si="43"/>
        <v>0.26407573364045334</v>
      </c>
      <c r="BB69" s="13">
        <f t="shared" si="44"/>
        <v>0.2524587284223534</v>
      </c>
      <c r="BC69" s="1">
        <v>250776.498061486</v>
      </c>
      <c r="BD69" s="13">
        <f t="shared" si="45"/>
        <v>9.4262178280106745E-3</v>
      </c>
      <c r="BE69" s="130">
        <v>257687.7018565388</v>
      </c>
      <c r="BF69" s="13">
        <f t="shared" si="46"/>
        <v>2.7559216467558656E-2</v>
      </c>
      <c r="BG69" s="130">
        <v>262051.61598266201</v>
      </c>
      <c r="BH69" s="13">
        <f t="shared" si="47"/>
        <v>1.6934894815247015E-2</v>
      </c>
      <c r="BI69" s="130">
        <v>270818.45032309112</v>
      </c>
      <c r="BJ69" s="13">
        <f t="shared" si="48"/>
        <v>3.3454608961499988E-2</v>
      </c>
      <c r="BK69" s="130">
        <v>273327.71999100369</v>
      </c>
      <c r="BL69" s="13">
        <f t="shared" si="49"/>
        <v>9.2655048609833202E-3</v>
      </c>
      <c r="BM69" s="130">
        <v>270054.66578569799</v>
      </c>
      <c r="BN69" s="13">
        <f t="shared" si="50"/>
        <v>-1.1974834478601148E-2</v>
      </c>
      <c r="BO69" s="130">
        <v>265723.44464542938</v>
      </c>
      <c r="BP69" s="13">
        <f t="shared" si="51"/>
        <v>-1.6038312567817847E-2</v>
      </c>
      <c r="BQ69" s="130">
        <v>263884.01689317689</v>
      </c>
      <c r="BR69" s="13">
        <f t="shared" si="60"/>
        <v>-6.9223389554766701E-3</v>
      </c>
      <c r="BS69" s="130">
        <v>263479.18276773021</v>
      </c>
      <c r="BT69" s="13">
        <f t="shared" si="61"/>
        <v>-1.5341365885398472E-3</v>
      </c>
      <c r="BU69" s="130">
        <v>262155.09597327432</v>
      </c>
      <c r="BV69" s="13">
        <f t="shared" si="62"/>
        <v>-5.0253943425319081E-3</v>
      </c>
      <c r="BW69" s="130">
        <v>259166.2479942012</v>
      </c>
      <c r="BX69" s="13">
        <f t="shared" si="63"/>
        <v>-1.1401067631269024E-2</v>
      </c>
      <c r="BY69" s="130">
        <v>255999.51713306949</v>
      </c>
      <c r="BZ69" s="13">
        <f t="shared" si="64"/>
        <v>-1.2218916952498216E-2</v>
      </c>
      <c r="CA69" s="130">
        <v>253290.11788260931</v>
      </c>
      <c r="CB69" s="13">
        <f t="shared" si="65"/>
        <v>-1.0583610784905551E-2</v>
      </c>
      <c r="CC69" s="130">
        <v>252980.29083724669</v>
      </c>
      <c r="CD69" s="13">
        <f t="shared" si="66"/>
        <v>-1.2232101589775279E-3</v>
      </c>
      <c r="CE69" s="130">
        <v>252497.7358589184</v>
      </c>
      <c r="CF69" s="13">
        <f t="shared" si="67"/>
        <v>-1.9074805263732397E-3</v>
      </c>
      <c r="CG69" s="130">
        <v>251723.6431670411</v>
      </c>
      <c r="CH69" s="13">
        <f t="shared" si="68"/>
        <v>-3.0657411213771413E-3</v>
      </c>
      <c r="CI69" s="130">
        <v>253205.29192346189</v>
      </c>
      <c r="CJ69" s="13">
        <f t="shared" si="69"/>
        <v>5.8860134780329698E-3</v>
      </c>
    </row>
    <row r="70" spans="1:88" x14ac:dyDescent="0.3">
      <c r="A70" s="9" t="s">
        <v>16</v>
      </c>
      <c r="B70" s="10">
        <v>219292.47650745051</v>
      </c>
      <c r="C70" s="10" t="s">
        <v>18</v>
      </c>
      <c r="D70" s="10">
        <v>220515.75756987921</v>
      </c>
      <c r="E70" s="11">
        <f t="shared" si="52"/>
        <v>5.5783083939366929E-3</v>
      </c>
      <c r="F70" s="10">
        <v>225259.64081914292</v>
      </c>
      <c r="G70" s="11">
        <f t="shared" si="52"/>
        <v>2.151267238923027E-2</v>
      </c>
      <c r="H70" s="10">
        <v>224658.71785201639</v>
      </c>
      <c r="I70" s="11">
        <f t="shared" si="52"/>
        <v>-2.6676903369876603E-3</v>
      </c>
      <c r="J70" s="10">
        <v>223714.34624876463</v>
      </c>
      <c r="K70" s="11">
        <f t="shared" si="52"/>
        <v>-4.2035831606312968E-3</v>
      </c>
      <c r="L70" s="10">
        <v>224034.02776806464</v>
      </c>
      <c r="M70" s="11">
        <f t="shared" si="52"/>
        <v>1.4289719218298913E-3</v>
      </c>
      <c r="N70" s="10">
        <v>225873.2696417782</v>
      </c>
      <c r="O70" s="11">
        <f t="shared" si="53"/>
        <v>8.2096540960181486E-3</v>
      </c>
      <c r="P70" s="42">
        <v>231188.57252377388</v>
      </c>
      <c r="Q70" s="11">
        <f t="shared" si="70"/>
        <v>2.3532235091055398E-2</v>
      </c>
      <c r="R70" s="1">
        <v>238795.99123354859</v>
      </c>
      <c r="S70" s="11">
        <f t="shared" si="54"/>
        <v>3.2905686586184535E-2</v>
      </c>
      <c r="T70" s="35">
        <v>242855.65252428901</v>
      </c>
      <c r="U70" s="11">
        <f t="shared" si="55"/>
        <v>1.7000542051687884E-2</v>
      </c>
      <c r="V70" s="1">
        <v>251075.408196409</v>
      </c>
      <c r="W70" s="11">
        <f t="shared" si="55"/>
        <v>3.3846260470704603E-2</v>
      </c>
      <c r="X70" s="1">
        <v>252676.76757866339</v>
      </c>
      <c r="Y70" s="13">
        <f t="shared" si="56"/>
        <v>6.3780017077645912E-3</v>
      </c>
      <c r="Z70" s="80">
        <v>251521</v>
      </c>
      <c r="AA70" s="13">
        <f t="shared" si="34"/>
        <v>-4.5740951561903387E-3</v>
      </c>
      <c r="AB70" s="1">
        <v>257717.3994652222</v>
      </c>
      <c r="AC70" s="83">
        <f t="shared" si="57"/>
        <v>2.4635714175843093E-2</v>
      </c>
      <c r="AD70" s="1">
        <v>263055.17312146898</v>
      </c>
      <c r="AE70" s="13">
        <f t="shared" si="58"/>
        <v>2.0711731793518595E-2</v>
      </c>
      <c r="AF70">
        <v>4112</v>
      </c>
      <c r="AG70" s="1">
        <v>267496.63666675298</v>
      </c>
      <c r="AH70" s="109">
        <f t="shared" si="71"/>
        <v>1.6884152068102898E-2</v>
      </c>
      <c r="AI70" s="1">
        <v>267714.09157880186</v>
      </c>
      <c r="AJ70" s="13">
        <f t="shared" si="35"/>
        <v>8.1292578014657835E-4</v>
      </c>
      <c r="AK70" s="1">
        <v>274500.01690092351</v>
      </c>
      <c r="AL70" s="13">
        <f t="shared" si="36"/>
        <v>2.5347658324979205E-2</v>
      </c>
      <c r="AM70" s="35">
        <f t="shared" si="37"/>
        <v>50465.989132858871</v>
      </c>
      <c r="AN70" s="109">
        <f t="shared" si="38"/>
        <v>0.22526037511187691</v>
      </c>
      <c r="AO70" s="109"/>
      <c r="AP70" s="1">
        <v>279971.03003293643</v>
      </c>
      <c r="AQ70" s="1"/>
      <c r="AR70" s="13">
        <f t="shared" si="59"/>
        <v>1.9930829854876153E-2</v>
      </c>
      <c r="AS70" s="13"/>
      <c r="AT70" s="1">
        <v>284425.09842203389</v>
      </c>
      <c r="AU70" s="13">
        <f t="shared" si="39"/>
        <v>1.5909033118796101E-2</v>
      </c>
      <c r="AV70" s="1">
        <v>287414.23817491438</v>
      </c>
      <c r="AW70" s="13">
        <f t="shared" si="40"/>
        <v>1.0509409223953714E-2</v>
      </c>
      <c r="AX70" s="1">
        <v>291686.34427841782</v>
      </c>
      <c r="AY70" s="13">
        <f t="shared" si="41"/>
        <v>1.4863933431521703E-2</v>
      </c>
      <c r="AZ70" s="13">
        <f t="shared" si="42"/>
        <v>0.20106878817344009</v>
      </c>
      <c r="BA70" s="13">
        <f t="shared" si="43"/>
        <v>0.20359741673308029</v>
      </c>
      <c r="BB70" s="13">
        <f t="shared" si="44"/>
        <v>0.20106878817344009</v>
      </c>
      <c r="BC70" s="1">
        <v>295671.37932612142</v>
      </c>
      <c r="BD70" s="13">
        <f t="shared" si="45"/>
        <v>1.3662055580839327E-2</v>
      </c>
      <c r="BE70" s="130">
        <v>301752.70797902631</v>
      </c>
      <c r="BF70" s="13">
        <f t="shared" si="46"/>
        <v>2.0567863777566586E-2</v>
      </c>
      <c r="BG70" s="130">
        <v>307307.36865101598</v>
      </c>
      <c r="BH70" s="13">
        <f t="shared" si="47"/>
        <v>1.8407989473207209E-2</v>
      </c>
      <c r="BI70" s="130">
        <v>320210.02967514237</v>
      </c>
      <c r="BJ70" s="13">
        <f t="shared" si="48"/>
        <v>4.1986175212020083E-2</v>
      </c>
      <c r="BK70" s="130">
        <v>324283.56090027408</v>
      </c>
      <c r="BL70" s="13">
        <f t="shared" si="49"/>
        <v>1.2721435456797936E-2</v>
      </c>
      <c r="BM70" s="130">
        <v>318190.26654221967</v>
      </c>
      <c r="BN70" s="13">
        <f t="shared" si="50"/>
        <v>-1.8790019269364855E-2</v>
      </c>
      <c r="BO70" s="130">
        <v>312344.65072477132</v>
      </c>
      <c r="BP70" s="13">
        <f t="shared" si="51"/>
        <v>-1.837144762777565E-2</v>
      </c>
      <c r="BQ70" s="130">
        <v>309244.1348849741</v>
      </c>
      <c r="BR70" s="13">
        <f t="shared" si="60"/>
        <v>-9.9265853684470384E-3</v>
      </c>
      <c r="BS70" s="130">
        <v>308834.37533444568</v>
      </c>
      <c r="BT70" s="13">
        <f t="shared" si="61"/>
        <v>-1.3250358027997455E-3</v>
      </c>
      <c r="BU70" s="130">
        <v>306233.1175945258</v>
      </c>
      <c r="BV70" s="13">
        <f t="shared" si="62"/>
        <v>-8.4228244899969829E-3</v>
      </c>
      <c r="BW70" s="130">
        <v>301531.71527971758</v>
      </c>
      <c r="BX70" s="13">
        <f t="shared" si="63"/>
        <v>-1.5352364080468917E-2</v>
      </c>
      <c r="BY70" s="130">
        <v>299035.41672953381</v>
      </c>
      <c r="BZ70" s="13">
        <f t="shared" si="64"/>
        <v>-8.2787263285656332E-3</v>
      </c>
      <c r="CA70" s="130">
        <v>296629.6945765338</v>
      </c>
      <c r="CB70" s="13">
        <f t="shared" si="65"/>
        <v>-8.0449405602543989E-3</v>
      </c>
      <c r="CC70" s="130">
        <v>295773.71667826647</v>
      </c>
      <c r="CD70" s="13">
        <f t="shared" si="66"/>
        <v>-2.8856783859394497E-3</v>
      </c>
      <c r="CE70" s="130">
        <v>294978.52411132469</v>
      </c>
      <c r="CF70" s="13">
        <f t="shared" si="67"/>
        <v>-2.6885166669720073E-3</v>
      </c>
      <c r="CG70" s="130">
        <v>293915.58188242093</v>
      </c>
      <c r="CH70" s="13">
        <f t="shared" si="68"/>
        <v>-3.6034563265446851E-3</v>
      </c>
      <c r="CI70" s="130">
        <v>295572.76397545612</v>
      </c>
      <c r="CJ70" s="13">
        <f t="shared" si="69"/>
        <v>5.6382927452214293E-3</v>
      </c>
    </row>
    <row r="71" spans="1:88" x14ac:dyDescent="0.3">
      <c r="A71" s="9" t="s">
        <v>17</v>
      </c>
      <c r="B71" s="10">
        <v>194781.37282670615</v>
      </c>
      <c r="C71" s="10" t="s">
        <v>18</v>
      </c>
      <c r="D71" s="10">
        <v>196955.88015947907</v>
      </c>
      <c r="E71" s="11">
        <f t="shared" si="52"/>
        <v>1.1163836157513707E-2</v>
      </c>
      <c r="F71" s="10">
        <v>198242.42804237796</v>
      </c>
      <c r="G71" s="11">
        <f t="shared" si="52"/>
        <v>6.5321628471164406E-3</v>
      </c>
      <c r="H71" s="10">
        <v>198537.20508864647</v>
      </c>
      <c r="I71" s="11">
        <f t="shared" si="52"/>
        <v>1.4869523601954704E-3</v>
      </c>
      <c r="J71" s="10">
        <v>197965.84965900352</v>
      </c>
      <c r="K71" s="11">
        <f t="shared" si="52"/>
        <v>-2.877825490632091E-3</v>
      </c>
      <c r="L71" s="10">
        <v>198828.68868675246</v>
      </c>
      <c r="M71" s="11">
        <f t="shared" si="52"/>
        <v>4.3585246103565733E-3</v>
      </c>
      <c r="N71" s="10">
        <v>201862.54458243187</v>
      </c>
      <c r="O71" s="11">
        <f t="shared" si="53"/>
        <v>1.5258642581801318E-2</v>
      </c>
      <c r="P71" s="42">
        <v>206029.49940472984</v>
      </c>
      <c r="Q71" s="11">
        <f t="shared" si="70"/>
        <v>2.0642535894499936E-2</v>
      </c>
      <c r="R71" s="1">
        <v>213104.89335435766</v>
      </c>
      <c r="S71" s="11">
        <f t="shared" si="54"/>
        <v>3.4341654811909761E-2</v>
      </c>
      <c r="T71" s="35">
        <v>220071.7056246</v>
      </c>
      <c r="U71" s="11">
        <f>T71/R71-1</f>
        <v>3.269193945095239E-2</v>
      </c>
      <c r="V71" s="1">
        <v>224172.18010997921</v>
      </c>
      <c r="W71" s="11">
        <f>V71/T71-1</f>
        <v>1.8632447427720855E-2</v>
      </c>
      <c r="X71" s="1">
        <v>229702.2527081068</v>
      </c>
      <c r="Y71" s="13">
        <f t="shared" si="56"/>
        <v>2.4668862101508537E-2</v>
      </c>
      <c r="Z71" s="80">
        <v>227762</v>
      </c>
      <c r="AA71" s="13">
        <f t="shared" si="34"/>
        <v>-8.4468161945819853E-3</v>
      </c>
      <c r="AB71" s="1">
        <v>235586.81450968509</v>
      </c>
      <c r="AC71" s="83">
        <f t="shared" si="57"/>
        <v>3.4355223916566757E-2</v>
      </c>
      <c r="AD71" s="1">
        <v>240115.281335354</v>
      </c>
      <c r="AE71" s="13">
        <f t="shared" si="58"/>
        <v>1.9222072487773856E-2</v>
      </c>
      <c r="AF71">
        <v>3930</v>
      </c>
      <c r="AG71" s="1">
        <v>243481.25289579309</v>
      </c>
      <c r="AH71" s="109">
        <f t="shared" si="71"/>
        <v>1.4018148040057632E-2</v>
      </c>
      <c r="AI71" s="1">
        <v>238147.17446186498</v>
      </c>
      <c r="AJ71" s="13">
        <f t="shared" si="35"/>
        <v>-2.1907552924458784E-2</v>
      </c>
      <c r="AK71" s="1">
        <v>251078.98626123049</v>
      </c>
      <c r="AL71" s="13">
        <f t="shared" si="36"/>
        <v>5.4301764564652855E-2</v>
      </c>
      <c r="AM71" s="35">
        <f t="shared" si="37"/>
        <v>52250.297574478027</v>
      </c>
      <c r="AN71" s="109">
        <f t="shared" si="38"/>
        <v>0.2627905355086686</v>
      </c>
      <c r="AO71" s="109"/>
      <c r="AP71" s="1">
        <v>255337.31070487079</v>
      </c>
      <c r="AQ71" s="1"/>
      <c r="AR71" s="13">
        <f t="shared" si="59"/>
        <v>1.6960098919667432E-2</v>
      </c>
      <c r="AS71" s="13"/>
      <c r="AT71" s="1">
        <v>257160.38414682401</v>
      </c>
      <c r="AU71" s="13">
        <f t="shared" si="39"/>
        <v>7.1398630968602106E-3</v>
      </c>
      <c r="AV71" s="1">
        <v>260881.01090544171</v>
      </c>
      <c r="AW71" s="13">
        <f t="shared" si="40"/>
        <v>1.4468117906113465E-2</v>
      </c>
      <c r="AX71" s="1">
        <v>265469.06839972612</v>
      </c>
      <c r="AY71" s="13">
        <f t="shared" si="41"/>
        <v>1.7586782105606602E-2</v>
      </c>
      <c r="AZ71" s="13">
        <f t="shared" si="42"/>
        <v>0.20628441373815365</v>
      </c>
      <c r="BA71" s="13">
        <f t="shared" si="43"/>
        <v>0.22419061711380039</v>
      </c>
      <c r="BB71" s="13">
        <f t="shared" si="44"/>
        <v>0.20628441373815365</v>
      </c>
      <c r="BC71" s="1">
        <v>271211.70766656921</v>
      </c>
      <c r="BD71" s="13">
        <f t="shared" si="45"/>
        <v>2.1632046631497648E-2</v>
      </c>
      <c r="BE71" s="130">
        <v>276059.69586917787</v>
      </c>
      <c r="BF71" s="13">
        <f t="shared" si="46"/>
        <v>1.7875291020138517E-2</v>
      </c>
      <c r="BG71" s="130">
        <v>279253.82993361098</v>
      </c>
      <c r="BH71" s="13">
        <f t="shared" si="47"/>
        <v>1.1570446944007218E-2</v>
      </c>
      <c r="BI71" s="130">
        <v>289946.48951570521</v>
      </c>
      <c r="BJ71" s="13">
        <f t="shared" si="48"/>
        <v>3.8290108983057625E-2</v>
      </c>
      <c r="BK71" s="130">
        <v>293908.62513073621</v>
      </c>
      <c r="BL71" s="13">
        <f t="shared" si="49"/>
        <v>1.3665058065193136E-2</v>
      </c>
      <c r="BM71" s="130">
        <v>290264.32717697421</v>
      </c>
      <c r="BN71" s="13">
        <f t="shared" si="50"/>
        <v>-1.2399424998640107E-2</v>
      </c>
      <c r="BO71" s="130">
        <v>285898.24451545969</v>
      </c>
      <c r="BP71" s="13">
        <f t="shared" si="51"/>
        <v>-1.50417473065938E-2</v>
      </c>
      <c r="BQ71" s="130">
        <v>283666.13279055618</v>
      </c>
      <c r="BR71" s="13">
        <f t="shared" si="60"/>
        <v>-7.8073642203941862E-3</v>
      </c>
      <c r="BS71" s="130">
        <v>282502.1327105618</v>
      </c>
      <c r="BT71" s="13">
        <f t="shared" si="61"/>
        <v>-4.1034157604348254E-3</v>
      </c>
      <c r="BU71" s="130">
        <v>283201.69586318691</v>
      </c>
      <c r="BV71" s="13">
        <f t="shared" si="62"/>
        <v>2.4763110490986229E-3</v>
      </c>
      <c r="BW71" s="130">
        <v>278112.6184314813</v>
      </c>
      <c r="BX71" s="13">
        <f t="shared" si="63"/>
        <v>-1.7969798578339358E-2</v>
      </c>
      <c r="BY71" s="130">
        <v>274615.69143664488</v>
      </c>
      <c r="BZ71" s="13">
        <f t="shared" si="64"/>
        <v>-1.2573780415137681E-2</v>
      </c>
      <c r="CA71" s="130">
        <v>272147.78095598659</v>
      </c>
      <c r="CB71" s="13">
        <f t="shared" si="65"/>
        <v>-8.9867788244272218E-3</v>
      </c>
      <c r="CC71" s="130">
        <v>271771.28308731172</v>
      </c>
      <c r="CD71" s="13">
        <f t="shared" si="66"/>
        <v>-1.3834317052019429E-3</v>
      </c>
      <c r="CE71" s="130">
        <v>271944.71502837329</v>
      </c>
      <c r="CF71" s="13">
        <f t="shared" si="67"/>
        <v>6.3815403559708272E-4</v>
      </c>
      <c r="CG71" s="130">
        <v>271339.62750437472</v>
      </c>
      <c r="CH71" s="13">
        <f t="shared" si="68"/>
        <v>-2.2250387323594634E-3</v>
      </c>
      <c r="CI71" s="130">
        <v>271537.54008447792</v>
      </c>
      <c r="CJ71" s="13">
        <f t="shared" si="69"/>
        <v>7.2939062356458528E-4</v>
      </c>
    </row>
    <row r="72" spans="1:88" ht="15" thickBot="1" x14ac:dyDescent="0.35">
      <c r="A72" s="9" t="s">
        <v>175</v>
      </c>
      <c r="B72" s="35"/>
      <c r="C72" s="35"/>
      <c r="Z72" s="34"/>
      <c r="AB72" s="79"/>
      <c r="AC72" s="34"/>
      <c r="AE72" s="13"/>
      <c r="AF72">
        <v>482</v>
      </c>
      <c r="AG72" s="1">
        <v>180670.98838977399</v>
      </c>
      <c r="AI72" s="1">
        <v>181631.4333627655</v>
      </c>
      <c r="AJ72" s="13">
        <f t="shared" si="35"/>
        <v>5.3159889230220969E-3</v>
      </c>
      <c r="AK72" s="1"/>
      <c r="AL72" s="13"/>
      <c r="AM72" s="35"/>
      <c r="AN72" s="61"/>
      <c r="AO72" s="61"/>
      <c r="AV72" s="34"/>
      <c r="AW72" s="13"/>
      <c r="AX72" s="1"/>
      <c r="AY72" s="13"/>
      <c r="AZ72" s="13"/>
      <c r="BC72" s="1">
        <v>217795.9708053146</v>
      </c>
      <c r="BD72" s="13"/>
      <c r="BE72" s="131">
        <v>221735.64023842389</v>
      </c>
      <c r="BF72" s="13">
        <f t="shared" si="46"/>
        <v>1.8088807697140163E-2</v>
      </c>
      <c r="BG72" s="131">
        <v>223597.34755542799</v>
      </c>
      <c r="BH72" s="13">
        <f t="shared" si="47"/>
        <v>8.3960671139844401E-3</v>
      </c>
      <c r="BI72" s="131">
        <v>226435.23676572871</v>
      </c>
      <c r="BJ72" s="13">
        <f t="shared" si="48"/>
        <v>1.2691962768463627E-2</v>
      </c>
      <c r="BK72" s="131">
        <v>227738.3632656353</v>
      </c>
      <c r="BL72" s="13">
        <f t="shared" si="49"/>
        <v>5.7549633993352334E-3</v>
      </c>
      <c r="BM72" s="130">
        <v>223917.70895399069</v>
      </c>
      <c r="BN72" s="13">
        <f t="shared" si="50"/>
        <v>-1.6776507290465537E-2</v>
      </c>
      <c r="BO72" s="130">
        <v>220589.88778040101</v>
      </c>
      <c r="BP72" s="13">
        <f t="shared" si="51"/>
        <v>-1.4861804317020111E-2</v>
      </c>
      <c r="BQ72" s="130">
        <v>216946.6580796089</v>
      </c>
      <c r="BR72" s="13">
        <f t="shared" si="60"/>
        <v>-1.651585091887342E-2</v>
      </c>
      <c r="BS72" s="130">
        <v>217039.433850556</v>
      </c>
      <c r="BT72" s="13">
        <f t="shared" si="61"/>
        <v>4.2764323621469202E-4</v>
      </c>
      <c r="BU72" s="130">
        <v>213455.49847557559</v>
      </c>
      <c r="BV72" s="13">
        <f t="shared" si="62"/>
        <v>-1.6512830463095263E-2</v>
      </c>
      <c r="BW72" s="130">
        <v>208951.3651929319</v>
      </c>
      <c r="BX72" s="13">
        <f t="shared" si="63"/>
        <v>-2.1101041270010001E-2</v>
      </c>
      <c r="BY72" s="130">
        <v>204943.3550358896</v>
      </c>
      <c r="BZ72" s="13">
        <f t="shared" si="64"/>
        <v>-1.9181545683329526E-2</v>
      </c>
      <c r="CA72" s="130">
        <v>204795.37573730879</v>
      </c>
      <c r="CB72" s="13">
        <f t="shared" si="65"/>
        <v>-7.2204975152723172E-4</v>
      </c>
      <c r="CC72" s="130">
        <v>206752.47721249229</v>
      </c>
      <c r="CD72" s="13">
        <f t="shared" si="66"/>
        <v>9.5563753240888172E-3</v>
      </c>
      <c r="CE72" s="130">
        <v>207768.78421852109</v>
      </c>
      <c r="CF72" s="13">
        <f t="shared" si="67"/>
        <v>4.9155735386148258E-3</v>
      </c>
      <c r="CG72" s="130">
        <v>207448.00638234589</v>
      </c>
      <c r="CH72" s="13">
        <f t="shared" si="68"/>
        <v>-1.5439173761435665E-3</v>
      </c>
      <c r="CI72" s="131">
        <v>207419.9378333916</v>
      </c>
      <c r="CJ72" s="13">
        <f t="shared" si="69"/>
        <v>-1.3530401879380261E-4</v>
      </c>
    </row>
    <row r="73" spans="1:88" x14ac:dyDescent="0.3">
      <c r="AC73" s="78"/>
      <c r="BA73" s="79"/>
      <c r="BB73" s="34"/>
    </row>
    <row r="74" spans="1:88" x14ac:dyDescent="0.3">
      <c r="A74" s="9" t="s">
        <v>7</v>
      </c>
      <c r="L74" s="13"/>
      <c r="S74" s="43">
        <f>R61/B61-1</f>
        <v>0.1082510245163506</v>
      </c>
      <c r="BS74" s="13"/>
    </row>
    <row r="75" spans="1:88" x14ac:dyDescent="0.3">
      <c r="A75" s="9" t="s">
        <v>8</v>
      </c>
      <c r="L75" s="13"/>
      <c r="S75" s="43">
        <f t="shared" ref="S75:S84" si="72">R62/B62-1</f>
        <v>9.7113673459041649E-2</v>
      </c>
      <c r="BS75" s="13"/>
    </row>
    <row r="76" spans="1:88" x14ac:dyDescent="0.3">
      <c r="A76" s="9" t="s">
        <v>9</v>
      </c>
      <c r="L76" s="13"/>
      <c r="S76" s="43">
        <f t="shared" si="72"/>
        <v>9.2383838233768945E-2</v>
      </c>
      <c r="BI76" s="34"/>
      <c r="BJ76" s="78"/>
      <c r="BS76" s="13"/>
    </row>
    <row r="77" spans="1:88" x14ac:dyDescent="0.3">
      <c r="A77" s="9" t="s">
        <v>10</v>
      </c>
      <c r="L77" s="13"/>
      <c r="S77" s="43">
        <f t="shared" si="72"/>
        <v>9.3685046420637796E-2</v>
      </c>
      <c r="BJ77" s="13"/>
      <c r="BS77" s="13"/>
    </row>
    <row r="78" spans="1:88" x14ac:dyDescent="0.3">
      <c r="A78" s="9" t="s">
        <v>11</v>
      </c>
      <c r="L78" s="13"/>
      <c r="S78" s="43">
        <f t="shared" si="72"/>
        <v>0.11597318510488175</v>
      </c>
      <c r="BJ78" s="78"/>
      <c r="BS78" s="13"/>
    </row>
    <row r="79" spans="1:88" x14ac:dyDescent="0.3">
      <c r="A79" s="9" t="s">
        <v>12</v>
      </c>
      <c r="L79" s="13"/>
      <c r="S79" s="43">
        <f t="shared" si="72"/>
        <v>9.6081896344905493E-2</v>
      </c>
      <c r="V79" s="77"/>
      <c r="BP79" s="127"/>
      <c r="BQ79" s="61"/>
      <c r="BR79" s="109"/>
      <c r="BS79" s="13"/>
    </row>
    <row r="80" spans="1:88" x14ac:dyDescent="0.3">
      <c r="A80" s="9" t="s">
        <v>13</v>
      </c>
      <c r="L80" s="13"/>
      <c r="S80" s="43">
        <f t="shared" si="72"/>
        <v>0.20687928145342549</v>
      </c>
      <c r="BP80" s="127"/>
      <c r="BQ80" s="61"/>
      <c r="BR80" s="109"/>
      <c r="BS80" s="13"/>
    </row>
    <row r="81" spans="1:71" x14ac:dyDescent="0.3">
      <c r="A81" s="9" t="s">
        <v>14</v>
      </c>
      <c r="L81" s="13"/>
      <c r="S81" s="43">
        <f t="shared" si="72"/>
        <v>0.11363061975832323</v>
      </c>
      <c r="BP81" s="127"/>
      <c r="BQ81" s="61"/>
      <c r="BR81" s="109"/>
      <c r="BS81" s="13"/>
    </row>
    <row r="82" spans="1:71" x14ac:dyDescent="0.3">
      <c r="A82" s="9" t="s">
        <v>15</v>
      </c>
      <c r="L82" s="13"/>
      <c r="S82" s="43">
        <f t="shared" si="72"/>
        <v>8.8364802584385727E-2</v>
      </c>
      <c r="BP82" s="127"/>
      <c r="BQ82" s="61"/>
      <c r="BR82" s="109"/>
      <c r="BS82" s="13"/>
    </row>
    <row r="83" spans="1:71" x14ac:dyDescent="0.3">
      <c r="A83" s="9" t="s">
        <v>16</v>
      </c>
      <c r="L83" s="13"/>
      <c r="S83" s="43">
        <f t="shared" si="72"/>
        <v>8.893836686383283E-2</v>
      </c>
      <c r="BP83" s="127"/>
      <c r="BQ83" s="61"/>
      <c r="BR83" s="109"/>
      <c r="BS83" s="13"/>
    </row>
    <row r="84" spans="1:71" x14ac:dyDescent="0.3">
      <c r="A84" s="9" t="s">
        <v>17</v>
      </c>
      <c r="L84" s="13"/>
      <c r="S84" s="43">
        <f t="shared" si="72"/>
        <v>9.4072242441548326E-2</v>
      </c>
      <c r="BP84" s="127"/>
      <c r="BQ84" s="61"/>
      <c r="BR84" s="109"/>
      <c r="BS84" s="13"/>
    </row>
    <row r="85" spans="1:71" x14ac:dyDescent="0.3">
      <c r="BP85" s="127"/>
      <c r="BQ85" s="61"/>
      <c r="BR85" s="109"/>
    </row>
    <row r="86" spans="1:71" x14ac:dyDescent="0.3">
      <c r="BP86" s="127"/>
      <c r="BQ86" s="61"/>
      <c r="BR86" s="109"/>
    </row>
    <row r="87" spans="1:71" x14ac:dyDescent="0.3">
      <c r="BP87" s="127"/>
      <c r="BQ87" s="61"/>
      <c r="BR87" s="109"/>
    </row>
    <row r="89" spans="1:71" x14ac:dyDescent="0.3">
      <c r="BP89" s="127"/>
      <c r="BQ89" s="109"/>
    </row>
  </sheetData>
  <phoneticPr fontId="7" type="noConversion"/>
  <conditionalFormatting sqref="E37:E48 G37:G48 I37:I48 K37:K48 M37:M48 O37:O48 Q37:Q48">
    <cfRule type="colorScale" priority="64">
      <colorScale>
        <cfvo type="min"/>
        <cfvo type="percentile" val="50"/>
        <cfvo type="max"/>
        <color rgb="FFF8696B"/>
        <color rgb="FFFFEB84"/>
        <color rgb="FF63BE7B"/>
      </colorScale>
    </cfRule>
  </conditionalFormatting>
  <conditionalFormatting sqref="E61:E71 G61:G71 I61:I71 K61:K71 M61:M71 O61:O71 Q61:Q71 S61:S71 U61:U71">
    <cfRule type="colorScale" priority="43">
      <colorScale>
        <cfvo type="min"/>
        <cfvo type="percentile" val="50"/>
        <cfvo type="max"/>
        <color rgb="FF63BE7B"/>
        <color rgb="FFFFEB84"/>
        <color rgb="FFF8696B"/>
      </colorScale>
    </cfRule>
  </conditionalFormatting>
  <conditionalFormatting sqref="I35 O36 K35 M35 O50 O52">
    <cfRule type="colorScale" priority="98">
      <colorScale>
        <cfvo type="min"/>
        <cfvo type="percentile" val="50"/>
        <cfvo type="max"/>
        <color rgb="FFF8696B"/>
        <color rgb="FFFFEB84"/>
        <color rgb="FF63BE7B"/>
      </colorScale>
    </cfRule>
  </conditionalFormatting>
  <conditionalFormatting sqref="O52 O50 M52 K52 I52 G52 E52">
    <cfRule type="colorScale" priority="68">
      <colorScale>
        <cfvo type="min"/>
        <cfvo type="percentile" val="50"/>
        <cfvo type="max"/>
        <color rgb="FFF8696B"/>
        <color rgb="FFFFEB84"/>
        <color rgb="FF63BE7B"/>
      </colorScale>
    </cfRule>
  </conditionalFormatting>
  <conditionalFormatting sqref="S37:S48">
    <cfRule type="colorScale" priority="50">
      <colorScale>
        <cfvo type="min"/>
        <cfvo type="percentile" val="50"/>
        <cfvo type="max"/>
        <color rgb="FFF8696B"/>
        <color rgb="FFFFEB84"/>
        <color rgb="FF63BE7B"/>
      </colorScale>
    </cfRule>
  </conditionalFormatting>
  <conditionalFormatting sqref="U37:U48">
    <cfRule type="colorScale" priority="42">
      <colorScale>
        <cfvo type="min"/>
        <cfvo type="percentile" val="50"/>
        <cfvo type="max"/>
        <color rgb="FFF8696B"/>
        <color rgb="FFFFEB84"/>
        <color rgb="FF63BE7B"/>
      </colorScale>
    </cfRule>
  </conditionalFormatting>
  <conditionalFormatting sqref="W37:W48">
    <cfRule type="colorScale" priority="41">
      <colorScale>
        <cfvo type="min"/>
        <cfvo type="percentile" val="50"/>
        <cfvo type="max"/>
        <color rgb="FFF8696B"/>
        <color rgb="FFFFEB84"/>
        <color rgb="FF63BE7B"/>
      </colorScale>
    </cfRule>
  </conditionalFormatting>
  <conditionalFormatting sqref="W61:W71">
    <cfRule type="colorScale" priority="39">
      <colorScale>
        <cfvo type="min"/>
        <cfvo type="percentile" val="50"/>
        <cfvo type="max"/>
        <color rgb="FF63BE7B"/>
        <color rgb="FFFFEB84"/>
        <color rgb="FFF8696B"/>
      </colorScale>
    </cfRule>
  </conditionalFormatting>
  <conditionalFormatting sqref="AA37:AA48">
    <cfRule type="colorScale" priority="38">
      <colorScale>
        <cfvo type="min"/>
        <cfvo type="percentile" val="50"/>
        <cfvo type="max"/>
        <color rgb="FFF8696B"/>
        <color rgb="FFFFEB84"/>
        <color rgb="FF63BE7B"/>
      </colorScale>
    </cfRule>
  </conditionalFormatting>
  <conditionalFormatting sqref="AK50:AO50 AO48 Y51:AE51 AL53:AU53 AL52 AP52:AU52 AN47">
    <cfRule type="colorScale" priority="177">
      <colorScale>
        <cfvo type="min"/>
        <cfvo type="percentile" val="50"/>
        <cfvo type="max"/>
        <color rgb="FFF8696B"/>
        <color rgb="FFFFEB84"/>
        <color rgb="FF63BE7B"/>
      </colorScale>
    </cfRule>
  </conditionalFormatting>
  <conditionalFormatting sqref="AL31:AU31">
    <cfRule type="colorScale" priority="96">
      <colorScale>
        <cfvo type="min"/>
        <cfvo type="percentile" val="50"/>
        <cfvo type="max"/>
        <color rgb="FFF8696B"/>
        <color rgb="FFFFEB84"/>
        <color rgb="FF63BE7B"/>
      </colorScale>
    </cfRule>
  </conditionalFormatting>
  <conditionalFormatting sqref="AL32:AU33">
    <cfRule type="colorScale" priority="95">
      <colorScale>
        <cfvo type="min"/>
        <cfvo type="percentile" val="50"/>
        <cfvo type="max"/>
        <color rgb="FFF8696B"/>
        <color rgb="FFFFEB84"/>
        <color rgb="FF63BE7B"/>
      </colorScale>
    </cfRule>
  </conditionalFormatting>
  <conditionalFormatting sqref="AP35:AS35 AL35">
    <cfRule type="colorScale" priority="93">
      <colorScale>
        <cfvo type="min"/>
        <cfvo type="percentile" val="50"/>
        <cfvo type="max"/>
        <color rgb="FFF8696B"/>
        <color rgb="FFFFEB84"/>
        <color rgb="FF63BE7B"/>
      </colorScale>
    </cfRule>
  </conditionalFormatting>
  <conditionalFormatting sqref="BI37:BI48">
    <cfRule type="colorScale" priority="34">
      <colorScale>
        <cfvo type="min"/>
        <cfvo type="percentile" val="50"/>
        <cfvo type="max"/>
        <color rgb="FFF8696B"/>
        <color rgb="FFFFEB84"/>
        <color rgb="FF63BE7B"/>
      </colorScale>
    </cfRule>
    <cfRule type="colorScale" priority="35">
      <colorScale>
        <cfvo type="min"/>
        <cfvo type="max"/>
        <color theme="5" tint="0.59999389629810485"/>
        <color theme="9" tint="0.59999389629810485"/>
      </colorScale>
    </cfRule>
    <cfRule type="colorScale" priority="36">
      <colorScale>
        <cfvo type="min"/>
        <cfvo type="max"/>
        <color rgb="FFFF7128"/>
        <color rgb="FF92D050"/>
      </colorScale>
    </cfRule>
    <cfRule type="colorScale" priority="37">
      <colorScale>
        <cfvo type="min"/>
        <cfvo type="max"/>
        <color rgb="FFFF7128"/>
        <color rgb="FF00B050"/>
      </colorScale>
    </cfRule>
  </conditionalFormatting>
  <conditionalFormatting sqref="BK37:BK48">
    <cfRule type="colorScale" priority="30">
      <colorScale>
        <cfvo type="min"/>
        <cfvo type="percentile" val="50"/>
        <cfvo type="max"/>
        <color rgb="FFF8696B"/>
        <color rgb="FFFFEB84"/>
        <color rgb="FF63BE7B"/>
      </colorScale>
    </cfRule>
    <cfRule type="colorScale" priority="31">
      <colorScale>
        <cfvo type="min"/>
        <cfvo type="max"/>
        <color theme="5" tint="0.59999389629810485"/>
        <color theme="9" tint="0.59999389629810485"/>
      </colorScale>
    </cfRule>
    <cfRule type="colorScale" priority="32">
      <colorScale>
        <cfvo type="min"/>
        <cfvo type="max"/>
        <color rgb="FFFF7128"/>
        <color rgb="FF92D050"/>
      </colorScale>
    </cfRule>
    <cfRule type="colorScale" priority="33">
      <colorScale>
        <cfvo type="min"/>
        <cfvo type="max"/>
        <color rgb="FFFF7128"/>
        <color rgb="FF00B050"/>
      </colorScale>
    </cfRule>
  </conditionalFormatting>
  <conditionalFormatting sqref="BM37:BM48">
    <cfRule type="colorScale" priority="26">
      <colorScale>
        <cfvo type="min"/>
        <cfvo type="percentile" val="50"/>
        <cfvo type="max"/>
        <color rgb="FFF8696B"/>
        <color rgb="FFFFEB84"/>
        <color rgb="FF63BE7B"/>
      </colorScale>
    </cfRule>
    <cfRule type="colorScale" priority="27">
      <colorScale>
        <cfvo type="min"/>
        <cfvo type="max"/>
        <color theme="5" tint="0.59999389629810485"/>
        <color theme="9" tint="0.59999389629810485"/>
      </colorScale>
    </cfRule>
    <cfRule type="colorScale" priority="28">
      <colorScale>
        <cfvo type="min"/>
        <cfvo type="max"/>
        <color rgb="FFFF7128"/>
        <color rgb="FF92D050"/>
      </colorScale>
    </cfRule>
    <cfRule type="colorScale" priority="29">
      <colorScale>
        <cfvo type="min"/>
        <cfvo type="max"/>
        <color rgb="FFFF7128"/>
        <color rgb="FF00B050"/>
      </colorScale>
    </cfRule>
  </conditionalFormatting>
  <conditionalFormatting sqref="BO37:BO48">
    <cfRule type="colorScale" priority="22">
      <colorScale>
        <cfvo type="min"/>
        <cfvo type="percentile" val="50"/>
        <cfvo type="max"/>
        <color rgb="FFF8696B"/>
        <color rgb="FFFFEB84"/>
        <color rgb="FF63BE7B"/>
      </colorScale>
    </cfRule>
    <cfRule type="colorScale" priority="23">
      <colorScale>
        <cfvo type="min"/>
        <cfvo type="max"/>
        <color theme="5" tint="0.59999389629810485"/>
        <color theme="9" tint="0.59999389629810485"/>
      </colorScale>
    </cfRule>
    <cfRule type="colorScale" priority="24">
      <colorScale>
        <cfvo type="min"/>
        <cfvo type="max"/>
        <color rgb="FFFF7128"/>
        <color rgb="FF92D050"/>
      </colorScale>
    </cfRule>
    <cfRule type="colorScale" priority="25">
      <colorScale>
        <cfvo type="min"/>
        <cfvo type="max"/>
        <color rgb="FFFF7128"/>
        <color rgb="FF00B050"/>
      </colorScale>
    </cfRule>
  </conditionalFormatting>
  <conditionalFormatting sqref="BQ37:BQ48">
    <cfRule type="colorScale" priority="18">
      <colorScale>
        <cfvo type="min"/>
        <cfvo type="percentile" val="50"/>
        <cfvo type="max"/>
        <color rgb="FFF8696B"/>
        <color rgb="FFFFEB84"/>
        <color rgb="FF63BE7B"/>
      </colorScale>
    </cfRule>
    <cfRule type="colorScale" priority="19">
      <colorScale>
        <cfvo type="min"/>
        <cfvo type="max"/>
        <color theme="5" tint="0.59999389629810485"/>
        <color theme="9" tint="0.59999389629810485"/>
      </colorScale>
    </cfRule>
    <cfRule type="colorScale" priority="20">
      <colorScale>
        <cfvo type="min"/>
        <cfvo type="max"/>
        <color rgb="FFFF7128"/>
        <color rgb="FF92D050"/>
      </colorScale>
    </cfRule>
    <cfRule type="colorScale" priority="21">
      <colorScale>
        <cfvo type="min"/>
        <cfvo type="max"/>
        <color rgb="FFFF7128"/>
        <color rgb="FF00B050"/>
      </colorScale>
    </cfRule>
  </conditionalFormatting>
  <conditionalFormatting sqref="BS37:BS48">
    <cfRule type="colorScale" priority="14">
      <colorScale>
        <cfvo type="min"/>
        <cfvo type="percentile" val="50"/>
        <cfvo type="max"/>
        <color rgb="FFF8696B"/>
        <color rgb="FFFFEB84"/>
        <color rgb="FF63BE7B"/>
      </colorScale>
    </cfRule>
    <cfRule type="colorScale" priority="15">
      <colorScale>
        <cfvo type="min"/>
        <cfvo type="max"/>
        <color theme="5" tint="0.59999389629810485"/>
        <color theme="9" tint="0.59999389629810485"/>
      </colorScale>
    </cfRule>
    <cfRule type="colorScale" priority="16">
      <colorScale>
        <cfvo type="min"/>
        <cfvo type="max"/>
        <color rgb="FFFF7128"/>
        <color rgb="FF92D050"/>
      </colorScale>
    </cfRule>
    <cfRule type="colorScale" priority="17">
      <colorScale>
        <cfvo type="min"/>
        <cfvo type="max"/>
        <color rgb="FFFF7128"/>
        <color rgb="FF00B050"/>
      </colorScale>
    </cfRule>
  </conditionalFormatting>
  <conditionalFormatting sqref="BU37:BU48">
    <cfRule type="dataBar" priority="4">
      <dataBar>
        <cfvo type="min"/>
        <cfvo type="max"/>
        <color theme="9" tint="0.59999389629810485"/>
      </dataBar>
      <extLst>
        <ext xmlns:x14="http://schemas.microsoft.com/office/spreadsheetml/2009/9/main" uri="{B025F937-C7B1-47D3-B67F-A62EFF666E3E}">
          <x14:id>{0749E617-B632-4B56-92F3-FC91A7E26449}</x14:id>
        </ext>
      </extLst>
    </cfRule>
  </conditionalFormatting>
  <conditionalFormatting sqref="BW37:BW48">
    <cfRule type="dataBar" priority="3">
      <dataBar>
        <cfvo type="min"/>
        <cfvo type="max"/>
        <color theme="9" tint="0.59999389629810485"/>
      </dataBar>
      <extLst>
        <ext xmlns:x14="http://schemas.microsoft.com/office/spreadsheetml/2009/9/main" uri="{B025F937-C7B1-47D3-B67F-A62EFF666E3E}">
          <x14:id>{68A4D00D-950C-49DC-9CAA-8FC3DE284EE7}</x14:id>
        </ext>
      </extLst>
    </cfRule>
  </conditionalFormatting>
  <conditionalFormatting sqref="BY37:BY48">
    <cfRule type="dataBar" priority="2">
      <dataBar>
        <cfvo type="min"/>
        <cfvo type="max"/>
        <color theme="9" tint="0.59999389629810485"/>
      </dataBar>
      <extLst>
        <ext xmlns:x14="http://schemas.microsoft.com/office/spreadsheetml/2009/9/main" uri="{B025F937-C7B1-47D3-B67F-A62EFF666E3E}">
          <x14:id>{684065B7-63AB-41D6-8F6C-F12F1CA91909}</x14:id>
        </ext>
      </extLst>
    </cfRule>
  </conditionalFormatting>
  <conditionalFormatting sqref="CA37:CA48">
    <cfRule type="dataBar" priority="1">
      <dataBar>
        <cfvo type="min"/>
        <cfvo type="max"/>
        <color theme="9" tint="0.59999389629810485"/>
      </dataBar>
      <extLst>
        <ext xmlns:x14="http://schemas.microsoft.com/office/spreadsheetml/2009/9/main" uri="{B025F937-C7B1-47D3-B67F-A62EFF666E3E}">
          <x14:id>{5572AA51-27D6-49D7-8E22-DA4AECB2A22B}</x14:id>
        </ext>
      </extLst>
    </cfRule>
  </conditionalFormatting>
  <pageMargins left="0.7" right="0.7" top="0.75" bottom="0.75" header="0.3" footer="0.3"/>
  <pageSetup paperSize="9" orientation="portrait" horizontalDpi="300" verticalDpi="300" r:id="rId1"/>
  <ignoredErrors>
    <ignoredError sqref="BM49 BK49 BI49 BG49 BE49 BC49 BO49 BQ49 BS49 BU49 BW49" formula="1"/>
    <ignoredError sqref="BB49 AZ49 AX49 AV49 AT49 AN49 AL49 AJ49 AH49 AF49 AD49 AB49 Z49 X49 BZ49 AP49 AR49" formulaRange="1"/>
    <ignoredError sqref="BN49 BL49 BJ49 BH49 BF49 BD49 BP49 BR49 BT49 BV49 BX49" formula="1" formulaRange="1"/>
  </ignoredErrors>
  <drawing r:id="rId2"/>
  <extLst>
    <ext xmlns:x14="http://schemas.microsoft.com/office/spreadsheetml/2009/9/main" uri="{78C0D931-6437-407d-A8EE-F0AAD7539E65}">
      <x14:conditionalFormattings>
        <x14:conditionalFormatting xmlns:xm="http://schemas.microsoft.com/office/excel/2006/main">
          <x14:cfRule type="dataBar" id="{0749E617-B632-4B56-92F3-FC91A7E26449}">
            <x14:dataBar minLength="0" maxLength="100" gradient="0" negativeBarColorSameAsPositive="1">
              <x14:cfvo type="autoMin"/>
              <x14:cfvo type="autoMax"/>
              <x14:axisColor rgb="FF000000"/>
            </x14:dataBar>
          </x14:cfRule>
          <xm:sqref>BU37:BU48</xm:sqref>
        </x14:conditionalFormatting>
        <x14:conditionalFormatting xmlns:xm="http://schemas.microsoft.com/office/excel/2006/main">
          <x14:cfRule type="dataBar" id="{68A4D00D-950C-49DC-9CAA-8FC3DE284EE7}">
            <x14:dataBar minLength="0" maxLength="100" gradient="0" negativeBarColorSameAsPositive="1">
              <x14:cfvo type="autoMin"/>
              <x14:cfvo type="autoMax"/>
              <x14:axisColor rgb="FF000000"/>
            </x14:dataBar>
          </x14:cfRule>
          <xm:sqref>BW37:BW48</xm:sqref>
        </x14:conditionalFormatting>
        <x14:conditionalFormatting xmlns:xm="http://schemas.microsoft.com/office/excel/2006/main">
          <x14:cfRule type="dataBar" id="{684065B7-63AB-41D6-8F6C-F12F1CA91909}">
            <x14:dataBar minLength="0" maxLength="100" gradient="0" negativeBarColorSameAsPositive="1">
              <x14:cfvo type="autoMin"/>
              <x14:cfvo type="autoMax"/>
              <x14:axisColor rgb="FF000000"/>
            </x14:dataBar>
          </x14:cfRule>
          <xm:sqref>BY37:BY48</xm:sqref>
        </x14:conditionalFormatting>
        <x14:conditionalFormatting xmlns:xm="http://schemas.microsoft.com/office/excel/2006/main">
          <x14:cfRule type="dataBar" id="{5572AA51-27D6-49D7-8E22-DA4AECB2A22B}">
            <x14:dataBar minLength="0" maxLength="100" gradient="0" negativeBarColorSameAsPositive="1">
              <x14:cfvo type="autoMin"/>
              <x14:cfvo type="autoMax"/>
              <x14:axisColor rgb="FF000000"/>
            </x14:dataBar>
          </x14:cfRule>
          <xm:sqref>CA37:CA48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1</vt:i4>
      </vt:variant>
    </vt:vector>
  </HeadingPairs>
  <TitlesOfParts>
    <vt:vector size="11" baseType="lpstr">
      <vt:lpstr>Отчет2</vt:lpstr>
      <vt:lpstr>Свод изменений</vt:lpstr>
      <vt:lpstr>Лист1</vt:lpstr>
      <vt:lpstr>Динамика</vt:lpstr>
      <vt:lpstr>Объем</vt:lpstr>
      <vt:lpstr>приложение1 цены</vt:lpstr>
      <vt:lpstr>Лист4</vt:lpstr>
      <vt:lpstr>Лист3</vt:lpstr>
      <vt:lpstr>Лист2</vt:lpstr>
      <vt:lpstr>Данные</vt:lpstr>
      <vt:lpstr>Данные!_ФильтрБазыДанных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Екатерина Бережнова</dc:creator>
  <cp:lastModifiedBy>Екатерина Бережнова</cp:lastModifiedBy>
  <cp:lastPrinted>2020-10-01T10:53:55Z</cp:lastPrinted>
  <dcterms:created xsi:type="dcterms:W3CDTF">2015-06-05T18:19:34Z</dcterms:created>
  <dcterms:modified xsi:type="dcterms:W3CDTF">2025-09-08T06:32:42Z</dcterms:modified>
</cp:coreProperties>
</file>